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drawings/drawing6.xml" ContentType="application/vnd.openxmlformats-officedocument.drawing+xml"/>
  <Override PartName="/xl/charts/chart8.xml" ContentType="application/vnd.openxmlformats-officedocument.drawingml.chart+xml"/>
  <Override PartName="/xl/theme/themeOverride3.xml" ContentType="application/vnd.openxmlformats-officedocument.themeOverride+xml"/>
  <Override PartName="/xl/charts/chart9.xml" ContentType="application/vnd.openxmlformats-officedocument.drawingml.chart+xml"/>
  <Override PartName="/xl/theme/themeOverride4.xml" ContentType="application/vnd.openxmlformats-officedocument.themeOverrid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dsapc0232pfs\digital\30-Research-Digital-2019\3 - Fundos Imobiliários\Brain_Fundos_Listados\04_Report\Stock_Guide\Planilha\"/>
    </mc:Choice>
  </mc:AlternateContent>
  <xr:revisionPtr revIDLastSave="0" documentId="8_{E43E35B3-89DE-4D59-BFB9-82EFFA6B6684}" xr6:coauthVersionLast="47" xr6:coauthVersionMax="47" xr10:uidLastSave="{00000000-0000-0000-0000-000000000000}"/>
  <bookViews>
    <workbookView xWindow="-28920" yWindow="-30" windowWidth="29040" windowHeight="15720" tabRatio="943" xr2:uid="{B4633655-D190-40E0-AC5A-57BA67FA563B}"/>
  </bookViews>
  <sheets>
    <sheet name="Menu" sheetId="31" r:id="rId1"/>
    <sheet name="Stock Guide" sheetId="1" r:id="rId2"/>
    <sheet name="FIAgro" sheetId="27" r:id="rId3"/>
    <sheet name="FI-Infra" sheetId="28" r:id="rId4"/>
    <sheet name="Segmentos" sheetId="8" r:id="rId5"/>
    <sheet name="Simulador de Carteiras (%)" sheetId="25" r:id="rId6"/>
    <sheet name="Simulador de Carteiras (R$)" sheetId="35" r:id="rId7"/>
    <sheet name="Simulador de Aportes (R$)" sheetId="37" r:id="rId8"/>
    <sheet name="Recebível (CRI)" sheetId="10" r:id="rId9"/>
    <sheet name="Laje Corporativa" sheetId="11" r:id="rId10"/>
    <sheet name="Galpão Logístico" sheetId="12" r:id="rId11"/>
    <sheet name="Shopping Center" sheetId="6" r:id="rId12"/>
    <sheet name="Híbrido" sheetId="15" r:id="rId13"/>
    <sheet name="Fundo de Fundos" sheetId="21" r:id="rId14"/>
    <sheet name="Hedge Funds" sheetId="36" r:id="rId15"/>
    <sheet name="Agência Bancária" sheetId="13" r:id="rId16"/>
    <sheet name="Renda Urbana" sheetId="23" r:id="rId17"/>
    <sheet name="Educacional" sheetId="16" r:id="rId18"/>
    <sheet name="Desenvolvimento" sheetId="22" r:id="rId19"/>
    <sheet name="Hospital" sheetId="19" r:id="rId20"/>
    <sheet name="Hotel" sheetId="17" r:id="rId21"/>
    <sheet name="Residencial" sheetId="18" r:id="rId22"/>
    <sheet name="Agro" sheetId="26" r:id="rId23"/>
    <sheet name="Outros" sheetId="20" r:id="rId24"/>
    <sheet name="Glossário e Fórmulas" sheetId="2" r:id="rId25"/>
    <sheet name="Disclaimer" sheetId="24" r:id="rId26"/>
  </sheets>
  <definedNames>
    <definedName name="_xlnm._FilterDatabase" localSheetId="15" hidden="1">'Agência Bancária'!$B$9:$P$9</definedName>
    <definedName name="_xlnm._FilterDatabase" localSheetId="22" hidden="1">Agro!$B$9:$P$9</definedName>
    <definedName name="_xlnm._FilterDatabase" localSheetId="18" hidden="1">Desenvolvimento!$B$9:$P$9</definedName>
    <definedName name="_xlnm._FilterDatabase" localSheetId="17" hidden="1">Educacional!$B$9:$P$9</definedName>
    <definedName name="_xlnm._FilterDatabase" localSheetId="2" hidden="1">FIAgro!$B$5:$W$5</definedName>
    <definedName name="_xlnm._FilterDatabase" localSheetId="3" hidden="1">'FI-Infra'!$B$5:$S$5</definedName>
    <definedName name="_xlnm._FilterDatabase" localSheetId="13" hidden="1">'Fundo de Fundos'!$B$9:$P$9</definedName>
    <definedName name="_xlnm._FilterDatabase" localSheetId="10" hidden="1">'Galpão Logístico'!$B$9:$P$9</definedName>
    <definedName name="_xlnm._FilterDatabase" localSheetId="14" hidden="1">'Hedge Funds'!$B$9:$P$9</definedName>
    <definedName name="_xlnm._FilterDatabase" localSheetId="12" hidden="1">Híbrido!$B$9:$P$9</definedName>
    <definedName name="_xlnm._FilterDatabase" localSheetId="19" hidden="1">Hospital!$B$9:$P$9</definedName>
    <definedName name="_xlnm._FilterDatabase" localSheetId="20" hidden="1">Hotel!$B$9:$P$9</definedName>
    <definedName name="_xlnm._FilterDatabase" localSheetId="9" hidden="1">'Laje Corporativa'!$B$9:$P$9</definedName>
    <definedName name="_xlnm._FilterDatabase" localSheetId="0" hidden="1">Menu!#REF!</definedName>
    <definedName name="_xlnm._FilterDatabase" localSheetId="23" hidden="1">Outros!$B$9:$P$9</definedName>
    <definedName name="_xlnm._FilterDatabase" localSheetId="8" hidden="1">'Recebível (CRI)'!$B$9:$P$9</definedName>
    <definedName name="_xlnm._FilterDatabase" localSheetId="16" hidden="1">'Renda Urbana'!$B$9:$P$9</definedName>
    <definedName name="_xlnm._FilterDatabase" localSheetId="21" hidden="1">Residencial!$B$9:$P$9</definedName>
    <definedName name="_xlnm._FilterDatabase" localSheetId="4" hidden="1">Segmentos!$B$6:$M$6</definedName>
    <definedName name="_xlnm._FilterDatabase" localSheetId="11" hidden="1">'Shopping Center'!$B$9:$P$9</definedName>
    <definedName name="_xlnm._FilterDatabase" localSheetId="7" hidden="1">'Simulador de Aportes (R$)'!$B$5:$U$86</definedName>
    <definedName name="_xlnm._FilterDatabase" localSheetId="5" hidden="1">'Simulador de Carteiras (%)'!$B$5:$R$81</definedName>
    <definedName name="_xlnm._FilterDatabase" localSheetId="6" hidden="1">'Simulador de Carteiras (R$)'!$B$5:$R$81</definedName>
    <definedName name="_xlnm._FilterDatabase" localSheetId="1" hidden="1">'Stock Guide'!$B$5:$X$5</definedName>
    <definedName name="_xlchart.v1.0" hidden="1">'Stock Guide'!$G$6:$G$500</definedName>
    <definedName name="_xlchart.v1.1" hidden="1">'Stock Guide'!$O$6:$O$500</definedName>
    <definedName name="_xlchart.v1.2" hidden="1">'Stock Guide'!$G$6:$G$500</definedName>
    <definedName name="_xlchart.v1.3" hidden="1">'Stock Guide'!$Q$6:$Q$500</definedName>
    <definedName name="Agro">Agro!$B$8</definedName>
    <definedName name="_xlnm.Extract" localSheetId="15">'Agência Bancária'!$B$9</definedName>
    <definedName name="_xlnm.Extract" localSheetId="22">Agro!$B$9</definedName>
    <definedName name="_xlnm.Extract" localSheetId="18">Desenvolvimento!$B$9</definedName>
    <definedName name="_xlnm.Extract" localSheetId="17">Educacional!$B$9</definedName>
    <definedName name="_xlnm.Extract" localSheetId="2">FIAgro!#REF!</definedName>
    <definedName name="_xlnm.Extract" localSheetId="3">'FI-Infra'!#REF!</definedName>
    <definedName name="_xlnm.Extract" localSheetId="13">'Fundo de Fundos'!$B$9</definedName>
    <definedName name="_xlnm.Extract" localSheetId="10">'Galpão Logístico'!$B$9</definedName>
    <definedName name="_xlnm.Extract" localSheetId="14">'Hedge Funds'!$B$9</definedName>
    <definedName name="_xlnm.Extract" localSheetId="12">Híbrido!$B$9</definedName>
    <definedName name="_xlnm.Extract" localSheetId="19">Hospital!$B$9</definedName>
    <definedName name="_xlnm.Extract" localSheetId="20">Hotel!$B$9</definedName>
    <definedName name="_xlnm.Extract" localSheetId="9">'Laje Corporativa'!$B$9</definedName>
    <definedName name="_xlnm.Extract" localSheetId="0">Menu!$B$9:$B$9</definedName>
    <definedName name="_xlnm.Extract" localSheetId="23">Outros!$B$9</definedName>
    <definedName name="_xlnm.Extract" localSheetId="8">'Recebível (CRI)'!$B$9</definedName>
    <definedName name="_xlnm.Extract" localSheetId="16">'Renda Urbana'!$B$9</definedName>
    <definedName name="_xlnm.Extract" localSheetId="21">Residencial!$B$9</definedName>
    <definedName name="_xlnm.Extract" localSheetId="11">'Shopping Center'!$B$9</definedName>
    <definedName name="_xlnm.Extract" localSheetId="7">'Simulador de Aportes (R$)'!#REF!</definedName>
    <definedName name="_xlnm.Extract" localSheetId="5">'Simulador de Carteiras (%)'!#REF!</definedName>
    <definedName name="_xlnm.Extract" localSheetId="6">'Simulador de Carteiras (R$)'!#REF!</definedName>
    <definedName name="_xlnm.Print_Area" localSheetId="7">'Simulador de Aportes (R$)'!$B$5:$U$86</definedName>
    <definedName name="_xlnm.Print_Area" localSheetId="5">'Simulador de Carteiras (%)'!$B$5:$R$81</definedName>
    <definedName name="_xlnm.Print_Area" localSheetId="6">'Simulador de Carteiras (R$)'!$B$5:$R$81</definedName>
    <definedName name="_xlnm.Criteria" localSheetId="15">'Agência Bancária'!$B$7:$C$8</definedName>
    <definedName name="_xlnm.Criteria" localSheetId="22">Agro!$B$7:$C$8</definedName>
    <definedName name="_xlnm.Criteria" localSheetId="18">Desenvolvimento!$B$7:$C$8</definedName>
    <definedName name="_xlnm.Criteria" localSheetId="17">Educacional!$B$7:$C$8</definedName>
    <definedName name="_xlnm.Criteria" localSheetId="2">FIAgro!#REF!</definedName>
    <definedName name="_xlnm.Criteria" localSheetId="3">'FI-Infra'!#REF!</definedName>
    <definedName name="_xlnm.Criteria" localSheetId="13">'Fundo de Fundos'!$B$7:$C$8</definedName>
    <definedName name="_xlnm.Criteria" localSheetId="10">'Galpão Logístico'!$B$7:$C$8</definedName>
    <definedName name="_xlnm.Criteria" localSheetId="14">'Hedge Funds'!$B$7:$C$8</definedName>
    <definedName name="_xlnm.Criteria" localSheetId="12">Híbrido!$B$7:$C$8</definedName>
    <definedName name="_xlnm.Criteria" localSheetId="19">Hospital!$B$7:$C$8</definedName>
    <definedName name="_xlnm.Criteria" localSheetId="20">Hotel!$B$7:$C$8</definedName>
    <definedName name="_xlnm.Criteria" localSheetId="9">'Laje Corporativa'!$B$7:$C$8</definedName>
    <definedName name="_xlnm.Criteria" localSheetId="0">Menu!$B$7:$C$8</definedName>
    <definedName name="_xlnm.Criteria" localSheetId="23">Outros!$B$7:$C$8</definedName>
    <definedName name="_xlnm.Criteria" localSheetId="8">'Recebível (CRI)'!$B$7:$C$8</definedName>
    <definedName name="_xlnm.Criteria" localSheetId="16">'Renda Urbana'!$B$7:$C$8</definedName>
    <definedName name="_xlnm.Criteria" localSheetId="21">Residencial!$B$7:$C$8</definedName>
    <definedName name="_xlnm.Criteria" localSheetId="11">'Shopping Center'!$B$7:$C$8</definedName>
    <definedName name="_xlnm.Criteria" localSheetId="7">'Simulador de Aportes (R$)'!#REF!</definedName>
    <definedName name="_xlnm.Criteria" localSheetId="5">'Simulador de Carteiras (%)'!#REF!</definedName>
    <definedName name="_xlnm.Criteria" localSheetId="6">'Simulador de Carteiras (R$)'!#REF!</definedName>
    <definedName name="_xlnm.Criteria" localSheetId="1">'Stock Guide'!$B$7:$D$8</definedName>
    <definedName name="Simulação_deCarteiras" localSheetId="7">'Simulador de Aportes (R$)'!$B$5</definedName>
    <definedName name="Simulação_deCarteiras" localSheetId="6">'Simulador de Carteiras (R$)'!$B$5</definedName>
    <definedName name="Simulação_deCarteiras">'Simulador de Carteiras (%)'!$B$5</definedName>
    <definedName name="SimulaçãoFin">'Simulador de Carteiras (%)'!$B$5</definedName>
    <definedName name="_xlnm.Print_Titles" localSheetId="7">'Simulador de Aportes (R$)'!$2:$5</definedName>
    <definedName name="_xlnm.Print_Titles" localSheetId="5">'Simulador de Carteiras (%)'!$2:$5</definedName>
    <definedName name="_xlnm.Print_Titles" localSheetId="6">'Simulador de Carteiras (R$)'!$2:$5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3" i="27" l="1"/>
  <c r="W32" i="27"/>
  <c r="W31" i="27"/>
  <c r="W30" i="27"/>
  <c r="W29" i="27"/>
  <c r="W28" i="27"/>
  <c r="W27" i="27"/>
  <c r="W26" i="27"/>
  <c r="W25" i="27"/>
  <c r="W24" i="27"/>
  <c r="W23" i="27"/>
  <c r="W22" i="27"/>
  <c r="W21" i="27"/>
  <c r="W20" i="27"/>
  <c r="W19" i="27"/>
  <c r="W18" i="27"/>
  <c r="W17" i="27"/>
  <c r="W16" i="27"/>
  <c r="W15" i="27"/>
  <c r="W14" i="27"/>
  <c r="W13" i="27"/>
  <c r="W12" i="27"/>
  <c r="W11" i="27"/>
  <c r="W10" i="27"/>
  <c r="W9" i="27"/>
  <c r="W8" i="27"/>
  <c r="W7" i="27"/>
  <c r="W6" i="27"/>
  <c r="C9" i="8"/>
  <c r="D9" i="8"/>
  <c r="E9" i="8"/>
  <c r="F9" i="8"/>
  <c r="G9" i="8"/>
  <c r="H9" i="8"/>
  <c r="I9" i="8"/>
  <c r="J9" i="8"/>
  <c r="K9" i="8"/>
  <c r="L9" i="8"/>
  <c r="M9" i="8"/>
  <c r="C10" i="8"/>
  <c r="D10" i="8"/>
  <c r="E10" i="8"/>
  <c r="F10" i="8"/>
  <c r="G10" i="8"/>
  <c r="H10" i="8"/>
  <c r="I10" i="8"/>
  <c r="J10" i="8"/>
  <c r="K10" i="8"/>
  <c r="L10" i="8"/>
  <c r="M10" i="8"/>
  <c r="C11" i="8"/>
  <c r="D11" i="8"/>
  <c r="E11" i="8"/>
  <c r="F11" i="8"/>
  <c r="G11" i="8"/>
  <c r="H11" i="8"/>
  <c r="I11" i="8"/>
  <c r="J11" i="8"/>
  <c r="K11" i="8"/>
  <c r="L11" i="8"/>
  <c r="M11" i="8"/>
  <c r="C12" i="8"/>
  <c r="D12" i="8"/>
  <c r="E12" i="8"/>
  <c r="F12" i="8"/>
  <c r="G12" i="8"/>
  <c r="H12" i="8"/>
  <c r="I12" i="8"/>
  <c r="J12" i="8"/>
  <c r="K12" i="8"/>
  <c r="L12" i="8"/>
  <c r="M12" i="8"/>
  <c r="C13" i="8"/>
  <c r="D13" i="8"/>
  <c r="E13" i="8"/>
  <c r="F13" i="8"/>
  <c r="G13" i="8"/>
  <c r="H13" i="8"/>
  <c r="I13" i="8"/>
  <c r="J13" i="8"/>
  <c r="K13" i="8"/>
  <c r="L13" i="8"/>
  <c r="M13" i="8"/>
  <c r="C14" i="8"/>
  <c r="D14" i="8"/>
  <c r="E14" i="8"/>
  <c r="F14" i="8"/>
  <c r="G14" i="8"/>
  <c r="H14" i="8"/>
  <c r="I14" i="8"/>
  <c r="J14" i="8"/>
  <c r="K14" i="8"/>
  <c r="L14" i="8"/>
  <c r="M14" i="8"/>
  <c r="C15" i="8"/>
  <c r="D15" i="8"/>
  <c r="E15" i="8"/>
  <c r="F15" i="8"/>
  <c r="G15" i="8"/>
  <c r="H15" i="8"/>
  <c r="I15" i="8"/>
  <c r="J15" i="8"/>
  <c r="K15" i="8"/>
  <c r="L15" i="8"/>
  <c r="M15" i="8"/>
  <c r="C16" i="8"/>
  <c r="D16" i="8"/>
  <c r="E16" i="8"/>
  <c r="F16" i="8"/>
  <c r="G16" i="8"/>
  <c r="H16" i="8"/>
  <c r="I16" i="8"/>
  <c r="J16" i="8"/>
  <c r="K16" i="8"/>
  <c r="L16" i="8"/>
  <c r="M16" i="8"/>
  <c r="C17" i="8"/>
  <c r="D17" i="8"/>
  <c r="E17" i="8"/>
  <c r="F17" i="8"/>
  <c r="G17" i="8"/>
  <c r="H17" i="8"/>
  <c r="I17" i="8"/>
  <c r="J17" i="8"/>
  <c r="K17" i="8"/>
  <c r="L17" i="8"/>
  <c r="M17" i="8"/>
  <c r="C18" i="8"/>
  <c r="D18" i="8"/>
  <c r="E18" i="8"/>
  <c r="F18" i="8"/>
  <c r="G18" i="8"/>
  <c r="H18" i="8"/>
  <c r="I18" i="8"/>
  <c r="J18" i="8"/>
  <c r="K18" i="8"/>
  <c r="L18" i="8"/>
  <c r="M18" i="8"/>
  <c r="C19" i="8"/>
  <c r="D19" i="8"/>
  <c r="E19" i="8"/>
  <c r="F19" i="8"/>
  <c r="G19" i="8"/>
  <c r="H19" i="8"/>
  <c r="I19" i="8"/>
  <c r="J19" i="8"/>
  <c r="K19" i="8"/>
  <c r="L19" i="8"/>
  <c r="M19" i="8"/>
  <c r="C20" i="8"/>
  <c r="D20" i="8"/>
  <c r="E20" i="8"/>
  <c r="F20" i="8"/>
  <c r="G20" i="8"/>
  <c r="H20" i="8"/>
  <c r="I20" i="8"/>
  <c r="J20" i="8"/>
  <c r="K20" i="8"/>
  <c r="L20" i="8"/>
  <c r="M20" i="8"/>
  <c r="C21" i="8"/>
  <c r="D21" i="8"/>
  <c r="E21" i="8"/>
  <c r="F21" i="8"/>
  <c r="G21" i="8"/>
  <c r="H21" i="8"/>
  <c r="I21" i="8"/>
  <c r="J21" i="8"/>
  <c r="K21" i="8"/>
  <c r="L21" i="8"/>
  <c r="M21" i="8"/>
  <c r="C22" i="8"/>
  <c r="D22" i="8"/>
  <c r="E22" i="8"/>
  <c r="F22" i="8"/>
  <c r="G22" i="8"/>
  <c r="H22" i="8"/>
  <c r="I22" i="8"/>
  <c r="J22" i="8"/>
  <c r="K22" i="8"/>
  <c r="L22" i="8"/>
  <c r="M22" i="8"/>
  <c r="C27" i="35"/>
  <c r="C28" i="35"/>
  <c r="C29" i="35"/>
  <c r="C30" i="35"/>
  <c r="C31" i="35"/>
  <c r="C32" i="35"/>
  <c r="C33" i="35"/>
  <c r="C28" i="37"/>
  <c r="C29" i="37"/>
  <c r="C30" i="37"/>
  <c r="C31" i="37"/>
  <c r="C32" i="37"/>
  <c r="C33" i="37"/>
  <c r="C34" i="37"/>
  <c r="C11" i="10" l="1"/>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12" i="12"/>
  <c r="C12" i="6"/>
  <c r="C12" i="15"/>
  <c r="C12" i="21"/>
  <c r="C12" i="36"/>
  <c r="C12" i="13"/>
  <c r="C12" i="23"/>
  <c r="C12" i="16"/>
  <c r="C12" i="22"/>
  <c r="C12" i="19"/>
  <c r="C12" i="17"/>
  <c r="C12" i="18"/>
  <c r="C12" i="26"/>
  <c r="C12" i="20"/>
  <c r="C12" i="11"/>
  <c r="C11" i="12"/>
  <c r="C11" i="6"/>
  <c r="C11" i="15"/>
  <c r="C11" i="21"/>
  <c r="C11" i="36"/>
  <c r="C11" i="13"/>
  <c r="C11" i="23"/>
  <c r="C11" i="16"/>
  <c r="C11" i="22"/>
  <c r="C11" i="19"/>
  <c r="C11" i="17"/>
  <c r="C11" i="18"/>
  <c r="C11" i="26"/>
  <c r="C11" i="20"/>
  <c r="C11" i="11"/>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13" i="36"/>
  <c r="C14" i="36"/>
  <c r="C15" i="36"/>
  <c r="C16" i="36"/>
  <c r="C17" i="36"/>
  <c r="C18" i="36"/>
  <c r="C19" i="36"/>
  <c r="C20" i="36"/>
  <c r="C21" i="36"/>
  <c r="C22" i="36"/>
  <c r="C23" i="36"/>
  <c r="C24" i="36"/>
  <c r="C25" i="36"/>
  <c r="C26" i="36"/>
  <c r="C27" i="36"/>
  <c r="C28" i="36"/>
  <c r="C29" i="36"/>
  <c r="C30" i="36"/>
  <c r="C31" i="36"/>
  <c r="C32" i="36"/>
  <c r="C33" i="36"/>
  <c r="C34" i="36"/>
  <c r="C35" i="36"/>
  <c r="C36" i="36"/>
  <c r="C37" i="36"/>
  <c r="C38" i="36"/>
  <c r="C39" i="36"/>
  <c r="C40" i="36"/>
  <c r="C41" i="36"/>
  <c r="C42" i="36"/>
  <c r="C43" i="36"/>
  <c r="C44" i="36"/>
  <c r="C45" i="36"/>
  <c r="C46" i="36"/>
  <c r="C47" i="36"/>
  <c r="C48" i="36"/>
  <c r="C49" i="36"/>
  <c r="C50" i="36"/>
  <c r="C51" i="36"/>
  <c r="C52" i="36"/>
  <c r="C53" i="36"/>
  <c r="C54" i="36"/>
  <c r="C55" i="36"/>
  <c r="C56" i="36"/>
  <c r="C57" i="36"/>
  <c r="C58" i="36"/>
  <c r="C59" i="36"/>
  <c r="C60" i="36"/>
  <c r="C61" i="36"/>
  <c r="C62" i="36"/>
  <c r="C63" i="36"/>
  <c r="C64" i="36"/>
  <c r="C65" i="36"/>
  <c r="C66" i="36"/>
  <c r="C67" i="36"/>
  <c r="C68" i="36"/>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10" i="12"/>
  <c r="C10" i="6"/>
  <c r="C10" i="15"/>
  <c r="C10" i="21"/>
  <c r="C10" i="36"/>
  <c r="C10" i="13"/>
  <c r="C10" i="23"/>
  <c r="C10" i="16"/>
  <c r="C10" i="22"/>
  <c r="C10" i="19"/>
  <c r="C10" i="17"/>
  <c r="C10" i="18"/>
  <c r="C10" i="26"/>
  <c r="C10" i="20"/>
  <c r="C10" i="11"/>
  <c r="C10" i="10"/>
  <c r="J11" i="37"/>
  <c r="K11" i="37"/>
  <c r="L11" i="37"/>
  <c r="E11" i="37" s="1"/>
  <c r="M11" i="37"/>
  <c r="N11" i="37"/>
  <c r="P11" i="37"/>
  <c r="R11" i="37"/>
  <c r="S11" i="37"/>
  <c r="T11" i="37"/>
  <c r="U11" i="37"/>
  <c r="J12" i="37"/>
  <c r="K12" i="37"/>
  <c r="L12" i="37"/>
  <c r="E12" i="37" s="1"/>
  <c r="M12" i="37"/>
  <c r="N12" i="37"/>
  <c r="P12" i="37"/>
  <c r="R12" i="37"/>
  <c r="S12" i="37"/>
  <c r="T12" i="37"/>
  <c r="U12" i="37"/>
  <c r="J13" i="37"/>
  <c r="K13" i="37"/>
  <c r="L13" i="37"/>
  <c r="E13" i="37" s="1"/>
  <c r="M13" i="37"/>
  <c r="N13" i="37"/>
  <c r="P13" i="37"/>
  <c r="R13" i="37"/>
  <c r="S13" i="37"/>
  <c r="T13" i="37"/>
  <c r="U13" i="37"/>
  <c r="J14" i="37"/>
  <c r="K14" i="37"/>
  <c r="L14" i="37"/>
  <c r="E14" i="37" s="1"/>
  <c r="M14" i="37"/>
  <c r="N14" i="37"/>
  <c r="P14" i="37"/>
  <c r="R14" i="37"/>
  <c r="S14" i="37"/>
  <c r="T14" i="37"/>
  <c r="U14" i="37"/>
  <c r="J15" i="37"/>
  <c r="K15" i="37"/>
  <c r="L15" i="37"/>
  <c r="M15" i="37"/>
  <c r="N15" i="37"/>
  <c r="P15" i="37"/>
  <c r="R15" i="37"/>
  <c r="S15" i="37"/>
  <c r="T15" i="37"/>
  <c r="U15" i="37"/>
  <c r="J16" i="37"/>
  <c r="K16" i="37"/>
  <c r="L16" i="37"/>
  <c r="M16" i="37"/>
  <c r="N16" i="37"/>
  <c r="P16" i="37"/>
  <c r="R16" i="37"/>
  <c r="S16" i="37"/>
  <c r="T16" i="37"/>
  <c r="U16" i="37"/>
  <c r="J17" i="37"/>
  <c r="K17" i="37"/>
  <c r="L17" i="37"/>
  <c r="E17" i="37" s="1"/>
  <c r="M17" i="37"/>
  <c r="N17" i="37"/>
  <c r="P17" i="37"/>
  <c r="R17" i="37"/>
  <c r="S17" i="37"/>
  <c r="T17" i="37"/>
  <c r="U17" i="37"/>
  <c r="J18" i="37"/>
  <c r="K18" i="37"/>
  <c r="L18" i="37"/>
  <c r="E18" i="37" s="1"/>
  <c r="M18" i="37"/>
  <c r="N18" i="37"/>
  <c r="P18" i="37"/>
  <c r="R18" i="37"/>
  <c r="S18" i="37"/>
  <c r="T18" i="37"/>
  <c r="U18" i="37"/>
  <c r="J19" i="37"/>
  <c r="K19" i="37"/>
  <c r="L19" i="37"/>
  <c r="M19" i="37"/>
  <c r="N19" i="37"/>
  <c r="P19" i="37"/>
  <c r="R19" i="37"/>
  <c r="S19" i="37"/>
  <c r="T19" i="37"/>
  <c r="U19" i="37"/>
  <c r="J20" i="37"/>
  <c r="K20" i="37"/>
  <c r="L20" i="37"/>
  <c r="E20" i="37" s="1"/>
  <c r="M20" i="37"/>
  <c r="N20" i="37"/>
  <c r="P20" i="37"/>
  <c r="R20" i="37"/>
  <c r="S20" i="37"/>
  <c r="T20" i="37"/>
  <c r="U20" i="37"/>
  <c r="J21" i="37"/>
  <c r="K21" i="37"/>
  <c r="L21" i="37"/>
  <c r="M21" i="37"/>
  <c r="N21" i="37"/>
  <c r="P21" i="37"/>
  <c r="R21" i="37"/>
  <c r="S21" i="37"/>
  <c r="T21" i="37"/>
  <c r="U21" i="37"/>
  <c r="J22" i="37"/>
  <c r="K22" i="37"/>
  <c r="L22" i="37"/>
  <c r="E22" i="37" s="1"/>
  <c r="M22" i="37"/>
  <c r="N22" i="37"/>
  <c r="P22" i="37"/>
  <c r="R22" i="37"/>
  <c r="S22" i="37"/>
  <c r="T22" i="37"/>
  <c r="U22" i="37"/>
  <c r="J23" i="37"/>
  <c r="K23" i="37"/>
  <c r="L23" i="37"/>
  <c r="E23" i="37" s="1"/>
  <c r="M23" i="37"/>
  <c r="N23" i="37"/>
  <c r="P23" i="37"/>
  <c r="R23" i="37"/>
  <c r="S23" i="37"/>
  <c r="T23" i="37"/>
  <c r="U23" i="37"/>
  <c r="J24" i="37"/>
  <c r="K24" i="37"/>
  <c r="L24" i="37"/>
  <c r="E24" i="37" s="1"/>
  <c r="M24" i="37"/>
  <c r="N24" i="37"/>
  <c r="P24" i="37"/>
  <c r="R24" i="37"/>
  <c r="S24" i="37"/>
  <c r="T24" i="37"/>
  <c r="U24" i="37"/>
  <c r="J25" i="37"/>
  <c r="K25" i="37"/>
  <c r="L25" i="37"/>
  <c r="M25" i="37"/>
  <c r="N25" i="37"/>
  <c r="P25" i="37"/>
  <c r="R25" i="37"/>
  <c r="S25" i="37"/>
  <c r="T25" i="37"/>
  <c r="U25" i="37"/>
  <c r="J26" i="37"/>
  <c r="K26" i="37"/>
  <c r="L26" i="37"/>
  <c r="E26" i="37" s="1"/>
  <c r="M26" i="37"/>
  <c r="N26" i="37"/>
  <c r="P26" i="37"/>
  <c r="R26" i="37"/>
  <c r="S26" i="37"/>
  <c r="T26" i="37"/>
  <c r="U26" i="37"/>
  <c r="J27" i="37"/>
  <c r="K27" i="37"/>
  <c r="L27" i="37"/>
  <c r="E27" i="37" s="1"/>
  <c r="M27" i="37"/>
  <c r="N27" i="37"/>
  <c r="P27" i="37"/>
  <c r="R27" i="37"/>
  <c r="S27" i="37"/>
  <c r="T27" i="37"/>
  <c r="U27" i="37"/>
  <c r="J28" i="37"/>
  <c r="K28" i="37"/>
  <c r="L28" i="37"/>
  <c r="E28" i="37" s="1"/>
  <c r="M28" i="37"/>
  <c r="N28" i="37"/>
  <c r="P28" i="37"/>
  <c r="R28" i="37"/>
  <c r="S28" i="37"/>
  <c r="T28" i="37"/>
  <c r="U28" i="37"/>
  <c r="J29" i="37"/>
  <c r="K29" i="37"/>
  <c r="L29" i="37"/>
  <c r="M29" i="37"/>
  <c r="N29" i="37"/>
  <c r="P29" i="37"/>
  <c r="R29" i="37"/>
  <c r="S29" i="37"/>
  <c r="T29" i="37"/>
  <c r="U29" i="37"/>
  <c r="J30" i="37"/>
  <c r="K30" i="37"/>
  <c r="L30" i="37"/>
  <c r="M30" i="37"/>
  <c r="N30" i="37"/>
  <c r="P30" i="37"/>
  <c r="R30" i="37"/>
  <c r="S30" i="37"/>
  <c r="T30" i="37"/>
  <c r="U30" i="37"/>
  <c r="J31" i="37"/>
  <c r="K31" i="37"/>
  <c r="L31" i="37"/>
  <c r="M31" i="37"/>
  <c r="N31" i="37"/>
  <c r="P31" i="37"/>
  <c r="R31" i="37"/>
  <c r="S31" i="37"/>
  <c r="T31" i="37"/>
  <c r="U31" i="37"/>
  <c r="J32" i="37"/>
  <c r="K32" i="37"/>
  <c r="L32" i="37"/>
  <c r="M32" i="37"/>
  <c r="N32" i="37"/>
  <c r="P32" i="37"/>
  <c r="R32" i="37"/>
  <c r="S32" i="37"/>
  <c r="T32" i="37"/>
  <c r="U32" i="37"/>
  <c r="J33" i="37"/>
  <c r="K33" i="37"/>
  <c r="L33" i="37"/>
  <c r="M33" i="37"/>
  <c r="N33" i="37"/>
  <c r="P33" i="37"/>
  <c r="R33" i="37"/>
  <c r="S33" i="37"/>
  <c r="T33" i="37"/>
  <c r="U33" i="37"/>
  <c r="J34" i="37"/>
  <c r="K34" i="37"/>
  <c r="L34" i="37"/>
  <c r="M34" i="37"/>
  <c r="N34" i="37"/>
  <c r="P34" i="37"/>
  <c r="R34" i="37"/>
  <c r="S34" i="37"/>
  <c r="T34" i="37"/>
  <c r="U34" i="37"/>
  <c r="U10" i="37"/>
  <c r="T10" i="37"/>
  <c r="S10" i="37"/>
  <c r="R10" i="37"/>
  <c r="P10" i="37"/>
  <c r="N10" i="37"/>
  <c r="M10" i="37"/>
  <c r="L10" i="37"/>
  <c r="E10" i="37" s="1"/>
  <c r="K10" i="37"/>
  <c r="J10" i="37"/>
  <c r="F10" i="35"/>
  <c r="G10" i="35"/>
  <c r="H10" i="35"/>
  <c r="I10" i="35"/>
  <c r="J10" i="35"/>
  <c r="L10" i="35"/>
  <c r="N10" i="35"/>
  <c r="P10" i="35"/>
  <c r="Q10" i="35"/>
  <c r="R10" i="35"/>
  <c r="F11" i="35"/>
  <c r="G11" i="35"/>
  <c r="H11" i="35"/>
  <c r="I11" i="35"/>
  <c r="J11" i="35"/>
  <c r="L11" i="35"/>
  <c r="N11" i="35"/>
  <c r="P11" i="35"/>
  <c r="Q11" i="35"/>
  <c r="R11" i="35"/>
  <c r="F12" i="35"/>
  <c r="G12" i="35"/>
  <c r="H12" i="35"/>
  <c r="I12" i="35"/>
  <c r="J12" i="35"/>
  <c r="L12" i="35"/>
  <c r="N12" i="35"/>
  <c r="P12" i="35"/>
  <c r="Q12" i="35"/>
  <c r="R12" i="35"/>
  <c r="F13" i="35"/>
  <c r="G13" i="35"/>
  <c r="H13" i="35"/>
  <c r="I13" i="35"/>
  <c r="J13" i="35"/>
  <c r="L13" i="35"/>
  <c r="N13" i="35"/>
  <c r="P13" i="35"/>
  <c r="Q13" i="35"/>
  <c r="R13" i="35"/>
  <c r="F14" i="35"/>
  <c r="G14" i="35"/>
  <c r="H14" i="35"/>
  <c r="I14" i="35"/>
  <c r="J14" i="35"/>
  <c r="L14" i="35"/>
  <c r="N14" i="35"/>
  <c r="P14" i="35"/>
  <c r="Q14" i="35"/>
  <c r="R14" i="35"/>
  <c r="F15" i="35"/>
  <c r="G15" i="35"/>
  <c r="H15" i="35"/>
  <c r="I15" i="35"/>
  <c r="J15" i="35"/>
  <c r="L15" i="35"/>
  <c r="N15" i="35"/>
  <c r="P15" i="35"/>
  <c r="Q15" i="35"/>
  <c r="R15" i="35"/>
  <c r="F16" i="35"/>
  <c r="G16" i="35"/>
  <c r="H16" i="35"/>
  <c r="I16" i="35"/>
  <c r="J16" i="35"/>
  <c r="L16" i="35"/>
  <c r="N16" i="35"/>
  <c r="P16" i="35"/>
  <c r="Q16" i="35"/>
  <c r="R16" i="35"/>
  <c r="F17" i="35"/>
  <c r="G17" i="35"/>
  <c r="H17" i="35"/>
  <c r="I17" i="35"/>
  <c r="J17" i="35"/>
  <c r="L17" i="35"/>
  <c r="N17" i="35"/>
  <c r="P17" i="35"/>
  <c r="Q17" i="35"/>
  <c r="R17" i="35"/>
  <c r="F18" i="35"/>
  <c r="G18" i="35"/>
  <c r="H18" i="35"/>
  <c r="I18" i="35"/>
  <c r="J18" i="35"/>
  <c r="L18" i="35"/>
  <c r="N18" i="35"/>
  <c r="P18" i="35"/>
  <c r="Q18" i="35"/>
  <c r="R18" i="35"/>
  <c r="F19" i="35"/>
  <c r="G19" i="35"/>
  <c r="H19" i="35"/>
  <c r="I19" i="35"/>
  <c r="J19" i="35"/>
  <c r="L19" i="35"/>
  <c r="N19" i="35"/>
  <c r="P19" i="35"/>
  <c r="Q19" i="35"/>
  <c r="R19" i="35"/>
  <c r="F20" i="35"/>
  <c r="G20" i="35"/>
  <c r="H20" i="35"/>
  <c r="I20" i="35"/>
  <c r="J20" i="35"/>
  <c r="L20" i="35"/>
  <c r="N20" i="35"/>
  <c r="P20" i="35"/>
  <c r="Q20" i="35"/>
  <c r="R20" i="35"/>
  <c r="F21" i="35"/>
  <c r="G21" i="35"/>
  <c r="H21" i="35"/>
  <c r="I21" i="35"/>
  <c r="J21" i="35"/>
  <c r="L21" i="35"/>
  <c r="N21" i="35"/>
  <c r="P21" i="35"/>
  <c r="Q21" i="35"/>
  <c r="R21" i="35"/>
  <c r="F22" i="35"/>
  <c r="G22" i="35"/>
  <c r="H22" i="35"/>
  <c r="I22" i="35"/>
  <c r="J22" i="35"/>
  <c r="L22" i="35"/>
  <c r="N22" i="35"/>
  <c r="P22" i="35"/>
  <c r="Q22" i="35"/>
  <c r="R22" i="35"/>
  <c r="F23" i="35"/>
  <c r="G23" i="35"/>
  <c r="H23" i="35"/>
  <c r="E23" i="35" s="1"/>
  <c r="I23" i="35"/>
  <c r="J23" i="35"/>
  <c r="L23" i="35"/>
  <c r="N23" i="35"/>
  <c r="P23" i="35"/>
  <c r="Q23" i="35"/>
  <c r="R23" i="35"/>
  <c r="F24" i="35"/>
  <c r="G24" i="35"/>
  <c r="H24" i="35"/>
  <c r="I24" i="35"/>
  <c r="J24" i="35"/>
  <c r="L24" i="35"/>
  <c r="N24" i="35"/>
  <c r="P24" i="35"/>
  <c r="Q24" i="35"/>
  <c r="R24" i="35"/>
  <c r="F25" i="35"/>
  <c r="G25" i="35"/>
  <c r="H25" i="35"/>
  <c r="I25" i="35"/>
  <c r="J25" i="35"/>
  <c r="L25" i="35"/>
  <c r="N25" i="35"/>
  <c r="P25" i="35"/>
  <c r="Q25" i="35"/>
  <c r="R25" i="35"/>
  <c r="F26" i="35"/>
  <c r="G26" i="35"/>
  <c r="H26" i="35"/>
  <c r="I26" i="35"/>
  <c r="J26" i="35"/>
  <c r="L26" i="35"/>
  <c r="N26" i="35"/>
  <c r="P26" i="35"/>
  <c r="Q26" i="35"/>
  <c r="R26" i="35"/>
  <c r="F27" i="35"/>
  <c r="G27" i="35"/>
  <c r="H27" i="35"/>
  <c r="I27" i="35"/>
  <c r="J27" i="35"/>
  <c r="L27" i="35"/>
  <c r="N27" i="35"/>
  <c r="P27" i="35"/>
  <c r="Q27" i="35"/>
  <c r="R27" i="35"/>
  <c r="F28" i="35"/>
  <c r="G28" i="35"/>
  <c r="H28" i="35"/>
  <c r="I28" i="35"/>
  <c r="J28" i="35"/>
  <c r="L28" i="35"/>
  <c r="N28" i="35"/>
  <c r="P28" i="35"/>
  <c r="Q28" i="35"/>
  <c r="R28" i="35"/>
  <c r="F29" i="35"/>
  <c r="G29" i="35"/>
  <c r="H29" i="35"/>
  <c r="I29" i="35"/>
  <c r="J29" i="35"/>
  <c r="L29" i="35"/>
  <c r="N29" i="35"/>
  <c r="P29" i="35"/>
  <c r="Q29" i="35"/>
  <c r="R29" i="35"/>
  <c r="F30" i="35"/>
  <c r="G30" i="35"/>
  <c r="H30" i="35"/>
  <c r="I30" i="35"/>
  <c r="J30" i="35"/>
  <c r="L30" i="35"/>
  <c r="N30" i="35"/>
  <c r="P30" i="35"/>
  <c r="Q30" i="35"/>
  <c r="R30" i="35"/>
  <c r="F31" i="35"/>
  <c r="G31" i="35"/>
  <c r="H31" i="35"/>
  <c r="I31" i="35"/>
  <c r="J31" i="35"/>
  <c r="L31" i="35"/>
  <c r="N31" i="35"/>
  <c r="P31" i="35"/>
  <c r="Q31" i="35"/>
  <c r="R31" i="35"/>
  <c r="F32" i="35"/>
  <c r="G32" i="35"/>
  <c r="H32" i="35"/>
  <c r="I32" i="35"/>
  <c r="J32" i="35"/>
  <c r="L32" i="35"/>
  <c r="N32" i="35"/>
  <c r="P32" i="35"/>
  <c r="Q32" i="35"/>
  <c r="R32" i="35"/>
  <c r="F33" i="35"/>
  <c r="G33" i="35"/>
  <c r="H33" i="35"/>
  <c r="I33" i="35"/>
  <c r="J33" i="35"/>
  <c r="L33" i="35"/>
  <c r="N33" i="35"/>
  <c r="P33" i="35"/>
  <c r="Q33" i="35"/>
  <c r="R33" i="35"/>
  <c r="R9" i="35"/>
  <c r="Q9" i="35"/>
  <c r="P9" i="35"/>
  <c r="N9" i="35"/>
  <c r="L9" i="35"/>
  <c r="J9" i="35"/>
  <c r="I9" i="35"/>
  <c r="H9" i="35"/>
  <c r="G9" i="35"/>
  <c r="F9" i="35"/>
  <c r="R10" i="25"/>
  <c r="R11" i="25"/>
  <c r="R12" i="25"/>
  <c r="R13" i="25"/>
  <c r="R14" i="25"/>
  <c r="R15" i="25"/>
  <c r="R16" i="25"/>
  <c r="R17" i="25"/>
  <c r="R18" i="25"/>
  <c r="R19" i="25"/>
  <c r="R20" i="25"/>
  <c r="R21" i="25"/>
  <c r="R22" i="25"/>
  <c r="R23" i="25"/>
  <c r="R24" i="25"/>
  <c r="R25" i="25"/>
  <c r="R26" i="25"/>
  <c r="R27" i="25"/>
  <c r="R28" i="25"/>
  <c r="R29" i="25"/>
  <c r="R30" i="25"/>
  <c r="R31" i="25"/>
  <c r="R32" i="25"/>
  <c r="R33" i="25"/>
  <c r="R9" i="25"/>
  <c r="Q10" i="25"/>
  <c r="Q11" i="25"/>
  <c r="Q12" i="25"/>
  <c r="Q13" i="25"/>
  <c r="Q14" i="25"/>
  <c r="Q15" i="25"/>
  <c r="Q16" i="25"/>
  <c r="Q17" i="25"/>
  <c r="Q18" i="25"/>
  <c r="Q19" i="25"/>
  <c r="Q20" i="25"/>
  <c r="Q21" i="25"/>
  <c r="Q22" i="25"/>
  <c r="Q23" i="25"/>
  <c r="Q24" i="25"/>
  <c r="Q25" i="25"/>
  <c r="Q26" i="25"/>
  <c r="Q27" i="25"/>
  <c r="Q28" i="25"/>
  <c r="Q29" i="25"/>
  <c r="Q30" i="25"/>
  <c r="Q31" i="25"/>
  <c r="Q32" i="25"/>
  <c r="Q33" i="25"/>
  <c r="Q9" i="25"/>
  <c r="P10" i="25"/>
  <c r="P11" i="25"/>
  <c r="P12" i="25"/>
  <c r="P13" i="25"/>
  <c r="P14" i="25"/>
  <c r="P15" i="25"/>
  <c r="P16" i="25"/>
  <c r="P17" i="25"/>
  <c r="P18" i="25"/>
  <c r="P19" i="25"/>
  <c r="P20" i="25"/>
  <c r="P21" i="25"/>
  <c r="P22" i="25"/>
  <c r="P23" i="25"/>
  <c r="P24" i="25"/>
  <c r="P25" i="25"/>
  <c r="P26" i="25"/>
  <c r="P27" i="25"/>
  <c r="P28" i="25"/>
  <c r="P29" i="25"/>
  <c r="P30" i="25"/>
  <c r="P31" i="25"/>
  <c r="P32" i="25"/>
  <c r="P33" i="25"/>
  <c r="P9" i="25"/>
  <c r="N10" i="25"/>
  <c r="N11" i="25"/>
  <c r="N12" i="25"/>
  <c r="N13" i="25"/>
  <c r="N14" i="25"/>
  <c r="N15" i="25"/>
  <c r="N16" i="25"/>
  <c r="N17" i="25"/>
  <c r="N18" i="25"/>
  <c r="N19" i="25"/>
  <c r="N20" i="25"/>
  <c r="N21" i="25"/>
  <c r="N22" i="25"/>
  <c r="N23" i="25"/>
  <c r="N24" i="25"/>
  <c r="N25" i="25"/>
  <c r="N26" i="25"/>
  <c r="N27" i="25"/>
  <c r="N28" i="25"/>
  <c r="N29" i="25"/>
  <c r="N30" i="25"/>
  <c r="N31" i="25"/>
  <c r="N32" i="25"/>
  <c r="N33" i="25"/>
  <c r="N9" i="25"/>
  <c r="L10" i="25"/>
  <c r="L11" i="25"/>
  <c r="L12" i="25"/>
  <c r="L13" i="25"/>
  <c r="L14" i="25"/>
  <c r="L15" i="25"/>
  <c r="L16" i="25"/>
  <c r="L17" i="25"/>
  <c r="L18" i="25"/>
  <c r="L19" i="25"/>
  <c r="L20" i="25"/>
  <c r="L21" i="25"/>
  <c r="L22" i="25"/>
  <c r="L23" i="25"/>
  <c r="L24" i="25"/>
  <c r="L25" i="25"/>
  <c r="L26" i="25"/>
  <c r="L27" i="25"/>
  <c r="L28" i="25"/>
  <c r="L29" i="25"/>
  <c r="L30" i="25"/>
  <c r="L31" i="25"/>
  <c r="L32" i="25"/>
  <c r="L33" i="25"/>
  <c r="L9" i="25"/>
  <c r="J10" i="25"/>
  <c r="J11" i="25"/>
  <c r="J12" i="25"/>
  <c r="J13" i="25"/>
  <c r="J14" i="25"/>
  <c r="J15" i="25"/>
  <c r="J16" i="25"/>
  <c r="J17" i="25"/>
  <c r="J18" i="25"/>
  <c r="J19" i="25"/>
  <c r="J20" i="25"/>
  <c r="J21" i="25"/>
  <c r="J22" i="25"/>
  <c r="J23" i="25"/>
  <c r="J24" i="25"/>
  <c r="J25" i="25"/>
  <c r="J26" i="25"/>
  <c r="J27" i="25"/>
  <c r="J28" i="25"/>
  <c r="J29" i="25"/>
  <c r="J30" i="25"/>
  <c r="J31" i="25"/>
  <c r="J32" i="25"/>
  <c r="J33" i="25"/>
  <c r="J9" i="25"/>
  <c r="I10" i="25"/>
  <c r="I11" i="25"/>
  <c r="I12" i="25"/>
  <c r="I13" i="25"/>
  <c r="I14" i="25"/>
  <c r="I15" i="25"/>
  <c r="I16" i="25"/>
  <c r="I17" i="25"/>
  <c r="I18" i="25"/>
  <c r="I19" i="25"/>
  <c r="I20" i="25"/>
  <c r="I21" i="25"/>
  <c r="I22" i="25"/>
  <c r="I23" i="25"/>
  <c r="I24" i="25"/>
  <c r="I25" i="25"/>
  <c r="I26" i="25"/>
  <c r="I27" i="25"/>
  <c r="I28" i="25"/>
  <c r="I29" i="25"/>
  <c r="I30" i="25"/>
  <c r="I31" i="25"/>
  <c r="I32" i="25"/>
  <c r="I33" i="25"/>
  <c r="I9" i="25"/>
  <c r="H10" i="25"/>
  <c r="H11" i="25"/>
  <c r="H12" i="25"/>
  <c r="H13" i="25"/>
  <c r="H14" i="25"/>
  <c r="H15" i="25"/>
  <c r="H16" i="25"/>
  <c r="H17" i="25"/>
  <c r="H18" i="25"/>
  <c r="H19" i="25"/>
  <c r="H20" i="25"/>
  <c r="H21" i="25"/>
  <c r="H22" i="25"/>
  <c r="H23" i="25"/>
  <c r="H24" i="25"/>
  <c r="H25" i="25"/>
  <c r="H26" i="25"/>
  <c r="H27" i="25"/>
  <c r="H28" i="25"/>
  <c r="H29" i="25"/>
  <c r="H30" i="25"/>
  <c r="H31" i="25"/>
  <c r="H32" i="25"/>
  <c r="H33" i="25"/>
  <c r="H9" i="25"/>
  <c r="G10" i="25"/>
  <c r="G11" i="25"/>
  <c r="G12" i="25"/>
  <c r="G13" i="25"/>
  <c r="G14" i="25"/>
  <c r="G15" i="25"/>
  <c r="G16" i="25"/>
  <c r="G17" i="25"/>
  <c r="G18" i="25"/>
  <c r="G19" i="25"/>
  <c r="G20" i="25"/>
  <c r="G21" i="25"/>
  <c r="G22" i="25"/>
  <c r="G23" i="25"/>
  <c r="G24" i="25"/>
  <c r="G25" i="25"/>
  <c r="G26" i="25"/>
  <c r="G27" i="25"/>
  <c r="G28" i="25"/>
  <c r="G29" i="25"/>
  <c r="G30" i="25"/>
  <c r="G31" i="25"/>
  <c r="G32" i="25"/>
  <c r="G33" i="25"/>
  <c r="G9" i="25"/>
  <c r="F10" i="25"/>
  <c r="F11" i="25"/>
  <c r="F12" i="25"/>
  <c r="F13" i="25"/>
  <c r="F14" i="25"/>
  <c r="F15" i="25"/>
  <c r="F16" i="25"/>
  <c r="F17" i="25"/>
  <c r="F18" i="25"/>
  <c r="F19" i="25"/>
  <c r="F20" i="25"/>
  <c r="F21" i="25"/>
  <c r="F22" i="25"/>
  <c r="F23" i="25"/>
  <c r="F24" i="25"/>
  <c r="F25" i="25"/>
  <c r="F26" i="25"/>
  <c r="F27" i="25"/>
  <c r="F28" i="25"/>
  <c r="F29" i="25"/>
  <c r="F30" i="25"/>
  <c r="F31" i="25"/>
  <c r="F32" i="25"/>
  <c r="F33" i="25"/>
  <c r="F9" i="25"/>
  <c r="C8" i="8"/>
  <c r="D8" i="8"/>
  <c r="E8" i="8"/>
  <c r="F8" i="8"/>
  <c r="G8" i="8"/>
  <c r="H8" i="8"/>
  <c r="I8" i="8"/>
  <c r="J8" i="8"/>
  <c r="K8" i="8"/>
  <c r="L8" i="8"/>
  <c r="M8" i="8"/>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D36" i="37"/>
  <c r="F36" i="37"/>
  <c r="G11" i="37"/>
  <c r="G12" i="37"/>
  <c r="G13" i="37"/>
  <c r="G14" i="37"/>
  <c r="G15" i="37"/>
  <c r="G16" i="37"/>
  <c r="G17" i="37"/>
  <c r="G18" i="37"/>
  <c r="G19" i="37"/>
  <c r="G20" i="37"/>
  <c r="G21" i="37"/>
  <c r="G22" i="37"/>
  <c r="G23" i="37"/>
  <c r="G24" i="37"/>
  <c r="G25" i="37"/>
  <c r="G26" i="37"/>
  <c r="G27" i="37"/>
  <c r="G28" i="37"/>
  <c r="H28" i="37" s="1"/>
  <c r="G29" i="37"/>
  <c r="H29" i="37" s="1"/>
  <c r="G30" i="37"/>
  <c r="H30" i="37" s="1"/>
  <c r="G31" i="37"/>
  <c r="H31" i="37" s="1"/>
  <c r="G32" i="37"/>
  <c r="H32" i="37" s="1"/>
  <c r="G33" i="37"/>
  <c r="H33" i="37" s="1"/>
  <c r="G34" i="37"/>
  <c r="H34" i="37" s="1"/>
  <c r="G10" i="37"/>
  <c r="C7" i="8"/>
  <c r="D10" i="25"/>
  <c r="D11" i="25"/>
  <c r="D12" i="25"/>
  <c r="D13" i="25"/>
  <c r="D14" i="25"/>
  <c r="D15" i="25"/>
  <c r="D16" i="25"/>
  <c r="D17" i="25"/>
  <c r="D18" i="25"/>
  <c r="D19" i="25"/>
  <c r="D20" i="25"/>
  <c r="D21" i="25"/>
  <c r="D22" i="25"/>
  <c r="D23" i="25"/>
  <c r="D24" i="25"/>
  <c r="D25" i="25"/>
  <c r="O26" i="37" l="1"/>
  <c r="K23" i="35"/>
  <c r="Q25" i="37"/>
  <c r="O23" i="35"/>
  <c r="K22" i="35"/>
  <c r="K10" i="35"/>
  <c r="M29" i="35"/>
  <c r="K18" i="35"/>
  <c r="K14" i="35"/>
  <c r="K33" i="35"/>
  <c r="K21" i="35"/>
  <c r="Q23" i="37"/>
  <c r="Q21" i="37"/>
  <c r="O11" i="37"/>
  <c r="E21" i="37"/>
  <c r="K32" i="35"/>
  <c r="M23" i="35"/>
  <c r="M15" i="35"/>
  <c r="K11" i="35"/>
  <c r="O14" i="37"/>
  <c r="O24" i="37"/>
  <c r="Q19" i="37"/>
  <c r="O17" i="37"/>
  <c r="M9" i="35"/>
  <c r="K31" i="35"/>
  <c r="K13" i="35"/>
  <c r="Q31" i="37"/>
  <c r="M20" i="35"/>
  <c r="O12" i="37"/>
  <c r="M12" i="35"/>
  <c r="O34" i="37"/>
  <c r="O30" i="37"/>
  <c r="O25" i="37"/>
  <c r="M21" i="35"/>
  <c r="K15" i="35"/>
  <c r="O21" i="37"/>
  <c r="O22" i="37"/>
  <c r="O27" i="37"/>
  <c r="M28" i="35"/>
  <c r="K19" i="35"/>
  <c r="K16" i="35"/>
  <c r="M11" i="35"/>
  <c r="O13" i="37"/>
  <c r="M31" i="35"/>
  <c r="K24" i="35"/>
  <c r="M19" i="35"/>
  <c r="M16" i="35"/>
  <c r="K28" i="35"/>
  <c r="M24" i="35"/>
  <c r="K17" i="35"/>
  <c r="M13" i="35"/>
  <c r="O33" i="37"/>
  <c r="O29" i="37"/>
  <c r="M33" i="35"/>
  <c r="K27" i="35"/>
  <c r="K25" i="35"/>
  <c r="O15" i="37"/>
  <c r="K30" i="35"/>
  <c r="O32" i="37"/>
  <c r="O28" i="37"/>
  <c r="O18" i="37"/>
  <c r="Q15" i="37"/>
  <c r="Q11" i="37"/>
  <c r="O23" i="37"/>
  <c r="O20" i="37"/>
  <c r="Q17" i="37"/>
  <c r="O19" i="37"/>
  <c r="O16" i="37"/>
  <c r="Q13" i="37"/>
  <c r="Q27" i="37"/>
  <c r="Q29" i="37"/>
  <c r="Q26" i="37"/>
  <c r="Q24" i="37"/>
  <c r="Q22" i="37"/>
  <c r="Q20" i="37"/>
  <c r="Q18" i="37"/>
  <c r="Q16" i="37"/>
  <c r="Q14" i="37"/>
  <c r="Q12" i="37"/>
  <c r="Q33" i="37"/>
  <c r="O31" i="37"/>
  <c r="Q34" i="37"/>
  <c r="Q32" i="37"/>
  <c r="Q30" i="37"/>
  <c r="Q28" i="37"/>
  <c r="M26" i="35"/>
  <c r="K20" i="35"/>
  <c r="M18" i="35"/>
  <c r="K12" i="35"/>
  <c r="M10" i="35"/>
  <c r="K26" i="35"/>
  <c r="M22" i="35"/>
  <c r="M14" i="35"/>
  <c r="M32" i="35"/>
  <c r="K29" i="35"/>
  <c r="M30" i="35"/>
  <c r="M25" i="35"/>
  <c r="M17" i="35"/>
  <c r="M27" i="35"/>
  <c r="K9" i="35"/>
  <c r="M174" i="37"/>
  <c r="D190" i="37"/>
  <c r="C187" i="37"/>
  <c r="C195" i="37"/>
  <c r="D191" i="37"/>
  <c r="C188" i="37"/>
  <c r="D182" i="37"/>
  <c r="D192" i="37"/>
  <c r="C189" i="37"/>
  <c r="D183" i="37"/>
  <c r="D193" i="37"/>
  <c r="C190" i="37"/>
  <c r="D184" i="37"/>
  <c r="D194" i="37"/>
  <c r="C191" i="37"/>
  <c r="D187" i="37"/>
  <c r="D195" i="37"/>
  <c r="C182" i="37"/>
  <c r="F182" i="37" s="1"/>
  <c r="C192" i="37"/>
  <c r="D188" i="37"/>
  <c r="C183" i="37"/>
  <c r="F183" i="37" s="1"/>
  <c r="C193" i="37"/>
  <c r="D189" i="37"/>
  <c r="C184" i="37"/>
  <c r="F184" i="37" s="1"/>
  <c r="C194" i="37"/>
  <c r="I23" i="37"/>
  <c r="I30" i="37"/>
  <c r="I15" i="37"/>
  <c r="I21" i="37"/>
  <c r="I13" i="37"/>
  <c r="I28" i="37"/>
  <c r="I20" i="37"/>
  <c r="I12" i="37"/>
  <c r="I10" i="37"/>
  <c r="I27" i="37"/>
  <c r="I19" i="37"/>
  <c r="I11" i="37"/>
  <c r="I26" i="37"/>
  <c r="I18" i="37"/>
  <c r="I25" i="37"/>
  <c r="I17" i="37"/>
  <c r="I34" i="37"/>
  <c r="I33" i="37"/>
  <c r="I31" i="37"/>
  <c r="I29" i="37"/>
  <c r="G36" i="37"/>
  <c r="H27" i="37" s="1"/>
  <c r="I16" i="37"/>
  <c r="I24" i="37"/>
  <c r="I32" i="37"/>
  <c r="I14" i="37"/>
  <c r="I22" i="37"/>
  <c r="Q10" i="37"/>
  <c r="O10" i="37"/>
  <c r="E34" i="37"/>
  <c r="E31" i="37"/>
  <c r="E33" i="37"/>
  <c r="E32" i="37"/>
  <c r="E30" i="37"/>
  <c r="D35" i="37"/>
  <c r="E19" i="37"/>
  <c r="E29" i="37"/>
  <c r="E25" i="37"/>
  <c r="E15" i="37"/>
  <c r="E16" i="37"/>
  <c r="E16" i="25"/>
  <c r="O16" i="25" s="1"/>
  <c r="E20" i="25"/>
  <c r="O20" i="25" s="1"/>
  <c r="K24" i="25"/>
  <c r="E18" i="25"/>
  <c r="O18" i="25" s="1"/>
  <c r="K18" i="25"/>
  <c r="M10" i="25"/>
  <c r="M22" i="25"/>
  <c r="M17" i="25"/>
  <c r="E24" i="25"/>
  <c r="O24" i="25" s="1"/>
  <c r="K23" i="25"/>
  <c r="M14" i="25"/>
  <c r="K16" i="25"/>
  <c r="K15" i="25"/>
  <c r="K25" i="25"/>
  <c r="E22" i="25"/>
  <c r="O22" i="25" s="1"/>
  <c r="E21" i="25"/>
  <c r="O21" i="25" s="1"/>
  <c r="E12" i="25"/>
  <c r="O12" i="25" s="1"/>
  <c r="K10" i="25"/>
  <c r="E13" i="25"/>
  <c r="O13" i="25" s="1"/>
  <c r="E11" i="25"/>
  <c r="O11" i="25" s="1"/>
  <c r="K14" i="25"/>
  <c r="M11" i="25"/>
  <c r="E19" i="25"/>
  <c r="O19" i="25" s="1"/>
  <c r="E17" i="25"/>
  <c r="O17" i="25" s="1"/>
  <c r="M20" i="25"/>
  <c r="K22" i="25"/>
  <c r="M19" i="25"/>
  <c r="M18" i="25"/>
  <c r="E25" i="25"/>
  <c r="O25" i="25" s="1"/>
  <c r="K17" i="25"/>
  <c r="E14" i="25"/>
  <c r="O14" i="25" s="1"/>
  <c r="M12" i="25"/>
  <c r="E10" i="25"/>
  <c r="O10" i="25" s="1"/>
  <c r="M21" i="25"/>
  <c r="K19" i="25"/>
  <c r="M13" i="25"/>
  <c r="K11" i="25"/>
  <c r="K20" i="25"/>
  <c r="K12" i="25"/>
  <c r="M23" i="25"/>
  <c r="E23" i="25"/>
  <c r="O23" i="25" s="1"/>
  <c r="K21" i="25"/>
  <c r="M15" i="25"/>
  <c r="E15" i="25"/>
  <c r="O15" i="25" s="1"/>
  <c r="K13" i="25"/>
  <c r="M24" i="25"/>
  <c r="M16" i="25"/>
  <c r="M25" i="25"/>
  <c r="H26" i="37" l="1"/>
  <c r="C26" i="37"/>
  <c r="C27" i="37"/>
  <c r="H11" i="37"/>
  <c r="H19" i="37"/>
  <c r="H10" i="37"/>
  <c r="H13" i="37"/>
  <c r="H17" i="37"/>
  <c r="H12" i="37"/>
  <c r="H20" i="37"/>
  <c r="H14" i="37"/>
  <c r="H22" i="37"/>
  <c r="H16" i="37"/>
  <c r="H15" i="37"/>
  <c r="H23" i="37"/>
  <c r="H24" i="37"/>
  <c r="H25" i="37"/>
  <c r="D180" i="37" s="1"/>
  <c r="G180" i="37" s="1"/>
  <c r="H18" i="37"/>
  <c r="H21" i="37"/>
  <c r="C18" i="37"/>
  <c r="C20" i="37"/>
  <c r="C11" i="37"/>
  <c r="C19" i="37"/>
  <c r="C10" i="37"/>
  <c r="C12" i="37"/>
  <c r="C13" i="37"/>
  <c r="C21" i="37"/>
  <c r="C15" i="37"/>
  <c r="C24" i="37"/>
  <c r="C14" i="37"/>
  <c r="C22" i="37"/>
  <c r="C23" i="37"/>
  <c r="C17" i="37"/>
  <c r="C25" i="37"/>
  <c r="C16" i="37"/>
  <c r="R35" i="37"/>
  <c r="L179" i="37" s="1"/>
  <c r="G183" i="37"/>
  <c r="H183" i="37"/>
  <c r="G182" i="37"/>
  <c r="H182" i="37"/>
  <c r="G184" i="37"/>
  <c r="H184" i="37"/>
  <c r="R36" i="37"/>
  <c r="M179" i="37" s="1"/>
  <c r="D185" i="37"/>
  <c r="D7" i="8"/>
  <c r="H82" i="36"/>
  <c r="H81" i="36"/>
  <c r="H80" i="36"/>
  <c r="P79" i="36"/>
  <c r="O79" i="36"/>
  <c r="N79" i="36"/>
  <c r="M79" i="36"/>
  <c r="H79" i="36"/>
  <c r="P78" i="36"/>
  <c r="O78" i="36"/>
  <c r="N78" i="36"/>
  <c r="M78" i="36"/>
  <c r="H78" i="36"/>
  <c r="P77" i="36"/>
  <c r="O77" i="36"/>
  <c r="N77" i="36"/>
  <c r="M77" i="36"/>
  <c r="H77" i="36"/>
  <c r="P76" i="36"/>
  <c r="O76" i="36"/>
  <c r="N76" i="36"/>
  <c r="M76" i="36"/>
  <c r="H76" i="36"/>
  <c r="P75" i="36"/>
  <c r="O75" i="36"/>
  <c r="N75" i="36"/>
  <c r="M75" i="36"/>
  <c r="H75" i="36"/>
  <c r="P74" i="36"/>
  <c r="O74" i="36"/>
  <c r="N74" i="36"/>
  <c r="M74" i="36"/>
  <c r="H74" i="36"/>
  <c r="P73" i="36"/>
  <c r="O73" i="36"/>
  <c r="N73" i="36"/>
  <c r="M73" i="36"/>
  <c r="H73" i="36"/>
  <c r="P72" i="36"/>
  <c r="O72" i="36"/>
  <c r="N72" i="36"/>
  <c r="M72" i="36"/>
  <c r="H72" i="36"/>
  <c r="P71" i="36"/>
  <c r="O71" i="36"/>
  <c r="N71" i="36"/>
  <c r="M71" i="36"/>
  <c r="H71" i="36"/>
  <c r="P70" i="36"/>
  <c r="O70" i="36"/>
  <c r="N70" i="36"/>
  <c r="M70" i="36"/>
  <c r="H70" i="36"/>
  <c r="P69" i="36"/>
  <c r="O69" i="36"/>
  <c r="N69" i="36"/>
  <c r="M69" i="36"/>
  <c r="H69" i="36"/>
  <c r="P68" i="36"/>
  <c r="O68" i="36"/>
  <c r="N68" i="36"/>
  <c r="M68" i="36"/>
  <c r="H68" i="36"/>
  <c r="P67" i="36"/>
  <c r="O67" i="36"/>
  <c r="N67" i="36"/>
  <c r="M67" i="36"/>
  <c r="L67" i="36"/>
  <c r="K67" i="36"/>
  <c r="J67" i="36"/>
  <c r="I67" i="36"/>
  <c r="H67" i="36"/>
  <c r="G67" i="36"/>
  <c r="F67" i="36"/>
  <c r="E67" i="36"/>
  <c r="D67" i="36"/>
  <c r="P66" i="36"/>
  <c r="O66" i="36"/>
  <c r="N66" i="36"/>
  <c r="M66" i="36"/>
  <c r="L66" i="36"/>
  <c r="K66" i="36"/>
  <c r="J66" i="36"/>
  <c r="I66" i="36"/>
  <c r="H66" i="36"/>
  <c r="G66" i="36"/>
  <c r="F66" i="36"/>
  <c r="E66" i="36"/>
  <c r="D66" i="36"/>
  <c r="P65" i="36"/>
  <c r="O65" i="36"/>
  <c r="N65" i="36"/>
  <c r="M65" i="36"/>
  <c r="L65" i="36"/>
  <c r="K65" i="36"/>
  <c r="J65" i="36"/>
  <c r="I65" i="36"/>
  <c r="H65" i="36"/>
  <c r="G65" i="36"/>
  <c r="F65" i="36"/>
  <c r="E65" i="36"/>
  <c r="D65" i="36"/>
  <c r="P64" i="36"/>
  <c r="O64" i="36"/>
  <c r="N64" i="36"/>
  <c r="M64" i="36"/>
  <c r="L64" i="36"/>
  <c r="K64" i="36"/>
  <c r="J64" i="36"/>
  <c r="I64" i="36"/>
  <c r="H64" i="36"/>
  <c r="G64" i="36"/>
  <c r="F64" i="36"/>
  <c r="E64" i="36"/>
  <c r="D64" i="36"/>
  <c r="P63" i="36"/>
  <c r="O63" i="36"/>
  <c r="N63" i="36"/>
  <c r="M63" i="36"/>
  <c r="L63" i="36"/>
  <c r="K63" i="36"/>
  <c r="J63" i="36"/>
  <c r="I63" i="36"/>
  <c r="H63" i="36"/>
  <c r="G63" i="36"/>
  <c r="F63" i="36"/>
  <c r="E63" i="36"/>
  <c r="D63" i="36"/>
  <c r="P62" i="36"/>
  <c r="O62" i="36"/>
  <c r="N62" i="36"/>
  <c r="M62" i="36"/>
  <c r="L62" i="36"/>
  <c r="K62" i="36"/>
  <c r="J62" i="36"/>
  <c r="I62" i="36"/>
  <c r="H62" i="36"/>
  <c r="G62" i="36"/>
  <c r="F62" i="36"/>
  <c r="E62" i="36"/>
  <c r="D62" i="36"/>
  <c r="P61" i="36"/>
  <c r="O61" i="36"/>
  <c r="N61" i="36"/>
  <c r="M61" i="36"/>
  <c r="L61" i="36"/>
  <c r="K61" i="36"/>
  <c r="J61" i="36"/>
  <c r="I61" i="36"/>
  <c r="H61" i="36"/>
  <c r="G61" i="36"/>
  <c r="F61" i="36"/>
  <c r="E61" i="36"/>
  <c r="D61" i="36"/>
  <c r="P60" i="36"/>
  <c r="O60" i="36"/>
  <c r="N60" i="36"/>
  <c r="M60" i="36"/>
  <c r="L60" i="36"/>
  <c r="K60" i="36"/>
  <c r="J60" i="36"/>
  <c r="I60" i="36"/>
  <c r="H60" i="36"/>
  <c r="G60" i="36"/>
  <c r="F60" i="36"/>
  <c r="E60" i="36"/>
  <c r="D60" i="36"/>
  <c r="P59" i="36"/>
  <c r="O59" i="36"/>
  <c r="N59" i="36"/>
  <c r="M59" i="36"/>
  <c r="L59" i="36"/>
  <c r="K59" i="36"/>
  <c r="J59" i="36"/>
  <c r="I59" i="36"/>
  <c r="H59" i="36"/>
  <c r="G59" i="36"/>
  <c r="F59" i="36"/>
  <c r="E59" i="36"/>
  <c r="D59" i="36"/>
  <c r="P58" i="36"/>
  <c r="O58" i="36"/>
  <c r="N58" i="36"/>
  <c r="M58" i="36"/>
  <c r="L58" i="36"/>
  <c r="K58" i="36"/>
  <c r="J58" i="36"/>
  <c r="I58" i="36"/>
  <c r="H58" i="36"/>
  <c r="G58" i="36"/>
  <c r="F58" i="36"/>
  <c r="E58" i="36"/>
  <c r="D58" i="36"/>
  <c r="P57" i="36"/>
  <c r="O57" i="36"/>
  <c r="N57" i="36"/>
  <c r="M57" i="36"/>
  <c r="L57" i="36"/>
  <c r="K57" i="36"/>
  <c r="J57" i="36"/>
  <c r="I57" i="36"/>
  <c r="H57" i="36"/>
  <c r="G57" i="36"/>
  <c r="F57" i="36"/>
  <c r="E57" i="36"/>
  <c r="D57" i="36"/>
  <c r="P56" i="36"/>
  <c r="O56" i="36"/>
  <c r="N56" i="36"/>
  <c r="M56" i="36"/>
  <c r="L56" i="36"/>
  <c r="K56" i="36"/>
  <c r="J56" i="36"/>
  <c r="I56" i="36"/>
  <c r="H56" i="36"/>
  <c r="G56" i="36"/>
  <c r="F56" i="36"/>
  <c r="E56" i="36"/>
  <c r="D56" i="36"/>
  <c r="P55" i="36"/>
  <c r="O55" i="36"/>
  <c r="N55" i="36"/>
  <c r="M55" i="36"/>
  <c r="L55" i="36"/>
  <c r="K55" i="36"/>
  <c r="J55" i="36"/>
  <c r="I55" i="36"/>
  <c r="H55" i="36"/>
  <c r="G55" i="36"/>
  <c r="F55" i="36"/>
  <c r="E55" i="36"/>
  <c r="D55" i="36"/>
  <c r="P54" i="36"/>
  <c r="O54" i="36"/>
  <c r="N54" i="36"/>
  <c r="M54" i="36"/>
  <c r="L54" i="36"/>
  <c r="K54" i="36"/>
  <c r="J54" i="36"/>
  <c r="I54" i="36"/>
  <c r="H54" i="36"/>
  <c r="G54" i="36"/>
  <c r="F54" i="36"/>
  <c r="E54" i="36"/>
  <c r="D54" i="36"/>
  <c r="P53" i="36"/>
  <c r="O53" i="36"/>
  <c r="N53" i="36"/>
  <c r="M53" i="36"/>
  <c r="L53" i="36"/>
  <c r="K53" i="36"/>
  <c r="J53" i="36"/>
  <c r="I53" i="36"/>
  <c r="H53" i="36"/>
  <c r="G53" i="36"/>
  <c r="F53" i="36"/>
  <c r="E53" i="36"/>
  <c r="D53" i="36"/>
  <c r="P52" i="36"/>
  <c r="O52" i="36"/>
  <c r="N52" i="36"/>
  <c r="M52" i="36"/>
  <c r="L52" i="36"/>
  <c r="K52" i="36"/>
  <c r="J52" i="36"/>
  <c r="I52" i="36"/>
  <c r="H52" i="36"/>
  <c r="G52" i="36"/>
  <c r="F52" i="36"/>
  <c r="E52" i="36"/>
  <c r="D52" i="36"/>
  <c r="P51" i="36"/>
  <c r="O51" i="36"/>
  <c r="N51" i="36"/>
  <c r="M51" i="36"/>
  <c r="L51" i="36"/>
  <c r="K51" i="36"/>
  <c r="J51" i="36"/>
  <c r="I51" i="36"/>
  <c r="H51" i="36"/>
  <c r="G51" i="36"/>
  <c r="F51" i="36"/>
  <c r="E51" i="36"/>
  <c r="D51" i="36"/>
  <c r="P50" i="36"/>
  <c r="O50" i="36"/>
  <c r="N50" i="36"/>
  <c r="M50" i="36"/>
  <c r="L50" i="36"/>
  <c r="K50" i="36"/>
  <c r="J50" i="36"/>
  <c r="I50" i="36"/>
  <c r="H50" i="36"/>
  <c r="G50" i="36"/>
  <c r="F50" i="36"/>
  <c r="E50" i="36"/>
  <c r="D50" i="36"/>
  <c r="P49" i="36"/>
  <c r="O49" i="36"/>
  <c r="N49" i="36"/>
  <c r="M49" i="36"/>
  <c r="L49" i="36"/>
  <c r="K49" i="36"/>
  <c r="J49" i="36"/>
  <c r="I49" i="36"/>
  <c r="H49" i="36"/>
  <c r="G49" i="36"/>
  <c r="F49" i="36"/>
  <c r="E49" i="36"/>
  <c r="D49" i="36"/>
  <c r="P48" i="36"/>
  <c r="O48" i="36"/>
  <c r="N48" i="36"/>
  <c r="M48" i="36"/>
  <c r="L48" i="36"/>
  <c r="K48" i="36"/>
  <c r="J48" i="36"/>
  <c r="I48" i="36"/>
  <c r="H48" i="36"/>
  <c r="G48" i="36"/>
  <c r="F48" i="36"/>
  <c r="E48" i="36"/>
  <c r="D48" i="36"/>
  <c r="P47" i="36"/>
  <c r="O47" i="36"/>
  <c r="N47" i="36"/>
  <c r="M47" i="36"/>
  <c r="L47" i="36"/>
  <c r="K47" i="36"/>
  <c r="J47" i="36"/>
  <c r="I47" i="36"/>
  <c r="H47" i="36"/>
  <c r="G47" i="36"/>
  <c r="F47" i="36"/>
  <c r="E47" i="36"/>
  <c r="D47" i="36"/>
  <c r="P46" i="36"/>
  <c r="O46" i="36"/>
  <c r="N46" i="36"/>
  <c r="M46" i="36"/>
  <c r="L46" i="36"/>
  <c r="K46" i="36"/>
  <c r="J46" i="36"/>
  <c r="I46" i="36"/>
  <c r="H46" i="36"/>
  <c r="G46" i="36"/>
  <c r="F46" i="36"/>
  <c r="E46" i="36"/>
  <c r="D46" i="36"/>
  <c r="P45" i="36"/>
  <c r="O45" i="36"/>
  <c r="N45" i="36"/>
  <c r="M45" i="36"/>
  <c r="L45" i="36"/>
  <c r="K45" i="36"/>
  <c r="J45" i="36"/>
  <c r="I45" i="36"/>
  <c r="H45" i="36"/>
  <c r="G45" i="36"/>
  <c r="F45" i="36"/>
  <c r="E45" i="36"/>
  <c r="D45" i="36"/>
  <c r="P44" i="36"/>
  <c r="O44" i="36"/>
  <c r="N44" i="36"/>
  <c r="M44" i="36"/>
  <c r="L44" i="36"/>
  <c r="K44" i="36"/>
  <c r="J44" i="36"/>
  <c r="I44" i="36"/>
  <c r="H44" i="36"/>
  <c r="G44" i="36"/>
  <c r="F44" i="36"/>
  <c r="E44" i="36"/>
  <c r="D44" i="36"/>
  <c r="P43" i="36"/>
  <c r="O43" i="36"/>
  <c r="N43" i="36"/>
  <c r="M43" i="36"/>
  <c r="L43" i="36"/>
  <c r="K43" i="36"/>
  <c r="J43" i="36"/>
  <c r="I43" i="36"/>
  <c r="H43" i="36"/>
  <c r="G43" i="36"/>
  <c r="F43" i="36"/>
  <c r="E43" i="36"/>
  <c r="D43" i="36"/>
  <c r="P42" i="36"/>
  <c r="O42" i="36"/>
  <c r="N42" i="36"/>
  <c r="M42" i="36"/>
  <c r="L42" i="36"/>
  <c r="K42" i="36"/>
  <c r="J42" i="36"/>
  <c r="I42" i="36"/>
  <c r="H42" i="36"/>
  <c r="G42" i="36"/>
  <c r="F42" i="36"/>
  <c r="E42" i="36"/>
  <c r="D42" i="36"/>
  <c r="P41" i="36"/>
  <c r="O41" i="36"/>
  <c r="N41" i="36"/>
  <c r="M41" i="36"/>
  <c r="L41" i="36"/>
  <c r="K41" i="36"/>
  <c r="J41" i="36"/>
  <c r="I41" i="36"/>
  <c r="H41" i="36"/>
  <c r="G41" i="36"/>
  <c r="F41" i="36"/>
  <c r="E41" i="36"/>
  <c r="D41" i="36"/>
  <c r="P40" i="36"/>
  <c r="O40" i="36"/>
  <c r="N40" i="36"/>
  <c r="M40" i="36"/>
  <c r="L40" i="36"/>
  <c r="K40" i="36"/>
  <c r="J40" i="36"/>
  <c r="I40" i="36"/>
  <c r="H40" i="36"/>
  <c r="G40" i="36"/>
  <c r="F40" i="36"/>
  <c r="E40" i="36"/>
  <c r="D40" i="36"/>
  <c r="P39" i="36"/>
  <c r="O39" i="36"/>
  <c r="N39" i="36"/>
  <c r="M39" i="36"/>
  <c r="L39" i="36"/>
  <c r="K39" i="36"/>
  <c r="J39" i="36"/>
  <c r="I39" i="36"/>
  <c r="H39" i="36"/>
  <c r="G39" i="36"/>
  <c r="F39" i="36"/>
  <c r="E39" i="36"/>
  <c r="D39" i="36"/>
  <c r="P38" i="36"/>
  <c r="O38" i="36"/>
  <c r="N38" i="36"/>
  <c r="M38" i="36"/>
  <c r="L38" i="36"/>
  <c r="K38" i="36"/>
  <c r="J38" i="36"/>
  <c r="I38" i="36"/>
  <c r="H38" i="36"/>
  <c r="G38" i="36"/>
  <c r="F38" i="36"/>
  <c r="E38" i="36"/>
  <c r="D38" i="36"/>
  <c r="P37" i="36"/>
  <c r="O37" i="36"/>
  <c r="N37" i="36"/>
  <c r="M37" i="36"/>
  <c r="L37" i="36"/>
  <c r="K37" i="36"/>
  <c r="J37" i="36"/>
  <c r="I37" i="36"/>
  <c r="H37" i="36"/>
  <c r="G37" i="36"/>
  <c r="F37" i="36"/>
  <c r="E37" i="36"/>
  <c r="D37" i="36"/>
  <c r="P36" i="36"/>
  <c r="O36" i="36"/>
  <c r="N36" i="36"/>
  <c r="M36" i="36"/>
  <c r="L36" i="36"/>
  <c r="K36" i="36"/>
  <c r="J36" i="36"/>
  <c r="I36" i="36"/>
  <c r="H36" i="36"/>
  <c r="G36" i="36"/>
  <c r="F36" i="36"/>
  <c r="E36" i="36"/>
  <c r="D36" i="36"/>
  <c r="P35" i="36"/>
  <c r="O35" i="36"/>
  <c r="N35" i="36"/>
  <c r="M35" i="36"/>
  <c r="L35" i="36"/>
  <c r="K35" i="36"/>
  <c r="J35" i="36"/>
  <c r="I35" i="36"/>
  <c r="H35" i="36"/>
  <c r="G35" i="36"/>
  <c r="F35" i="36"/>
  <c r="E35" i="36"/>
  <c r="D35" i="36"/>
  <c r="P34" i="36"/>
  <c r="O34" i="36"/>
  <c r="N34" i="36"/>
  <c r="M34" i="36"/>
  <c r="L34" i="36"/>
  <c r="K34" i="36"/>
  <c r="J34" i="36"/>
  <c r="I34" i="36"/>
  <c r="H34" i="36"/>
  <c r="G34" i="36"/>
  <c r="F34" i="36"/>
  <c r="E34" i="36"/>
  <c r="D34" i="36"/>
  <c r="P33" i="36"/>
  <c r="O33" i="36"/>
  <c r="N33" i="36"/>
  <c r="M33" i="36"/>
  <c r="L33" i="36"/>
  <c r="K33" i="36"/>
  <c r="J33" i="36"/>
  <c r="I33" i="36"/>
  <c r="H33" i="36"/>
  <c r="G33" i="36"/>
  <c r="F33" i="36"/>
  <c r="E33" i="36"/>
  <c r="D33" i="36"/>
  <c r="P32" i="36"/>
  <c r="O32" i="36"/>
  <c r="N32" i="36"/>
  <c r="M32" i="36"/>
  <c r="L32" i="36"/>
  <c r="K32" i="36"/>
  <c r="J32" i="36"/>
  <c r="I32" i="36"/>
  <c r="H32" i="36"/>
  <c r="G32" i="36"/>
  <c r="F32" i="36"/>
  <c r="E32" i="36"/>
  <c r="D32" i="36"/>
  <c r="P31" i="36"/>
  <c r="O31" i="36"/>
  <c r="N31" i="36"/>
  <c r="M31" i="36"/>
  <c r="L31" i="36"/>
  <c r="K31" i="36"/>
  <c r="J31" i="36"/>
  <c r="I31" i="36"/>
  <c r="H31" i="36"/>
  <c r="G31" i="36"/>
  <c r="F31" i="36"/>
  <c r="E31" i="36"/>
  <c r="D31" i="36"/>
  <c r="P30" i="36"/>
  <c r="O30" i="36"/>
  <c r="N30" i="36"/>
  <c r="M30" i="36"/>
  <c r="L30" i="36"/>
  <c r="K30" i="36"/>
  <c r="J30" i="36"/>
  <c r="I30" i="36"/>
  <c r="H30" i="36"/>
  <c r="G30" i="36"/>
  <c r="F30" i="36"/>
  <c r="E30" i="36"/>
  <c r="D30" i="36"/>
  <c r="P29" i="36"/>
  <c r="O29" i="36"/>
  <c r="N29" i="36"/>
  <c r="M29" i="36"/>
  <c r="L29" i="36"/>
  <c r="K29" i="36"/>
  <c r="J29" i="36"/>
  <c r="I29" i="36"/>
  <c r="H29" i="36"/>
  <c r="G29" i="36"/>
  <c r="F29" i="36"/>
  <c r="E29" i="36"/>
  <c r="D29" i="36"/>
  <c r="P28" i="36"/>
  <c r="O28" i="36"/>
  <c r="N28" i="36"/>
  <c r="M28" i="36"/>
  <c r="L28" i="36"/>
  <c r="K28" i="36"/>
  <c r="J28" i="36"/>
  <c r="I28" i="36"/>
  <c r="H28" i="36"/>
  <c r="G28" i="36"/>
  <c r="F28" i="36"/>
  <c r="E28" i="36"/>
  <c r="D28" i="36"/>
  <c r="P27" i="36"/>
  <c r="O27" i="36"/>
  <c r="N27" i="36"/>
  <c r="M27" i="36"/>
  <c r="L27" i="36"/>
  <c r="K27" i="36"/>
  <c r="J27" i="36"/>
  <c r="I27" i="36"/>
  <c r="H27" i="36"/>
  <c r="G27" i="36"/>
  <c r="F27" i="36"/>
  <c r="E27" i="36"/>
  <c r="D27" i="36"/>
  <c r="P26" i="36"/>
  <c r="O26" i="36"/>
  <c r="N26" i="36"/>
  <c r="M26" i="36"/>
  <c r="L26" i="36"/>
  <c r="K26" i="36"/>
  <c r="J26" i="36"/>
  <c r="I26" i="36"/>
  <c r="H26" i="36"/>
  <c r="G26" i="36"/>
  <c r="F26" i="36"/>
  <c r="E26" i="36"/>
  <c r="D26" i="36"/>
  <c r="P25" i="36"/>
  <c r="O25" i="36"/>
  <c r="N25" i="36"/>
  <c r="M25" i="36"/>
  <c r="L25" i="36"/>
  <c r="K25" i="36"/>
  <c r="J25" i="36"/>
  <c r="I25" i="36"/>
  <c r="H25" i="36"/>
  <c r="G25" i="36"/>
  <c r="F25" i="36"/>
  <c r="E25" i="36"/>
  <c r="D25" i="36"/>
  <c r="P24" i="36"/>
  <c r="O24" i="36"/>
  <c r="N24" i="36"/>
  <c r="M24" i="36"/>
  <c r="L24" i="36"/>
  <c r="K24" i="36"/>
  <c r="J24" i="36"/>
  <c r="I24" i="36"/>
  <c r="H24" i="36"/>
  <c r="G24" i="36"/>
  <c r="F24" i="36"/>
  <c r="E24" i="36"/>
  <c r="D24" i="36"/>
  <c r="P23" i="36"/>
  <c r="O23" i="36"/>
  <c r="N23" i="36"/>
  <c r="M23" i="36"/>
  <c r="L23" i="36"/>
  <c r="K23" i="36"/>
  <c r="J23" i="36"/>
  <c r="I23" i="36"/>
  <c r="H23" i="36"/>
  <c r="G23" i="36"/>
  <c r="F23" i="36"/>
  <c r="E23" i="36"/>
  <c r="D23" i="36"/>
  <c r="P22" i="36"/>
  <c r="O22" i="36"/>
  <c r="N22" i="36"/>
  <c r="M22" i="36"/>
  <c r="L22" i="36"/>
  <c r="K22" i="36"/>
  <c r="J22" i="36"/>
  <c r="I22" i="36"/>
  <c r="H22" i="36"/>
  <c r="G22" i="36"/>
  <c r="F22" i="36"/>
  <c r="E22" i="36"/>
  <c r="D22" i="36"/>
  <c r="P21" i="36"/>
  <c r="O21" i="36"/>
  <c r="N21" i="36"/>
  <c r="M21" i="36"/>
  <c r="L21" i="36"/>
  <c r="K21" i="36"/>
  <c r="J21" i="36"/>
  <c r="I21" i="36"/>
  <c r="H21" i="36"/>
  <c r="G21" i="36"/>
  <c r="F21" i="36"/>
  <c r="E21" i="36"/>
  <c r="D21" i="36"/>
  <c r="P20" i="36"/>
  <c r="O20" i="36"/>
  <c r="N20" i="36"/>
  <c r="M20" i="36"/>
  <c r="L20" i="36"/>
  <c r="K20" i="36"/>
  <c r="J20" i="36"/>
  <c r="I20" i="36"/>
  <c r="H20" i="36"/>
  <c r="G20" i="36"/>
  <c r="F20" i="36"/>
  <c r="E20" i="36"/>
  <c r="D20" i="36"/>
  <c r="P19" i="36"/>
  <c r="O19" i="36"/>
  <c r="N19" i="36"/>
  <c r="M19" i="36"/>
  <c r="L19" i="36"/>
  <c r="K19" i="36"/>
  <c r="J19" i="36"/>
  <c r="I19" i="36"/>
  <c r="H19" i="36"/>
  <c r="G19" i="36"/>
  <c r="F19" i="36"/>
  <c r="E19" i="36"/>
  <c r="D19" i="36"/>
  <c r="P18" i="36"/>
  <c r="O18" i="36"/>
  <c r="N18" i="36"/>
  <c r="M18" i="36"/>
  <c r="L18" i="36"/>
  <c r="K18" i="36"/>
  <c r="J18" i="36"/>
  <c r="I18" i="36"/>
  <c r="H18" i="36"/>
  <c r="G18" i="36"/>
  <c r="F18" i="36"/>
  <c r="E18" i="36"/>
  <c r="D18" i="36"/>
  <c r="P17" i="36"/>
  <c r="O17" i="36"/>
  <c r="N17" i="36"/>
  <c r="M17" i="36"/>
  <c r="L17" i="36"/>
  <c r="K17" i="36"/>
  <c r="J17" i="36"/>
  <c r="I17" i="36"/>
  <c r="H17" i="36"/>
  <c r="G17" i="36"/>
  <c r="F17" i="36"/>
  <c r="E17" i="36"/>
  <c r="D17" i="36"/>
  <c r="P16" i="36"/>
  <c r="O16" i="36"/>
  <c r="N16" i="36"/>
  <c r="M16" i="36"/>
  <c r="L16" i="36"/>
  <c r="K16" i="36"/>
  <c r="J16" i="36"/>
  <c r="I16" i="36"/>
  <c r="H16" i="36"/>
  <c r="G16" i="36"/>
  <c r="F16" i="36"/>
  <c r="E16" i="36"/>
  <c r="D16" i="36"/>
  <c r="P15" i="36"/>
  <c r="O15" i="36"/>
  <c r="N15" i="36"/>
  <c r="M15" i="36"/>
  <c r="L15" i="36"/>
  <c r="K15" i="36"/>
  <c r="J15" i="36"/>
  <c r="I15" i="36"/>
  <c r="H15" i="36"/>
  <c r="G15" i="36"/>
  <c r="F15" i="36"/>
  <c r="E15" i="36"/>
  <c r="D15" i="36"/>
  <c r="P14" i="36"/>
  <c r="O14" i="36"/>
  <c r="N14" i="36"/>
  <c r="M14" i="36"/>
  <c r="L14" i="36"/>
  <c r="K14" i="36"/>
  <c r="J14" i="36"/>
  <c r="I14" i="36"/>
  <c r="H14" i="36"/>
  <c r="G14" i="36"/>
  <c r="F14" i="36"/>
  <c r="E14" i="36"/>
  <c r="D14" i="36"/>
  <c r="P13" i="36"/>
  <c r="O13" i="36"/>
  <c r="N13" i="36"/>
  <c r="M13" i="36"/>
  <c r="L13" i="36"/>
  <c r="K13" i="36"/>
  <c r="J13" i="36"/>
  <c r="I13" i="36"/>
  <c r="H13" i="36"/>
  <c r="G13" i="36"/>
  <c r="F13" i="36"/>
  <c r="E13" i="36"/>
  <c r="D13" i="36"/>
  <c r="P12" i="36"/>
  <c r="O12" i="36"/>
  <c r="N12" i="36"/>
  <c r="M12" i="36"/>
  <c r="L12" i="36"/>
  <c r="K12" i="36"/>
  <c r="J12" i="36"/>
  <c r="I12" i="36"/>
  <c r="H12" i="36"/>
  <c r="G12" i="36"/>
  <c r="F12" i="36"/>
  <c r="E12" i="36"/>
  <c r="D12" i="36"/>
  <c r="P11" i="36"/>
  <c r="O11" i="36"/>
  <c r="N11" i="36"/>
  <c r="M11" i="36"/>
  <c r="L11" i="36"/>
  <c r="K11" i="36"/>
  <c r="J11" i="36"/>
  <c r="I11" i="36"/>
  <c r="H11" i="36"/>
  <c r="G11" i="36"/>
  <c r="F11" i="36"/>
  <c r="E11" i="36"/>
  <c r="D11" i="36"/>
  <c r="P10" i="36"/>
  <c r="O10" i="36"/>
  <c r="N10" i="36"/>
  <c r="M10" i="36"/>
  <c r="L10" i="36"/>
  <c r="K10" i="36"/>
  <c r="J10" i="36"/>
  <c r="I10" i="36"/>
  <c r="H10" i="36"/>
  <c r="G10" i="36"/>
  <c r="F10" i="36"/>
  <c r="E10" i="36"/>
  <c r="D10" i="36"/>
  <c r="P8" i="36"/>
  <c r="O8" i="36"/>
  <c r="N8" i="36"/>
  <c r="L8" i="36"/>
  <c r="K8" i="36"/>
  <c r="J8" i="36"/>
  <c r="I8" i="36"/>
  <c r="H8" i="36"/>
  <c r="G8" i="36"/>
  <c r="F8" i="36"/>
  <c r="E8" i="36"/>
  <c r="B4" i="36"/>
  <c r="H82" i="11"/>
  <c r="H81" i="11"/>
  <c r="H80" i="11"/>
  <c r="H79" i="11"/>
  <c r="H78" i="11"/>
  <c r="H77" i="11"/>
  <c r="H76" i="11"/>
  <c r="H75" i="11"/>
  <c r="H74" i="11"/>
  <c r="H73" i="11"/>
  <c r="H72" i="11"/>
  <c r="H71" i="11"/>
  <c r="H70" i="11"/>
  <c r="H69" i="11"/>
  <c r="H82" i="12"/>
  <c r="H81" i="12"/>
  <c r="H80" i="12"/>
  <c r="H79" i="12"/>
  <c r="H78" i="12"/>
  <c r="H77" i="12"/>
  <c r="H76" i="12"/>
  <c r="H75" i="12"/>
  <c r="H74" i="12"/>
  <c r="H73" i="12"/>
  <c r="H72" i="12"/>
  <c r="H71" i="12"/>
  <c r="H70" i="12"/>
  <c r="H69" i="12"/>
  <c r="H82" i="6"/>
  <c r="H81" i="6"/>
  <c r="H80" i="6"/>
  <c r="H79" i="6"/>
  <c r="H78" i="6"/>
  <c r="H77" i="6"/>
  <c r="H76" i="6"/>
  <c r="H75" i="6"/>
  <c r="H74" i="6"/>
  <c r="H73" i="6"/>
  <c r="H72" i="6"/>
  <c r="H71" i="6"/>
  <c r="H70" i="6"/>
  <c r="H69" i="6"/>
  <c r="H82" i="15"/>
  <c r="H81" i="15"/>
  <c r="H80" i="15"/>
  <c r="H79" i="15"/>
  <c r="H78" i="15"/>
  <c r="H77" i="15"/>
  <c r="H76" i="15"/>
  <c r="H75" i="15"/>
  <c r="H74" i="15"/>
  <c r="H73" i="15"/>
  <c r="H72" i="15"/>
  <c r="H71" i="15"/>
  <c r="H70" i="15"/>
  <c r="H69" i="15"/>
  <c r="H82" i="21"/>
  <c r="H81" i="21"/>
  <c r="H80" i="21"/>
  <c r="H79" i="21"/>
  <c r="H78" i="21"/>
  <c r="H77" i="21"/>
  <c r="H76" i="21"/>
  <c r="H75" i="21"/>
  <c r="H74" i="21"/>
  <c r="H73" i="21"/>
  <c r="H72" i="21"/>
  <c r="H71" i="21"/>
  <c r="H70" i="21"/>
  <c r="H69" i="21"/>
  <c r="H82" i="13"/>
  <c r="H81" i="13"/>
  <c r="H80" i="13"/>
  <c r="H79" i="13"/>
  <c r="H78" i="13"/>
  <c r="H77" i="13"/>
  <c r="H76" i="13"/>
  <c r="H75" i="13"/>
  <c r="H74" i="13"/>
  <c r="H73" i="13"/>
  <c r="H72" i="13"/>
  <c r="H71" i="13"/>
  <c r="H70" i="13"/>
  <c r="H69" i="13"/>
  <c r="H82" i="23"/>
  <c r="H81" i="23"/>
  <c r="H80" i="23"/>
  <c r="H79" i="23"/>
  <c r="H78" i="23"/>
  <c r="H77" i="23"/>
  <c r="H76" i="23"/>
  <c r="H75" i="23"/>
  <c r="H74" i="23"/>
  <c r="H73" i="23"/>
  <c r="H72" i="23"/>
  <c r="H71" i="23"/>
  <c r="H70" i="23"/>
  <c r="H69" i="23"/>
  <c r="H82" i="16"/>
  <c r="H81" i="16"/>
  <c r="H80" i="16"/>
  <c r="H79" i="16"/>
  <c r="H78" i="16"/>
  <c r="H77" i="16"/>
  <c r="H76" i="16"/>
  <c r="H75" i="16"/>
  <c r="H74" i="16"/>
  <c r="H73" i="16"/>
  <c r="H72" i="16"/>
  <c r="H71" i="16"/>
  <c r="H70" i="16"/>
  <c r="H69" i="16"/>
  <c r="H82" i="22"/>
  <c r="H81" i="22"/>
  <c r="H80" i="22"/>
  <c r="H79" i="22"/>
  <c r="H78" i="22"/>
  <c r="H77" i="22"/>
  <c r="H76" i="22"/>
  <c r="H75" i="22"/>
  <c r="H74" i="22"/>
  <c r="H73" i="22"/>
  <c r="H72" i="22"/>
  <c r="H71" i="22"/>
  <c r="H70" i="22"/>
  <c r="H69" i="22"/>
  <c r="H82" i="19"/>
  <c r="H81" i="19"/>
  <c r="H80" i="19"/>
  <c r="H79" i="19"/>
  <c r="H78" i="19"/>
  <c r="H77" i="19"/>
  <c r="H76" i="19"/>
  <c r="H75" i="19"/>
  <c r="H74" i="19"/>
  <c r="H73" i="19"/>
  <c r="H72" i="19"/>
  <c r="H71" i="19"/>
  <c r="H70" i="19"/>
  <c r="H69" i="19"/>
  <c r="H82" i="17"/>
  <c r="H81" i="17"/>
  <c r="H80" i="17"/>
  <c r="H79" i="17"/>
  <c r="H78" i="17"/>
  <c r="H77" i="17"/>
  <c r="H76" i="17"/>
  <c r="H75" i="17"/>
  <c r="H74" i="17"/>
  <c r="H73" i="17"/>
  <c r="H72" i="17"/>
  <c r="H71" i="17"/>
  <c r="H70" i="17"/>
  <c r="H69" i="17"/>
  <c r="H82" i="18"/>
  <c r="H81" i="18"/>
  <c r="H80" i="18"/>
  <c r="H79" i="18"/>
  <c r="H78" i="18"/>
  <c r="H77" i="18"/>
  <c r="H76" i="18"/>
  <c r="H75" i="18"/>
  <c r="H74" i="18"/>
  <c r="H73" i="18"/>
  <c r="H72" i="18"/>
  <c r="H71" i="18"/>
  <c r="H70" i="18"/>
  <c r="H69" i="18"/>
  <c r="H82" i="26"/>
  <c r="H81" i="26"/>
  <c r="H80" i="26"/>
  <c r="H79" i="26"/>
  <c r="H78" i="26"/>
  <c r="H77" i="26"/>
  <c r="H76" i="26"/>
  <c r="H75" i="26"/>
  <c r="H74" i="26"/>
  <c r="H73" i="26"/>
  <c r="H72" i="26"/>
  <c r="H71" i="26"/>
  <c r="H70" i="26"/>
  <c r="H69" i="26"/>
  <c r="H82" i="20"/>
  <c r="H81" i="20"/>
  <c r="H80" i="20"/>
  <c r="H79" i="20"/>
  <c r="H78" i="20"/>
  <c r="H77" i="20"/>
  <c r="H76" i="20"/>
  <c r="H75" i="20"/>
  <c r="H74" i="20"/>
  <c r="H73" i="20"/>
  <c r="H72" i="20"/>
  <c r="H71" i="20"/>
  <c r="H70" i="20"/>
  <c r="H69" i="2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68" i="15"/>
  <c r="H67" i="15"/>
  <c r="H66" i="15"/>
  <c r="H65"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H13" i="21"/>
  <c r="H12" i="21"/>
  <c r="H11" i="21"/>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68" i="23"/>
  <c r="H67" i="23"/>
  <c r="H66" i="23"/>
  <c r="H65" i="23"/>
  <c r="H64" i="23"/>
  <c r="H63" i="23"/>
  <c r="H62" i="23"/>
  <c r="H61" i="23"/>
  <c r="H60" i="23"/>
  <c r="H59" i="23"/>
  <c r="H58" i="23"/>
  <c r="H57" i="23"/>
  <c r="H56" i="23"/>
  <c r="H55" i="23"/>
  <c r="H54" i="23"/>
  <c r="H53" i="23"/>
  <c r="H52" i="23"/>
  <c r="H51" i="23"/>
  <c r="H50" i="23"/>
  <c r="H49" i="23"/>
  <c r="H48" i="23"/>
  <c r="H47" i="23"/>
  <c r="H46" i="23"/>
  <c r="H45" i="23"/>
  <c r="H44" i="23"/>
  <c r="H43" i="23"/>
  <c r="H42" i="23"/>
  <c r="H41" i="23"/>
  <c r="H40" i="23"/>
  <c r="H39" i="23"/>
  <c r="H38" i="23"/>
  <c r="H37" i="23"/>
  <c r="H36" i="23"/>
  <c r="H35" i="23"/>
  <c r="H34" i="23"/>
  <c r="H33" i="23"/>
  <c r="H32" i="23"/>
  <c r="H31" i="23"/>
  <c r="H30" i="23"/>
  <c r="H29" i="23"/>
  <c r="H28" i="23"/>
  <c r="H27" i="23"/>
  <c r="H26" i="23"/>
  <c r="H25" i="23"/>
  <c r="H24" i="23"/>
  <c r="H23" i="23"/>
  <c r="H22" i="23"/>
  <c r="H21" i="23"/>
  <c r="H20" i="23"/>
  <c r="H19" i="23"/>
  <c r="H18" i="23"/>
  <c r="H17" i="23"/>
  <c r="H16" i="23"/>
  <c r="H15" i="23"/>
  <c r="H14" i="23"/>
  <c r="H13" i="23"/>
  <c r="H12" i="23"/>
  <c r="H11" i="23"/>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68" i="22"/>
  <c r="H67"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68" i="18"/>
  <c r="H67" i="18"/>
  <c r="H66" i="18"/>
  <c r="H65" i="18"/>
  <c r="H64"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H15" i="18"/>
  <c r="H14" i="18"/>
  <c r="H13" i="18"/>
  <c r="H12" i="18"/>
  <c r="H11" i="18"/>
  <c r="H68" i="26"/>
  <c r="H67" i="26"/>
  <c r="H66" i="26"/>
  <c r="H65" i="26"/>
  <c r="H64" i="26"/>
  <c r="H63" i="26"/>
  <c r="H62" i="26"/>
  <c r="H61" i="26"/>
  <c r="H60" i="26"/>
  <c r="H59" i="26"/>
  <c r="H58" i="26"/>
  <c r="H57" i="26"/>
  <c r="H56" i="26"/>
  <c r="H55" i="26"/>
  <c r="H54" i="26"/>
  <c r="H53" i="26"/>
  <c r="H52" i="26"/>
  <c r="H51" i="26"/>
  <c r="H50" i="26"/>
  <c r="H49"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10"/>
  <c r="H10" i="11"/>
  <c r="H10" i="12"/>
  <c r="H10" i="6"/>
  <c r="H10" i="15"/>
  <c r="H10" i="21"/>
  <c r="H10" i="13"/>
  <c r="H10" i="23"/>
  <c r="H10" i="16"/>
  <c r="H10" i="22"/>
  <c r="H10" i="19"/>
  <c r="H10" i="17"/>
  <c r="H10" i="18"/>
  <c r="H10" i="26"/>
  <c r="H10" i="20"/>
  <c r="H8" i="10"/>
  <c r="H8" i="11"/>
  <c r="H8" i="12"/>
  <c r="H8" i="6"/>
  <c r="H8" i="15"/>
  <c r="H8" i="21"/>
  <c r="H8" i="13"/>
  <c r="H8" i="23"/>
  <c r="H8" i="16"/>
  <c r="H8" i="22"/>
  <c r="H8" i="19"/>
  <c r="H8" i="17"/>
  <c r="H8" i="18"/>
  <c r="H8" i="26"/>
  <c r="H8" i="20"/>
  <c r="C180" i="37" l="1"/>
  <c r="F180" i="37" s="1"/>
  <c r="C178" i="37"/>
  <c r="F178" i="37" s="1"/>
  <c r="Q35" i="37"/>
  <c r="L177" i="37" s="1"/>
  <c r="T35" i="37"/>
  <c r="U35" i="37"/>
  <c r="S35" i="37"/>
  <c r="P35" i="37"/>
  <c r="L178" i="37" s="1"/>
  <c r="N35" i="37"/>
  <c r="L176" i="37" s="1"/>
  <c r="M35" i="37"/>
  <c r="L175" i="37" s="1"/>
  <c r="O35" i="37"/>
  <c r="C177" i="37"/>
  <c r="F177" i="37" s="1"/>
  <c r="D178" i="37"/>
  <c r="G178" i="37" s="1"/>
  <c r="D177" i="37"/>
  <c r="G177" i="37" s="1"/>
  <c r="L174" i="37"/>
  <c r="C175" i="37"/>
  <c r="F175" i="37" s="1"/>
  <c r="G185" i="37"/>
  <c r="D179" i="37"/>
  <c r="D181" i="37"/>
  <c r="C179" i="37"/>
  <c r="F179" i="37" s="1"/>
  <c r="C181" i="37"/>
  <c r="F181" i="37" s="1"/>
  <c r="D175" i="37"/>
  <c r="D174" i="37"/>
  <c r="C174" i="37"/>
  <c r="F174" i="37" s="1"/>
  <c r="C176" i="37"/>
  <c r="F176" i="37" s="1"/>
  <c r="D176" i="37"/>
  <c r="U36" i="37"/>
  <c r="T36" i="37"/>
  <c r="S36" i="37"/>
  <c r="O36" i="37"/>
  <c r="Q36" i="37"/>
  <c r="M177" i="37" s="1"/>
  <c r="N36" i="37"/>
  <c r="M176" i="37" s="1"/>
  <c r="P36" i="37"/>
  <c r="M178" i="37" s="1"/>
  <c r="M36" i="37"/>
  <c r="M175" i="37" s="1"/>
  <c r="C36" i="37"/>
  <c r="C35" i="37"/>
  <c r="N11" i="11"/>
  <c r="O11" i="11"/>
  <c r="P11" i="11"/>
  <c r="N12" i="11"/>
  <c r="O12" i="11"/>
  <c r="P12" i="11"/>
  <c r="N13" i="11"/>
  <c r="O13" i="11"/>
  <c r="P13" i="11"/>
  <c r="N14" i="11"/>
  <c r="O14" i="11"/>
  <c r="P14" i="11"/>
  <c r="N15" i="11"/>
  <c r="O15" i="11"/>
  <c r="P15" i="11"/>
  <c r="N16" i="11"/>
  <c r="O16" i="11"/>
  <c r="P16" i="11"/>
  <c r="N17" i="11"/>
  <c r="O17" i="11"/>
  <c r="P17" i="11"/>
  <c r="N18" i="11"/>
  <c r="O18" i="11"/>
  <c r="P18" i="11"/>
  <c r="N19" i="11"/>
  <c r="O19" i="11"/>
  <c r="P19" i="11"/>
  <c r="N20" i="11"/>
  <c r="O20" i="11"/>
  <c r="P20" i="11"/>
  <c r="N21" i="11"/>
  <c r="O21" i="11"/>
  <c r="P21" i="11"/>
  <c r="N22" i="11"/>
  <c r="O22" i="11"/>
  <c r="P22" i="11"/>
  <c r="N23" i="11"/>
  <c r="O23" i="11"/>
  <c r="P23" i="11"/>
  <c r="N24" i="11"/>
  <c r="O24" i="11"/>
  <c r="P24" i="11"/>
  <c r="N25" i="11"/>
  <c r="O25" i="11"/>
  <c r="P25" i="11"/>
  <c r="N26" i="11"/>
  <c r="O26" i="11"/>
  <c r="P26" i="11"/>
  <c r="N27" i="11"/>
  <c r="O27" i="11"/>
  <c r="P27" i="11"/>
  <c r="N28" i="11"/>
  <c r="O28" i="11"/>
  <c r="P28" i="11"/>
  <c r="N29" i="11"/>
  <c r="O29" i="11"/>
  <c r="P29" i="11"/>
  <c r="N30" i="11"/>
  <c r="O30" i="11"/>
  <c r="P30" i="11"/>
  <c r="N31" i="11"/>
  <c r="O31" i="11"/>
  <c r="P31" i="11"/>
  <c r="N32" i="11"/>
  <c r="O32" i="11"/>
  <c r="P32" i="11"/>
  <c r="N33" i="11"/>
  <c r="O33" i="11"/>
  <c r="P33" i="11"/>
  <c r="N34" i="11"/>
  <c r="O34" i="11"/>
  <c r="P34" i="11"/>
  <c r="N35" i="11"/>
  <c r="O35" i="11"/>
  <c r="P35" i="11"/>
  <c r="N36" i="11"/>
  <c r="O36" i="11"/>
  <c r="P36" i="11"/>
  <c r="N37" i="11"/>
  <c r="O37" i="11"/>
  <c r="P37" i="11"/>
  <c r="N38" i="11"/>
  <c r="O38" i="11"/>
  <c r="P38" i="11"/>
  <c r="N39" i="11"/>
  <c r="O39" i="11"/>
  <c r="P39" i="11"/>
  <c r="N40" i="11"/>
  <c r="O40" i="11"/>
  <c r="P40" i="11"/>
  <c r="N41" i="11"/>
  <c r="O41" i="11"/>
  <c r="P41" i="11"/>
  <c r="N42" i="11"/>
  <c r="O42" i="11"/>
  <c r="P42" i="11"/>
  <c r="N43" i="11"/>
  <c r="O43" i="11"/>
  <c r="P43" i="11"/>
  <c r="N44" i="11"/>
  <c r="O44" i="11"/>
  <c r="P44" i="11"/>
  <c r="N45" i="11"/>
  <c r="O45" i="11"/>
  <c r="P45" i="11"/>
  <c r="N46" i="11"/>
  <c r="O46" i="11"/>
  <c r="P46" i="11"/>
  <c r="N47" i="11"/>
  <c r="O47" i="11"/>
  <c r="P47" i="11"/>
  <c r="N48" i="11"/>
  <c r="O48" i="11"/>
  <c r="P48" i="11"/>
  <c r="N49" i="11"/>
  <c r="O49" i="11"/>
  <c r="P49" i="11"/>
  <c r="N50" i="11"/>
  <c r="O50" i="11"/>
  <c r="P50" i="11"/>
  <c r="N51" i="11"/>
  <c r="O51" i="11"/>
  <c r="P51" i="11"/>
  <c r="N52" i="11"/>
  <c r="O52" i="11"/>
  <c r="P52" i="11"/>
  <c r="N53" i="11"/>
  <c r="O53" i="11"/>
  <c r="P53" i="11"/>
  <c r="N54" i="11"/>
  <c r="O54" i="11"/>
  <c r="P54" i="11"/>
  <c r="N55" i="11"/>
  <c r="O55" i="11"/>
  <c r="P55" i="11"/>
  <c r="N56" i="11"/>
  <c r="O56" i="11"/>
  <c r="P56" i="11"/>
  <c r="N57" i="11"/>
  <c r="O57" i="11"/>
  <c r="P57" i="11"/>
  <c r="N58" i="11"/>
  <c r="O58" i="11"/>
  <c r="P58" i="11"/>
  <c r="N59" i="11"/>
  <c r="O59" i="11"/>
  <c r="P59" i="11"/>
  <c r="N60" i="11"/>
  <c r="O60" i="11"/>
  <c r="P60" i="11"/>
  <c r="N61" i="11"/>
  <c r="O61" i="11"/>
  <c r="P61" i="11"/>
  <c r="N62" i="11"/>
  <c r="O62" i="11"/>
  <c r="P62" i="11"/>
  <c r="N63" i="11"/>
  <c r="O63" i="11"/>
  <c r="P63" i="11"/>
  <c r="N64" i="11"/>
  <c r="O64" i="11"/>
  <c r="P64" i="11"/>
  <c r="N65" i="11"/>
  <c r="O65" i="11"/>
  <c r="P65" i="11"/>
  <c r="N66" i="11"/>
  <c r="O66" i="11"/>
  <c r="P66" i="11"/>
  <c r="N67" i="11"/>
  <c r="O67" i="11"/>
  <c r="P67" i="11"/>
  <c r="N68" i="11"/>
  <c r="O68" i="11"/>
  <c r="P68" i="11"/>
  <c r="N69" i="11"/>
  <c r="O69" i="11"/>
  <c r="P69" i="11"/>
  <c r="N70" i="11"/>
  <c r="O70" i="11"/>
  <c r="P70" i="11"/>
  <c r="N71" i="11"/>
  <c r="O71" i="11"/>
  <c r="P71" i="11"/>
  <c r="N72" i="11"/>
  <c r="O72" i="11"/>
  <c r="P72" i="11"/>
  <c r="N73" i="11"/>
  <c r="O73" i="11"/>
  <c r="P73" i="11"/>
  <c r="N74" i="11"/>
  <c r="O74" i="11"/>
  <c r="P74" i="11"/>
  <c r="N75" i="11"/>
  <c r="O75" i="11"/>
  <c r="P75" i="11"/>
  <c r="N76" i="11"/>
  <c r="O76" i="11"/>
  <c r="P76" i="11"/>
  <c r="N77" i="11"/>
  <c r="O77" i="11"/>
  <c r="P77" i="11"/>
  <c r="N78" i="11"/>
  <c r="O78" i="11"/>
  <c r="P78" i="11"/>
  <c r="N79" i="11"/>
  <c r="O79" i="11"/>
  <c r="P79" i="11"/>
  <c r="N11" i="12"/>
  <c r="O11" i="12"/>
  <c r="P11" i="12"/>
  <c r="N12" i="12"/>
  <c r="O12" i="12"/>
  <c r="P12" i="12"/>
  <c r="N13" i="12"/>
  <c r="O13" i="12"/>
  <c r="P13" i="12"/>
  <c r="N14" i="12"/>
  <c r="O14" i="12"/>
  <c r="P14" i="12"/>
  <c r="N15" i="12"/>
  <c r="O15" i="12"/>
  <c r="P15" i="12"/>
  <c r="N16" i="12"/>
  <c r="O16" i="12"/>
  <c r="P16" i="12"/>
  <c r="N17" i="12"/>
  <c r="O17" i="12"/>
  <c r="P17" i="12"/>
  <c r="N18" i="12"/>
  <c r="O18" i="12"/>
  <c r="P18" i="12"/>
  <c r="N19" i="12"/>
  <c r="O19" i="12"/>
  <c r="P19" i="12"/>
  <c r="N20" i="12"/>
  <c r="O20" i="12"/>
  <c r="P20" i="12"/>
  <c r="N21" i="12"/>
  <c r="O21" i="12"/>
  <c r="P21" i="12"/>
  <c r="N22" i="12"/>
  <c r="O22" i="12"/>
  <c r="P22" i="12"/>
  <c r="N23" i="12"/>
  <c r="O23" i="12"/>
  <c r="P23" i="12"/>
  <c r="N24" i="12"/>
  <c r="O24" i="12"/>
  <c r="P24" i="12"/>
  <c r="N25" i="12"/>
  <c r="O25" i="12"/>
  <c r="P25" i="12"/>
  <c r="N26" i="12"/>
  <c r="O26" i="12"/>
  <c r="P26" i="12"/>
  <c r="N27" i="12"/>
  <c r="O27" i="12"/>
  <c r="P27" i="12"/>
  <c r="N28" i="12"/>
  <c r="O28" i="12"/>
  <c r="P28" i="12"/>
  <c r="N29" i="12"/>
  <c r="O29" i="12"/>
  <c r="P29" i="12"/>
  <c r="N30" i="12"/>
  <c r="O30" i="12"/>
  <c r="P30" i="12"/>
  <c r="N31" i="12"/>
  <c r="O31" i="12"/>
  <c r="P31" i="12"/>
  <c r="N32" i="12"/>
  <c r="O32" i="12"/>
  <c r="P32" i="12"/>
  <c r="N33" i="12"/>
  <c r="O33" i="12"/>
  <c r="P33" i="12"/>
  <c r="N34" i="12"/>
  <c r="O34" i="12"/>
  <c r="P34" i="12"/>
  <c r="N35" i="12"/>
  <c r="O35" i="12"/>
  <c r="P35" i="12"/>
  <c r="N36" i="12"/>
  <c r="O36" i="12"/>
  <c r="P36" i="12"/>
  <c r="N37" i="12"/>
  <c r="O37" i="12"/>
  <c r="P37" i="12"/>
  <c r="N38" i="12"/>
  <c r="O38" i="12"/>
  <c r="P38" i="12"/>
  <c r="N39" i="12"/>
  <c r="O39" i="12"/>
  <c r="P39" i="12"/>
  <c r="N40" i="12"/>
  <c r="O40" i="12"/>
  <c r="P40" i="12"/>
  <c r="N41" i="12"/>
  <c r="O41" i="12"/>
  <c r="P41" i="12"/>
  <c r="N42" i="12"/>
  <c r="O42" i="12"/>
  <c r="P42" i="12"/>
  <c r="N43" i="12"/>
  <c r="O43" i="12"/>
  <c r="P43" i="12"/>
  <c r="N44" i="12"/>
  <c r="O44" i="12"/>
  <c r="P44" i="12"/>
  <c r="N45" i="12"/>
  <c r="O45" i="12"/>
  <c r="P45" i="12"/>
  <c r="N46" i="12"/>
  <c r="O46" i="12"/>
  <c r="P46" i="12"/>
  <c r="N47" i="12"/>
  <c r="O47" i="12"/>
  <c r="P47" i="12"/>
  <c r="N48" i="12"/>
  <c r="O48" i="12"/>
  <c r="P48" i="12"/>
  <c r="N49" i="12"/>
  <c r="O49" i="12"/>
  <c r="P49" i="12"/>
  <c r="N50" i="12"/>
  <c r="O50" i="12"/>
  <c r="P50" i="12"/>
  <c r="N51" i="12"/>
  <c r="O51" i="12"/>
  <c r="P51" i="12"/>
  <c r="N52" i="12"/>
  <c r="O52" i="12"/>
  <c r="P52" i="12"/>
  <c r="N53" i="12"/>
  <c r="O53" i="12"/>
  <c r="P53" i="12"/>
  <c r="N54" i="12"/>
  <c r="O54" i="12"/>
  <c r="P54" i="12"/>
  <c r="N55" i="12"/>
  <c r="O55" i="12"/>
  <c r="P55" i="12"/>
  <c r="N56" i="12"/>
  <c r="O56" i="12"/>
  <c r="P56" i="12"/>
  <c r="N57" i="12"/>
  <c r="O57" i="12"/>
  <c r="P57" i="12"/>
  <c r="N58" i="12"/>
  <c r="O58" i="12"/>
  <c r="P58" i="12"/>
  <c r="N59" i="12"/>
  <c r="O59" i="12"/>
  <c r="P59" i="12"/>
  <c r="N60" i="12"/>
  <c r="O60" i="12"/>
  <c r="P60" i="12"/>
  <c r="N61" i="12"/>
  <c r="O61" i="12"/>
  <c r="P61" i="12"/>
  <c r="N62" i="12"/>
  <c r="O62" i="12"/>
  <c r="P62" i="12"/>
  <c r="N63" i="12"/>
  <c r="O63" i="12"/>
  <c r="P63" i="12"/>
  <c r="N64" i="12"/>
  <c r="O64" i="12"/>
  <c r="P64" i="12"/>
  <c r="N65" i="12"/>
  <c r="O65" i="12"/>
  <c r="P65" i="12"/>
  <c r="N66" i="12"/>
  <c r="O66" i="12"/>
  <c r="P66" i="12"/>
  <c r="N67" i="12"/>
  <c r="O67" i="12"/>
  <c r="P67" i="12"/>
  <c r="N68" i="12"/>
  <c r="O68" i="12"/>
  <c r="P68" i="12"/>
  <c r="N69" i="12"/>
  <c r="O69" i="12"/>
  <c r="P69" i="12"/>
  <c r="N70" i="12"/>
  <c r="O70" i="12"/>
  <c r="P70" i="12"/>
  <c r="N71" i="12"/>
  <c r="O71" i="12"/>
  <c r="P71" i="12"/>
  <c r="N72" i="12"/>
  <c r="O72" i="12"/>
  <c r="P72" i="12"/>
  <c r="N73" i="12"/>
  <c r="O73" i="12"/>
  <c r="P73" i="12"/>
  <c r="N74" i="12"/>
  <c r="O74" i="12"/>
  <c r="P74" i="12"/>
  <c r="N75" i="12"/>
  <c r="O75" i="12"/>
  <c r="P75" i="12"/>
  <c r="N76" i="12"/>
  <c r="O76" i="12"/>
  <c r="P76" i="12"/>
  <c r="N77" i="12"/>
  <c r="O77" i="12"/>
  <c r="P77" i="12"/>
  <c r="N78" i="12"/>
  <c r="O78" i="12"/>
  <c r="P78" i="12"/>
  <c r="N79" i="12"/>
  <c r="O79" i="12"/>
  <c r="P79" i="12"/>
  <c r="N11" i="6"/>
  <c r="O11" i="6"/>
  <c r="P11" i="6"/>
  <c r="N12" i="6"/>
  <c r="O12" i="6"/>
  <c r="P12" i="6"/>
  <c r="N13" i="6"/>
  <c r="O13" i="6"/>
  <c r="P13" i="6"/>
  <c r="N14" i="6"/>
  <c r="O14" i="6"/>
  <c r="P14" i="6"/>
  <c r="N15" i="6"/>
  <c r="O15" i="6"/>
  <c r="P15" i="6"/>
  <c r="N16" i="6"/>
  <c r="O16" i="6"/>
  <c r="P16" i="6"/>
  <c r="N17" i="6"/>
  <c r="O17" i="6"/>
  <c r="P17" i="6"/>
  <c r="N18" i="6"/>
  <c r="O18" i="6"/>
  <c r="P18" i="6"/>
  <c r="N19" i="6"/>
  <c r="O19" i="6"/>
  <c r="P19" i="6"/>
  <c r="N20" i="6"/>
  <c r="O20" i="6"/>
  <c r="P20" i="6"/>
  <c r="N21" i="6"/>
  <c r="O21" i="6"/>
  <c r="P21" i="6"/>
  <c r="N22" i="6"/>
  <c r="O22" i="6"/>
  <c r="P22" i="6"/>
  <c r="N23" i="6"/>
  <c r="O23" i="6"/>
  <c r="P23" i="6"/>
  <c r="N24" i="6"/>
  <c r="O24" i="6"/>
  <c r="P24" i="6"/>
  <c r="N25" i="6"/>
  <c r="O25" i="6"/>
  <c r="P25" i="6"/>
  <c r="N26" i="6"/>
  <c r="O26" i="6"/>
  <c r="P26" i="6"/>
  <c r="N27" i="6"/>
  <c r="O27" i="6"/>
  <c r="P27" i="6"/>
  <c r="N28" i="6"/>
  <c r="O28" i="6"/>
  <c r="P28" i="6"/>
  <c r="N29" i="6"/>
  <c r="O29" i="6"/>
  <c r="P29" i="6"/>
  <c r="N30" i="6"/>
  <c r="O30" i="6"/>
  <c r="P30" i="6"/>
  <c r="N31" i="6"/>
  <c r="O31" i="6"/>
  <c r="P31" i="6"/>
  <c r="N32" i="6"/>
  <c r="O32" i="6"/>
  <c r="P32" i="6"/>
  <c r="N33" i="6"/>
  <c r="O33" i="6"/>
  <c r="P33" i="6"/>
  <c r="N34" i="6"/>
  <c r="O34" i="6"/>
  <c r="P34" i="6"/>
  <c r="N35" i="6"/>
  <c r="O35" i="6"/>
  <c r="P35" i="6"/>
  <c r="N36" i="6"/>
  <c r="O36" i="6"/>
  <c r="P36" i="6"/>
  <c r="N37" i="6"/>
  <c r="O37" i="6"/>
  <c r="P37" i="6"/>
  <c r="N38" i="6"/>
  <c r="O38" i="6"/>
  <c r="P38" i="6"/>
  <c r="N39" i="6"/>
  <c r="O39" i="6"/>
  <c r="P39" i="6"/>
  <c r="N40" i="6"/>
  <c r="O40" i="6"/>
  <c r="P40" i="6"/>
  <c r="N41" i="6"/>
  <c r="O41" i="6"/>
  <c r="P41" i="6"/>
  <c r="N42" i="6"/>
  <c r="O42" i="6"/>
  <c r="P42" i="6"/>
  <c r="N43" i="6"/>
  <c r="O43" i="6"/>
  <c r="P43" i="6"/>
  <c r="N44" i="6"/>
  <c r="O44" i="6"/>
  <c r="P44" i="6"/>
  <c r="N45" i="6"/>
  <c r="O45" i="6"/>
  <c r="P45" i="6"/>
  <c r="N46" i="6"/>
  <c r="O46" i="6"/>
  <c r="P46" i="6"/>
  <c r="N47" i="6"/>
  <c r="O47" i="6"/>
  <c r="P47" i="6"/>
  <c r="N48" i="6"/>
  <c r="O48" i="6"/>
  <c r="P48" i="6"/>
  <c r="N49" i="6"/>
  <c r="O49" i="6"/>
  <c r="P49" i="6"/>
  <c r="N50" i="6"/>
  <c r="O50" i="6"/>
  <c r="P50" i="6"/>
  <c r="N51" i="6"/>
  <c r="O51" i="6"/>
  <c r="P51" i="6"/>
  <c r="N52" i="6"/>
  <c r="O52" i="6"/>
  <c r="P52" i="6"/>
  <c r="N53" i="6"/>
  <c r="O53" i="6"/>
  <c r="P53" i="6"/>
  <c r="N54" i="6"/>
  <c r="O54" i="6"/>
  <c r="P54" i="6"/>
  <c r="N55" i="6"/>
  <c r="O55" i="6"/>
  <c r="P55" i="6"/>
  <c r="N56" i="6"/>
  <c r="O56" i="6"/>
  <c r="P56" i="6"/>
  <c r="N57" i="6"/>
  <c r="O57" i="6"/>
  <c r="P57" i="6"/>
  <c r="N58" i="6"/>
  <c r="O58" i="6"/>
  <c r="P58" i="6"/>
  <c r="N59" i="6"/>
  <c r="O59" i="6"/>
  <c r="P59" i="6"/>
  <c r="N60" i="6"/>
  <c r="O60" i="6"/>
  <c r="P60" i="6"/>
  <c r="N61" i="6"/>
  <c r="O61" i="6"/>
  <c r="P61" i="6"/>
  <c r="N62" i="6"/>
  <c r="O62" i="6"/>
  <c r="P62" i="6"/>
  <c r="N63" i="6"/>
  <c r="O63" i="6"/>
  <c r="P63" i="6"/>
  <c r="N64" i="6"/>
  <c r="O64" i="6"/>
  <c r="P64" i="6"/>
  <c r="N65" i="6"/>
  <c r="O65" i="6"/>
  <c r="P65" i="6"/>
  <c r="N66" i="6"/>
  <c r="O66" i="6"/>
  <c r="P66" i="6"/>
  <c r="N67" i="6"/>
  <c r="O67" i="6"/>
  <c r="P67" i="6"/>
  <c r="N68" i="6"/>
  <c r="O68" i="6"/>
  <c r="P68" i="6"/>
  <c r="N69" i="6"/>
  <c r="O69" i="6"/>
  <c r="P69" i="6"/>
  <c r="N70" i="6"/>
  <c r="O70" i="6"/>
  <c r="P70" i="6"/>
  <c r="N71" i="6"/>
  <c r="O71" i="6"/>
  <c r="P71" i="6"/>
  <c r="N72" i="6"/>
  <c r="O72" i="6"/>
  <c r="P72" i="6"/>
  <c r="N73" i="6"/>
  <c r="O73" i="6"/>
  <c r="P73" i="6"/>
  <c r="N74" i="6"/>
  <c r="O74" i="6"/>
  <c r="P74" i="6"/>
  <c r="N75" i="6"/>
  <c r="O75" i="6"/>
  <c r="P75" i="6"/>
  <c r="N76" i="6"/>
  <c r="O76" i="6"/>
  <c r="P76" i="6"/>
  <c r="N77" i="6"/>
  <c r="O77" i="6"/>
  <c r="P77" i="6"/>
  <c r="N78" i="6"/>
  <c r="O78" i="6"/>
  <c r="P78" i="6"/>
  <c r="N79" i="6"/>
  <c r="O79" i="6"/>
  <c r="P79" i="6"/>
  <c r="N11" i="15"/>
  <c r="O11" i="15"/>
  <c r="P11" i="15"/>
  <c r="N12" i="15"/>
  <c r="O12" i="15"/>
  <c r="P12" i="15"/>
  <c r="N13" i="15"/>
  <c r="O13" i="15"/>
  <c r="P13" i="15"/>
  <c r="N14" i="15"/>
  <c r="O14" i="15"/>
  <c r="P14" i="15"/>
  <c r="N15" i="15"/>
  <c r="O15" i="15"/>
  <c r="P15" i="15"/>
  <c r="N16" i="15"/>
  <c r="O16" i="15"/>
  <c r="P16" i="15"/>
  <c r="N17" i="15"/>
  <c r="O17" i="15"/>
  <c r="P17" i="15"/>
  <c r="N18" i="15"/>
  <c r="O18" i="15"/>
  <c r="P18" i="15"/>
  <c r="N19" i="15"/>
  <c r="O19" i="15"/>
  <c r="P19" i="15"/>
  <c r="N20" i="15"/>
  <c r="O20" i="15"/>
  <c r="P20" i="15"/>
  <c r="N21" i="15"/>
  <c r="O21" i="15"/>
  <c r="P21" i="15"/>
  <c r="N22" i="15"/>
  <c r="O22" i="15"/>
  <c r="P22" i="15"/>
  <c r="N23" i="15"/>
  <c r="O23" i="15"/>
  <c r="P23" i="15"/>
  <c r="N24" i="15"/>
  <c r="O24" i="15"/>
  <c r="P24" i="15"/>
  <c r="N25" i="15"/>
  <c r="O25" i="15"/>
  <c r="P25" i="15"/>
  <c r="N26" i="15"/>
  <c r="O26" i="15"/>
  <c r="P26" i="15"/>
  <c r="N27" i="15"/>
  <c r="O27" i="15"/>
  <c r="P27" i="15"/>
  <c r="N28" i="15"/>
  <c r="O28" i="15"/>
  <c r="P28" i="15"/>
  <c r="N29" i="15"/>
  <c r="O29" i="15"/>
  <c r="P29" i="15"/>
  <c r="N30" i="15"/>
  <c r="O30" i="15"/>
  <c r="P30" i="15"/>
  <c r="N31" i="15"/>
  <c r="O31" i="15"/>
  <c r="P31" i="15"/>
  <c r="N32" i="15"/>
  <c r="O32" i="15"/>
  <c r="P32" i="15"/>
  <c r="N33" i="15"/>
  <c r="O33" i="15"/>
  <c r="P33" i="15"/>
  <c r="N34" i="15"/>
  <c r="O34" i="15"/>
  <c r="P34" i="15"/>
  <c r="N35" i="15"/>
  <c r="O35" i="15"/>
  <c r="P35" i="15"/>
  <c r="N36" i="15"/>
  <c r="O36" i="15"/>
  <c r="P36" i="15"/>
  <c r="N37" i="15"/>
  <c r="O37" i="15"/>
  <c r="P37" i="15"/>
  <c r="N38" i="15"/>
  <c r="O38" i="15"/>
  <c r="P38" i="15"/>
  <c r="N39" i="15"/>
  <c r="O39" i="15"/>
  <c r="P39" i="15"/>
  <c r="N40" i="15"/>
  <c r="O40" i="15"/>
  <c r="P40" i="15"/>
  <c r="N41" i="15"/>
  <c r="O41" i="15"/>
  <c r="P41" i="15"/>
  <c r="N42" i="15"/>
  <c r="O42" i="15"/>
  <c r="P42" i="15"/>
  <c r="N43" i="15"/>
  <c r="O43" i="15"/>
  <c r="P43" i="15"/>
  <c r="N44" i="15"/>
  <c r="O44" i="15"/>
  <c r="P44" i="15"/>
  <c r="N45" i="15"/>
  <c r="O45" i="15"/>
  <c r="P45" i="15"/>
  <c r="N46" i="15"/>
  <c r="O46" i="15"/>
  <c r="P46" i="15"/>
  <c r="N47" i="15"/>
  <c r="O47" i="15"/>
  <c r="P47" i="15"/>
  <c r="N48" i="15"/>
  <c r="O48" i="15"/>
  <c r="P48" i="15"/>
  <c r="N49" i="15"/>
  <c r="O49" i="15"/>
  <c r="P49" i="15"/>
  <c r="N50" i="15"/>
  <c r="O50" i="15"/>
  <c r="P50" i="15"/>
  <c r="N51" i="15"/>
  <c r="O51" i="15"/>
  <c r="P51" i="15"/>
  <c r="N52" i="15"/>
  <c r="O52" i="15"/>
  <c r="P52" i="15"/>
  <c r="N53" i="15"/>
  <c r="O53" i="15"/>
  <c r="P53" i="15"/>
  <c r="N54" i="15"/>
  <c r="O54" i="15"/>
  <c r="P54" i="15"/>
  <c r="N55" i="15"/>
  <c r="O55" i="15"/>
  <c r="P55" i="15"/>
  <c r="N56" i="15"/>
  <c r="O56" i="15"/>
  <c r="P56" i="15"/>
  <c r="N57" i="15"/>
  <c r="O57" i="15"/>
  <c r="P57" i="15"/>
  <c r="N58" i="15"/>
  <c r="O58" i="15"/>
  <c r="P58" i="15"/>
  <c r="N59" i="15"/>
  <c r="O59" i="15"/>
  <c r="P59" i="15"/>
  <c r="N60" i="15"/>
  <c r="O60" i="15"/>
  <c r="P60" i="15"/>
  <c r="N61" i="15"/>
  <c r="O61" i="15"/>
  <c r="P61" i="15"/>
  <c r="N62" i="15"/>
  <c r="O62" i="15"/>
  <c r="P62" i="15"/>
  <c r="N63" i="15"/>
  <c r="O63" i="15"/>
  <c r="P63" i="15"/>
  <c r="N64" i="15"/>
  <c r="O64" i="15"/>
  <c r="P64" i="15"/>
  <c r="N65" i="15"/>
  <c r="O65" i="15"/>
  <c r="P65" i="15"/>
  <c r="N66" i="15"/>
  <c r="O66" i="15"/>
  <c r="P66" i="15"/>
  <c r="N67" i="15"/>
  <c r="O67" i="15"/>
  <c r="P67" i="15"/>
  <c r="N68" i="15"/>
  <c r="O68" i="15"/>
  <c r="P68" i="15"/>
  <c r="N69" i="15"/>
  <c r="O69" i="15"/>
  <c r="P69" i="15"/>
  <c r="N70" i="15"/>
  <c r="O70" i="15"/>
  <c r="P70" i="15"/>
  <c r="N71" i="15"/>
  <c r="O71" i="15"/>
  <c r="P71" i="15"/>
  <c r="N72" i="15"/>
  <c r="O72" i="15"/>
  <c r="P72" i="15"/>
  <c r="N73" i="15"/>
  <c r="O73" i="15"/>
  <c r="P73" i="15"/>
  <c r="N74" i="15"/>
  <c r="O74" i="15"/>
  <c r="P74" i="15"/>
  <c r="N75" i="15"/>
  <c r="O75" i="15"/>
  <c r="P75" i="15"/>
  <c r="N76" i="15"/>
  <c r="O76" i="15"/>
  <c r="P76" i="15"/>
  <c r="N77" i="15"/>
  <c r="O77" i="15"/>
  <c r="P77" i="15"/>
  <c r="N78" i="15"/>
  <c r="O78" i="15"/>
  <c r="P78" i="15"/>
  <c r="N79" i="15"/>
  <c r="O79" i="15"/>
  <c r="P79" i="15"/>
  <c r="N11" i="21"/>
  <c r="O11" i="21"/>
  <c r="P11" i="21"/>
  <c r="N12" i="21"/>
  <c r="O12" i="21"/>
  <c r="P12" i="21"/>
  <c r="N13" i="21"/>
  <c r="O13" i="21"/>
  <c r="P13" i="21"/>
  <c r="N14" i="21"/>
  <c r="O14" i="21"/>
  <c r="P14" i="21"/>
  <c r="N15" i="21"/>
  <c r="O15" i="21"/>
  <c r="P15" i="21"/>
  <c r="N16" i="21"/>
  <c r="O16" i="21"/>
  <c r="P16" i="21"/>
  <c r="N17" i="21"/>
  <c r="O17" i="21"/>
  <c r="P17" i="21"/>
  <c r="N18" i="21"/>
  <c r="O18" i="21"/>
  <c r="P18" i="21"/>
  <c r="N19" i="21"/>
  <c r="O19" i="21"/>
  <c r="P19" i="21"/>
  <c r="N20" i="21"/>
  <c r="O20" i="21"/>
  <c r="P20" i="21"/>
  <c r="N21" i="21"/>
  <c r="O21" i="21"/>
  <c r="P21" i="21"/>
  <c r="N22" i="21"/>
  <c r="O22" i="21"/>
  <c r="P22" i="21"/>
  <c r="N23" i="21"/>
  <c r="O23" i="21"/>
  <c r="P23" i="21"/>
  <c r="N24" i="21"/>
  <c r="O24" i="21"/>
  <c r="P24" i="21"/>
  <c r="N25" i="21"/>
  <c r="O25" i="21"/>
  <c r="P25" i="21"/>
  <c r="N26" i="21"/>
  <c r="O26" i="21"/>
  <c r="P26" i="21"/>
  <c r="N27" i="21"/>
  <c r="O27" i="21"/>
  <c r="P27" i="21"/>
  <c r="N28" i="21"/>
  <c r="O28" i="21"/>
  <c r="P28" i="21"/>
  <c r="N29" i="21"/>
  <c r="O29" i="21"/>
  <c r="P29" i="21"/>
  <c r="N30" i="21"/>
  <c r="O30" i="21"/>
  <c r="P30" i="21"/>
  <c r="N31" i="21"/>
  <c r="O31" i="21"/>
  <c r="P31" i="21"/>
  <c r="N32" i="21"/>
  <c r="O32" i="21"/>
  <c r="P32" i="21"/>
  <c r="N33" i="21"/>
  <c r="O33" i="21"/>
  <c r="P33" i="21"/>
  <c r="N34" i="21"/>
  <c r="O34" i="21"/>
  <c r="P34" i="21"/>
  <c r="N35" i="21"/>
  <c r="O35" i="21"/>
  <c r="P35" i="21"/>
  <c r="N36" i="21"/>
  <c r="O36" i="21"/>
  <c r="P36" i="21"/>
  <c r="N37" i="21"/>
  <c r="O37" i="21"/>
  <c r="P37" i="21"/>
  <c r="N38" i="21"/>
  <c r="O38" i="21"/>
  <c r="P38" i="21"/>
  <c r="N39" i="21"/>
  <c r="O39" i="21"/>
  <c r="P39" i="21"/>
  <c r="N40" i="21"/>
  <c r="O40" i="21"/>
  <c r="P40" i="21"/>
  <c r="N41" i="21"/>
  <c r="O41" i="21"/>
  <c r="P41" i="21"/>
  <c r="N42" i="21"/>
  <c r="O42" i="21"/>
  <c r="P42" i="21"/>
  <c r="N43" i="21"/>
  <c r="O43" i="21"/>
  <c r="P43" i="21"/>
  <c r="N44" i="21"/>
  <c r="O44" i="21"/>
  <c r="P44" i="21"/>
  <c r="N45" i="21"/>
  <c r="O45" i="21"/>
  <c r="P45" i="21"/>
  <c r="N46" i="21"/>
  <c r="O46" i="21"/>
  <c r="P46" i="21"/>
  <c r="N47" i="21"/>
  <c r="O47" i="21"/>
  <c r="P47" i="21"/>
  <c r="N48" i="21"/>
  <c r="O48" i="21"/>
  <c r="P48" i="21"/>
  <c r="N49" i="21"/>
  <c r="O49" i="21"/>
  <c r="P49" i="21"/>
  <c r="N50" i="21"/>
  <c r="O50" i="21"/>
  <c r="P50" i="21"/>
  <c r="N51" i="21"/>
  <c r="O51" i="21"/>
  <c r="P51" i="21"/>
  <c r="N52" i="21"/>
  <c r="O52" i="21"/>
  <c r="P52" i="21"/>
  <c r="N53" i="21"/>
  <c r="O53" i="21"/>
  <c r="P53" i="21"/>
  <c r="N54" i="21"/>
  <c r="O54" i="21"/>
  <c r="P54" i="21"/>
  <c r="N55" i="21"/>
  <c r="O55" i="21"/>
  <c r="P55" i="21"/>
  <c r="N56" i="21"/>
  <c r="O56" i="21"/>
  <c r="P56" i="21"/>
  <c r="N57" i="21"/>
  <c r="O57" i="21"/>
  <c r="P57" i="21"/>
  <c r="N58" i="21"/>
  <c r="O58" i="21"/>
  <c r="P58" i="21"/>
  <c r="N59" i="21"/>
  <c r="O59" i="21"/>
  <c r="P59" i="21"/>
  <c r="N60" i="21"/>
  <c r="O60" i="21"/>
  <c r="P60" i="21"/>
  <c r="N61" i="21"/>
  <c r="O61" i="21"/>
  <c r="P61" i="21"/>
  <c r="N62" i="21"/>
  <c r="O62" i="21"/>
  <c r="P62" i="21"/>
  <c r="N63" i="21"/>
  <c r="O63" i="21"/>
  <c r="P63" i="21"/>
  <c r="N64" i="21"/>
  <c r="O64" i="21"/>
  <c r="P64" i="21"/>
  <c r="N65" i="21"/>
  <c r="O65" i="21"/>
  <c r="P65" i="21"/>
  <c r="N66" i="21"/>
  <c r="O66" i="21"/>
  <c r="P66" i="21"/>
  <c r="N67" i="21"/>
  <c r="O67" i="21"/>
  <c r="P67" i="21"/>
  <c r="N68" i="21"/>
  <c r="O68" i="21"/>
  <c r="P68" i="21"/>
  <c r="N69" i="21"/>
  <c r="O69" i="21"/>
  <c r="P69" i="21"/>
  <c r="N70" i="21"/>
  <c r="O70" i="21"/>
  <c r="P70" i="21"/>
  <c r="N71" i="21"/>
  <c r="O71" i="21"/>
  <c r="P71" i="21"/>
  <c r="N72" i="21"/>
  <c r="O72" i="21"/>
  <c r="P72" i="21"/>
  <c r="N73" i="21"/>
  <c r="O73" i="21"/>
  <c r="P73" i="21"/>
  <c r="N74" i="21"/>
  <c r="O74" i="21"/>
  <c r="P74" i="21"/>
  <c r="N75" i="21"/>
  <c r="O75" i="21"/>
  <c r="P75" i="21"/>
  <c r="N76" i="21"/>
  <c r="O76" i="21"/>
  <c r="P76" i="21"/>
  <c r="N77" i="21"/>
  <c r="O77" i="21"/>
  <c r="P77" i="21"/>
  <c r="N78" i="21"/>
  <c r="O78" i="21"/>
  <c r="P78" i="21"/>
  <c r="N79" i="21"/>
  <c r="O79" i="21"/>
  <c r="P79" i="21"/>
  <c r="N11" i="13"/>
  <c r="O11" i="13"/>
  <c r="P11" i="13"/>
  <c r="N12" i="13"/>
  <c r="O12" i="13"/>
  <c r="P12" i="13"/>
  <c r="N13" i="13"/>
  <c r="O13" i="13"/>
  <c r="P13" i="13"/>
  <c r="N14" i="13"/>
  <c r="O14" i="13"/>
  <c r="P14" i="13"/>
  <c r="N15" i="13"/>
  <c r="O15" i="13"/>
  <c r="P15" i="13"/>
  <c r="N16" i="13"/>
  <c r="O16" i="13"/>
  <c r="P16" i="13"/>
  <c r="N17" i="13"/>
  <c r="O17" i="13"/>
  <c r="P17" i="13"/>
  <c r="N18" i="13"/>
  <c r="O18" i="13"/>
  <c r="P18" i="13"/>
  <c r="N19" i="13"/>
  <c r="O19" i="13"/>
  <c r="P19" i="13"/>
  <c r="N20" i="13"/>
  <c r="O20" i="13"/>
  <c r="P20" i="13"/>
  <c r="N21" i="13"/>
  <c r="O21" i="13"/>
  <c r="P21" i="13"/>
  <c r="N22" i="13"/>
  <c r="O22" i="13"/>
  <c r="P22" i="13"/>
  <c r="N23" i="13"/>
  <c r="O23" i="13"/>
  <c r="P23" i="13"/>
  <c r="N24" i="13"/>
  <c r="O24" i="13"/>
  <c r="P24" i="13"/>
  <c r="N25" i="13"/>
  <c r="O25" i="13"/>
  <c r="P25" i="13"/>
  <c r="N26" i="13"/>
  <c r="O26" i="13"/>
  <c r="P26" i="13"/>
  <c r="N27" i="13"/>
  <c r="O27" i="13"/>
  <c r="P27" i="13"/>
  <c r="N28" i="13"/>
  <c r="O28" i="13"/>
  <c r="P28" i="13"/>
  <c r="N29" i="13"/>
  <c r="O29" i="13"/>
  <c r="P29" i="13"/>
  <c r="N30" i="13"/>
  <c r="O30" i="13"/>
  <c r="P30" i="13"/>
  <c r="N31" i="13"/>
  <c r="O31" i="13"/>
  <c r="P31" i="13"/>
  <c r="N32" i="13"/>
  <c r="O32" i="13"/>
  <c r="P32" i="13"/>
  <c r="N33" i="13"/>
  <c r="O33" i="13"/>
  <c r="P33" i="13"/>
  <c r="N34" i="13"/>
  <c r="O34" i="13"/>
  <c r="P34" i="13"/>
  <c r="N35" i="13"/>
  <c r="O35" i="13"/>
  <c r="P35" i="13"/>
  <c r="N36" i="13"/>
  <c r="O36" i="13"/>
  <c r="P36" i="13"/>
  <c r="N37" i="13"/>
  <c r="O37" i="13"/>
  <c r="P37" i="13"/>
  <c r="N38" i="13"/>
  <c r="O38" i="13"/>
  <c r="P38" i="13"/>
  <c r="N39" i="13"/>
  <c r="O39" i="13"/>
  <c r="P39" i="13"/>
  <c r="N40" i="13"/>
  <c r="O40" i="13"/>
  <c r="P40" i="13"/>
  <c r="N41" i="13"/>
  <c r="O41" i="13"/>
  <c r="P41" i="13"/>
  <c r="N42" i="13"/>
  <c r="O42" i="13"/>
  <c r="P42" i="13"/>
  <c r="N43" i="13"/>
  <c r="O43" i="13"/>
  <c r="P43" i="13"/>
  <c r="N44" i="13"/>
  <c r="O44" i="13"/>
  <c r="P44" i="13"/>
  <c r="N45" i="13"/>
  <c r="O45" i="13"/>
  <c r="P45" i="13"/>
  <c r="N46" i="13"/>
  <c r="O46" i="13"/>
  <c r="P46" i="13"/>
  <c r="N47" i="13"/>
  <c r="O47" i="13"/>
  <c r="P47" i="13"/>
  <c r="N48" i="13"/>
  <c r="O48" i="13"/>
  <c r="P48" i="13"/>
  <c r="N49" i="13"/>
  <c r="O49" i="13"/>
  <c r="P49" i="13"/>
  <c r="N50" i="13"/>
  <c r="O50" i="13"/>
  <c r="P50" i="13"/>
  <c r="N51" i="13"/>
  <c r="O51" i="13"/>
  <c r="P51" i="13"/>
  <c r="N52" i="13"/>
  <c r="O52" i="13"/>
  <c r="P52" i="13"/>
  <c r="N53" i="13"/>
  <c r="O53" i="13"/>
  <c r="P53" i="13"/>
  <c r="N54" i="13"/>
  <c r="O54" i="13"/>
  <c r="P54" i="13"/>
  <c r="N55" i="13"/>
  <c r="O55" i="13"/>
  <c r="P55" i="13"/>
  <c r="N56" i="13"/>
  <c r="O56" i="13"/>
  <c r="P56" i="13"/>
  <c r="N57" i="13"/>
  <c r="O57" i="13"/>
  <c r="P57" i="13"/>
  <c r="N58" i="13"/>
  <c r="O58" i="13"/>
  <c r="P58" i="13"/>
  <c r="N59" i="13"/>
  <c r="O59" i="13"/>
  <c r="P59" i="13"/>
  <c r="N60" i="13"/>
  <c r="O60" i="13"/>
  <c r="P60" i="13"/>
  <c r="N61" i="13"/>
  <c r="O61" i="13"/>
  <c r="P61" i="13"/>
  <c r="N62" i="13"/>
  <c r="O62" i="13"/>
  <c r="P62" i="13"/>
  <c r="N63" i="13"/>
  <c r="O63" i="13"/>
  <c r="P63" i="13"/>
  <c r="N64" i="13"/>
  <c r="O64" i="13"/>
  <c r="P64" i="13"/>
  <c r="N65" i="13"/>
  <c r="O65" i="13"/>
  <c r="P65" i="13"/>
  <c r="N66" i="13"/>
  <c r="O66" i="13"/>
  <c r="P66" i="13"/>
  <c r="N67" i="13"/>
  <c r="O67" i="13"/>
  <c r="P67" i="13"/>
  <c r="N68" i="13"/>
  <c r="O68" i="13"/>
  <c r="P68" i="13"/>
  <c r="N69" i="13"/>
  <c r="O69" i="13"/>
  <c r="P69" i="13"/>
  <c r="N70" i="13"/>
  <c r="O70" i="13"/>
  <c r="P70" i="13"/>
  <c r="N71" i="13"/>
  <c r="O71" i="13"/>
  <c r="P71" i="13"/>
  <c r="N72" i="13"/>
  <c r="O72" i="13"/>
  <c r="P72" i="13"/>
  <c r="N73" i="13"/>
  <c r="O73" i="13"/>
  <c r="P73" i="13"/>
  <c r="N74" i="13"/>
  <c r="O74" i="13"/>
  <c r="P74" i="13"/>
  <c r="N75" i="13"/>
  <c r="O75" i="13"/>
  <c r="P75" i="13"/>
  <c r="N76" i="13"/>
  <c r="O76" i="13"/>
  <c r="P76" i="13"/>
  <c r="N77" i="13"/>
  <c r="O77" i="13"/>
  <c r="P77" i="13"/>
  <c r="N78" i="13"/>
  <c r="O78" i="13"/>
  <c r="P78" i="13"/>
  <c r="N79" i="13"/>
  <c r="O79" i="13"/>
  <c r="P79" i="13"/>
  <c r="N11" i="23"/>
  <c r="O11" i="23"/>
  <c r="P11" i="23"/>
  <c r="N12" i="23"/>
  <c r="O12" i="23"/>
  <c r="P12" i="23"/>
  <c r="N13" i="23"/>
  <c r="O13" i="23"/>
  <c r="P13" i="23"/>
  <c r="N14" i="23"/>
  <c r="O14" i="23"/>
  <c r="P14" i="23"/>
  <c r="N15" i="23"/>
  <c r="O15" i="23"/>
  <c r="P15" i="23"/>
  <c r="N16" i="23"/>
  <c r="O16" i="23"/>
  <c r="P16" i="23"/>
  <c r="N17" i="23"/>
  <c r="O17" i="23"/>
  <c r="P17" i="23"/>
  <c r="N18" i="23"/>
  <c r="O18" i="23"/>
  <c r="P18" i="23"/>
  <c r="N19" i="23"/>
  <c r="O19" i="23"/>
  <c r="P19" i="23"/>
  <c r="N20" i="23"/>
  <c r="O20" i="23"/>
  <c r="P20" i="23"/>
  <c r="N21" i="23"/>
  <c r="O21" i="23"/>
  <c r="P21" i="23"/>
  <c r="N22" i="23"/>
  <c r="O22" i="23"/>
  <c r="P22" i="23"/>
  <c r="N23" i="23"/>
  <c r="O23" i="23"/>
  <c r="P23" i="23"/>
  <c r="N24" i="23"/>
  <c r="O24" i="23"/>
  <c r="P24" i="23"/>
  <c r="N25" i="23"/>
  <c r="O25" i="23"/>
  <c r="P25" i="23"/>
  <c r="N26" i="23"/>
  <c r="O26" i="23"/>
  <c r="P26" i="23"/>
  <c r="N27" i="23"/>
  <c r="O27" i="23"/>
  <c r="P27" i="23"/>
  <c r="N28" i="23"/>
  <c r="O28" i="23"/>
  <c r="P28" i="23"/>
  <c r="N29" i="23"/>
  <c r="O29" i="23"/>
  <c r="P29" i="23"/>
  <c r="N30" i="23"/>
  <c r="O30" i="23"/>
  <c r="P30" i="23"/>
  <c r="N31" i="23"/>
  <c r="O31" i="23"/>
  <c r="P31" i="23"/>
  <c r="N32" i="23"/>
  <c r="O32" i="23"/>
  <c r="P32" i="23"/>
  <c r="N33" i="23"/>
  <c r="O33" i="23"/>
  <c r="P33" i="23"/>
  <c r="N34" i="23"/>
  <c r="O34" i="23"/>
  <c r="P34" i="23"/>
  <c r="N35" i="23"/>
  <c r="O35" i="23"/>
  <c r="P35" i="23"/>
  <c r="N36" i="23"/>
  <c r="O36" i="23"/>
  <c r="P36" i="23"/>
  <c r="N37" i="23"/>
  <c r="O37" i="23"/>
  <c r="P37" i="23"/>
  <c r="N38" i="23"/>
  <c r="O38" i="23"/>
  <c r="P38" i="23"/>
  <c r="N39" i="23"/>
  <c r="O39" i="23"/>
  <c r="P39" i="23"/>
  <c r="N40" i="23"/>
  <c r="O40" i="23"/>
  <c r="P40" i="23"/>
  <c r="N41" i="23"/>
  <c r="O41" i="23"/>
  <c r="P41" i="23"/>
  <c r="N42" i="23"/>
  <c r="O42" i="23"/>
  <c r="P42" i="23"/>
  <c r="N43" i="23"/>
  <c r="O43" i="23"/>
  <c r="P43" i="23"/>
  <c r="N44" i="23"/>
  <c r="O44" i="23"/>
  <c r="P44" i="23"/>
  <c r="N45" i="23"/>
  <c r="O45" i="23"/>
  <c r="P45" i="23"/>
  <c r="N46" i="23"/>
  <c r="O46" i="23"/>
  <c r="P46" i="23"/>
  <c r="N47" i="23"/>
  <c r="O47" i="23"/>
  <c r="P47" i="23"/>
  <c r="N48" i="23"/>
  <c r="O48" i="23"/>
  <c r="P48" i="23"/>
  <c r="N49" i="23"/>
  <c r="O49" i="23"/>
  <c r="P49" i="23"/>
  <c r="N50" i="23"/>
  <c r="O50" i="23"/>
  <c r="P50" i="23"/>
  <c r="N51" i="23"/>
  <c r="O51" i="23"/>
  <c r="P51" i="23"/>
  <c r="N52" i="23"/>
  <c r="O52" i="23"/>
  <c r="P52" i="23"/>
  <c r="N53" i="23"/>
  <c r="O53" i="23"/>
  <c r="P53" i="23"/>
  <c r="N54" i="23"/>
  <c r="O54" i="23"/>
  <c r="P54" i="23"/>
  <c r="N55" i="23"/>
  <c r="O55" i="23"/>
  <c r="P55" i="23"/>
  <c r="N56" i="23"/>
  <c r="O56" i="23"/>
  <c r="P56" i="23"/>
  <c r="N57" i="23"/>
  <c r="O57" i="23"/>
  <c r="P57" i="23"/>
  <c r="N58" i="23"/>
  <c r="O58" i="23"/>
  <c r="P58" i="23"/>
  <c r="N59" i="23"/>
  <c r="O59" i="23"/>
  <c r="P59" i="23"/>
  <c r="N60" i="23"/>
  <c r="O60" i="23"/>
  <c r="P60" i="23"/>
  <c r="N61" i="23"/>
  <c r="O61" i="23"/>
  <c r="P61" i="23"/>
  <c r="N62" i="23"/>
  <c r="O62" i="23"/>
  <c r="P62" i="23"/>
  <c r="N63" i="23"/>
  <c r="O63" i="23"/>
  <c r="P63" i="23"/>
  <c r="N64" i="23"/>
  <c r="O64" i="23"/>
  <c r="P64" i="23"/>
  <c r="N65" i="23"/>
  <c r="O65" i="23"/>
  <c r="P65" i="23"/>
  <c r="N66" i="23"/>
  <c r="O66" i="23"/>
  <c r="P66" i="23"/>
  <c r="N67" i="23"/>
  <c r="O67" i="23"/>
  <c r="P67" i="23"/>
  <c r="N68" i="23"/>
  <c r="O68" i="23"/>
  <c r="P68" i="23"/>
  <c r="N69" i="23"/>
  <c r="O69" i="23"/>
  <c r="P69" i="23"/>
  <c r="N70" i="23"/>
  <c r="O70" i="23"/>
  <c r="P70" i="23"/>
  <c r="N71" i="23"/>
  <c r="O71" i="23"/>
  <c r="P71" i="23"/>
  <c r="N72" i="23"/>
  <c r="O72" i="23"/>
  <c r="P72" i="23"/>
  <c r="N73" i="23"/>
  <c r="O73" i="23"/>
  <c r="P73" i="23"/>
  <c r="N74" i="23"/>
  <c r="O74" i="23"/>
  <c r="P74" i="23"/>
  <c r="N75" i="23"/>
  <c r="O75" i="23"/>
  <c r="P75" i="23"/>
  <c r="N76" i="23"/>
  <c r="O76" i="23"/>
  <c r="P76" i="23"/>
  <c r="N77" i="23"/>
  <c r="O77" i="23"/>
  <c r="P77" i="23"/>
  <c r="N78" i="23"/>
  <c r="O78" i="23"/>
  <c r="P78" i="23"/>
  <c r="N79" i="23"/>
  <c r="O79" i="23"/>
  <c r="P79" i="23"/>
  <c r="N11" i="16"/>
  <c r="O11" i="16"/>
  <c r="P11" i="16"/>
  <c r="N12" i="16"/>
  <c r="O12" i="16"/>
  <c r="P12" i="16"/>
  <c r="N13" i="16"/>
  <c r="O13" i="16"/>
  <c r="P13" i="16"/>
  <c r="N14" i="16"/>
  <c r="O14" i="16"/>
  <c r="P14" i="16"/>
  <c r="N15" i="16"/>
  <c r="O15" i="16"/>
  <c r="P15" i="16"/>
  <c r="N16" i="16"/>
  <c r="O16" i="16"/>
  <c r="P16" i="16"/>
  <c r="N17" i="16"/>
  <c r="O17" i="16"/>
  <c r="P17" i="16"/>
  <c r="N18" i="16"/>
  <c r="O18" i="16"/>
  <c r="P18" i="16"/>
  <c r="N19" i="16"/>
  <c r="O19" i="16"/>
  <c r="P19" i="16"/>
  <c r="N20" i="16"/>
  <c r="O20" i="16"/>
  <c r="P20" i="16"/>
  <c r="N21" i="16"/>
  <c r="O21" i="16"/>
  <c r="P21" i="16"/>
  <c r="N22" i="16"/>
  <c r="O22" i="16"/>
  <c r="P22" i="16"/>
  <c r="N23" i="16"/>
  <c r="O23" i="16"/>
  <c r="P23" i="16"/>
  <c r="N24" i="16"/>
  <c r="O24" i="16"/>
  <c r="P24" i="16"/>
  <c r="N25" i="16"/>
  <c r="O25" i="16"/>
  <c r="P25" i="16"/>
  <c r="N26" i="16"/>
  <c r="O26" i="16"/>
  <c r="P26" i="16"/>
  <c r="N27" i="16"/>
  <c r="O27" i="16"/>
  <c r="P27" i="16"/>
  <c r="N28" i="16"/>
  <c r="O28" i="16"/>
  <c r="P28" i="16"/>
  <c r="N29" i="16"/>
  <c r="O29" i="16"/>
  <c r="P29" i="16"/>
  <c r="N30" i="16"/>
  <c r="O30" i="16"/>
  <c r="P30" i="16"/>
  <c r="N31" i="16"/>
  <c r="O31" i="16"/>
  <c r="P31" i="16"/>
  <c r="N32" i="16"/>
  <c r="O32" i="16"/>
  <c r="P32" i="16"/>
  <c r="N33" i="16"/>
  <c r="O33" i="16"/>
  <c r="P33" i="16"/>
  <c r="N34" i="16"/>
  <c r="O34" i="16"/>
  <c r="P34" i="16"/>
  <c r="N35" i="16"/>
  <c r="O35" i="16"/>
  <c r="P35" i="16"/>
  <c r="N36" i="16"/>
  <c r="O36" i="16"/>
  <c r="P36" i="16"/>
  <c r="N37" i="16"/>
  <c r="O37" i="16"/>
  <c r="P37" i="16"/>
  <c r="N38" i="16"/>
  <c r="O38" i="16"/>
  <c r="P38" i="16"/>
  <c r="N39" i="16"/>
  <c r="O39" i="16"/>
  <c r="P39" i="16"/>
  <c r="N40" i="16"/>
  <c r="O40" i="16"/>
  <c r="P40" i="16"/>
  <c r="N41" i="16"/>
  <c r="O41" i="16"/>
  <c r="P41" i="16"/>
  <c r="N42" i="16"/>
  <c r="O42" i="16"/>
  <c r="P42" i="16"/>
  <c r="N43" i="16"/>
  <c r="O43" i="16"/>
  <c r="P43" i="16"/>
  <c r="N44" i="16"/>
  <c r="O44" i="16"/>
  <c r="P44" i="16"/>
  <c r="N45" i="16"/>
  <c r="O45" i="16"/>
  <c r="P45" i="16"/>
  <c r="N46" i="16"/>
  <c r="O46" i="16"/>
  <c r="P46" i="16"/>
  <c r="N47" i="16"/>
  <c r="O47" i="16"/>
  <c r="P47" i="16"/>
  <c r="N48" i="16"/>
  <c r="O48" i="16"/>
  <c r="P48" i="16"/>
  <c r="N49" i="16"/>
  <c r="O49" i="16"/>
  <c r="P49" i="16"/>
  <c r="N50" i="16"/>
  <c r="O50" i="16"/>
  <c r="P50" i="16"/>
  <c r="N51" i="16"/>
  <c r="O51" i="16"/>
  <c r="P51" i="16"/>
  <c r="N52" i="16"/>
  <c r="O52" i="16"/>
  <c r="P52" i="16"/>
  <c r="N53" i="16"/>
  <c r="O53" i="16"/>
  <c r="P53" i="16"/>
  <c r="N54" i="16"/>
  <c r="O54" i="16"/>
  <c r="P54" i="16"/>
  <c r="N55" i="16"/>
  <c r="O55" i="16"/>
  <c r="P55" i="16"/>
  <c r="N56" i="16"/>
  <c r="O56" i="16"/>
  <c r="P56" i="16"/>
  <c r="N57" i="16"/>
  <c r="O57" i="16"/>
  <c r="P57" i="16"/>
  <c r="N58" i="16"/>
  <c r="O58" i="16"/>
  <c r="P58" i="16"/>
  <c r="N59" i="16"/>
  <c r="O59" i="16"/>
  <c r="P59" i="16"/>
  <c r="N60" i="16"/>
  <c r="O60" i="16"/>
  <c r="P60" i="16"/>
  <c r="N61" i="16"/>
  <c r="O61" i="16"/>
  <c r="P61" i="16"/>
  <c r="N62" i="16"/>
  <c r="O62" i="16"/>
  <c r="P62" i="16"/>
  <c r="N63" i="16"/>
  <c r="O63" i="16"/>
  <c r="P63" i="16"/>
  <c r="N64" i="16"/>
  <c r="O64" i="16"/>
  <c r="P64" i="16"/>
  <c r="N65" i="16"/>
  <c r="O65" i="16"/>
  <c r="P65" i="16"/>
  <c r="N66" i="16"/>
  <c r="O66" i="16"/>
  <c r="P66" i="16"/>
  <c r="N67" i="16"/>
  <c r="O67" i="16"/>
  <c r="P67" i="16"/>
  <c r="N68" i="16"/>
  <c r="O68" i="16"/>
  <c r="P68" i="16"/>
  <c r="N69" i="16"/>
  <c r="O69" i="16"/>
  <c r="P69" i="16"/>
  <c r="N70" i="16"/>
  <c r="O70" i="16"/>
  <c r="P70" i="16"/>
  <c r="N71" i="16"/>
  <c r="O71" i="16"/>
  <c r="P71" i="16"/>
  <c r="N72" i="16"/>
  <c r="O72" i="16"/>
  <c r="P72" i="16"/>
  <c r="N73" i="16"/>
  <c r="O73" i="16"/>
  <c r="P73" i="16"/>
  <c r="N74" i="16"/>
  <c r="O74" i="16"/>
  <c r="P74" i="16"/>
  <c r="N75" i="16"/>
  <c r="O75" i="16"/>
  <c r="P75" i="16"/>
  <c r="N76" i="16"/>
  <c r="O76" i="16"/>
  <c r="P76" i="16"/>
  <c r="N77" i="16"/>
  <c r="O77" i="16"/>
  <c r="P77" i="16"/>
  <c r="N78" i="16"/>
  <c r="O78" i="16"/>
  <c r="P78" i="16"/>
  <c r="N79" i="16"/>
  <c r="O79" i="16"/>
  <c r="P79" i="16"/>
  <c r="N11" i="22"/>
  <c r="O11" i="22"/>
  <c r="P11" i="22"/>
  <c r="N12" i="22"/>
  <c r="O12" i="22"/>
  <c r="P12" i="22"/>
  <c r="N13" i="22"/>
  <c r="O13" i="22"/>
  <c r="P13" i="22"/>
  <c r="N14" i="22"/>
  <c r="O14" i="22"/>
  <c r="P14" i="22"/>
  <c r="N15" i="22"/>
  <c r="O15" i="22"/>
  <c r="P15" i="22"/>
  <c r="N16" i="22"/>
  <c r="O16" i="22"/>
  <c r="P16" i="22"/>
  <c r="N17" i="22"/>
  <c r="O17" i="22"/>
  <c r="P17" i="22"/>
  <c r="N18" i="22"/>
  <c r="O18" i="22"/>
  <c r="P18" i="22"/>
  <c r="N19" i="22"/>
  <c r="O19" i="22"/>
  <c r="P19" i="22"/>
  <c r="N20" i="22"/>
  <c r="O20" i="22"/>
  <c r="P20" i="22"/>
  <c r="N21" i="22"/>
  <c r="O21" i="22"/>
  <c r="P21" i="22"/>
  <c r="N22" i="22"/>
  <c r="O22" i="22"/>
  <c r="P22" i="22"/>
  <c r="N23" i="22"/>
  <c r="O23" i="22"/>
  <c r="P23" i="22"/>
  <c r="N24" i="22"/>
  <c r="O24" i="22"/>
  <c r="P24" i="22"/>
  <c r="N25" i="22"/>
  <c r="O25" i="22"/>
  <c r="P25" i="22"/>
  <c r="N26" i="22"/>
  <c r="O26" i="22"/>
  <c r="P26" i="22"/>
  <c r="N27" i="22"/>
  <c r="O27" i="22"/>
  <c r="P27" i="22"/>
  <c r="N28" i="22"/>
  <c r="O28" i="22"/>
  <c r="P28" i="22"/>
  <c r="N29" i="22"/>
  <c r="O29" i="22"/>
  <c r="P29" i="22"/>
  <c r="N30" i="22"/>
  <c r="O30" i="22"/>
  <c r="P30" i="22"/>
  <c r="N31" i="22"/>
  <c r="O31" i="22"/>
  <c r="P31" i="22"/>
  <c r="N32" i="22"/>
  <c r="O32" i="22"/>
  <c r="P32" i="22"/>
  <c r="N33" i="22"/>
  <c r="O33" i="22"/>
  <c r="P33" i="22"/>
  <c r="N34" i="22"/>
  <c r="O34" i="22"/>
  <c r="P34" i="22"/>
  <c r="N35" i="22"/>
  <c r="O35" i="22"/>
  <c r="P35" i="22"/>
  <c r="N36" i="22"/>
  <c r="O36" i="22"/>
  <c r="P36" i="22"/>
  <c r="N37" i="22"/>
  <c r="O37" i="22"/>
  <c r="P37" i="22"/>
  <c r="N38" i="22"/>
  <c r="O38" i="22"/>
  <c r="P38" i="22"/>
  <c r="N39" i="22"/>
  <c r="O39" i="22"/>
  <c r="P39" i="22"/>
  <c r="N40" i="22"/>
  <c r="O40" i="22"/>
  <c r="P40" i="22"/>
  <c r="N41" i="22"/>
  <c r="O41" i="22"/>
  <c r="P41" i="22"/>
  <c r="N42" i="22"/>
  <c r="O42" i="22"/>
  <c r="P42" i="22"/>
  <c r="N43" i="22"/>
  <c r="O43" i="22"/>
  <c r="P43" i="22"/>
  <c r="N44" i="22"/>
  <c r="O44" i="22"/>
  <c r="P44" i="22"/>
  <c r="N45" i="22"/>
  <c r="O45" i="22"/>
  <c r="P45" i="22"/>
  <c r="N46" i="22"/>
  <c r="O46" i="22"/>
  <c r="P46" i="22"/>
  <c r="N47" i="22"/>
  <c r="O47" i="22"/>
  <c r="P47" i="22"/>
  <c r="N48" i="22"/>
  <c r="O48" i="22"/>
  <c r="P48" i="22"/>
  <c r="N49" i="22"/>
  <c r="O49" i="22"/>
  <c r="P49" i="22"/>
  <c r="N50" i="22"/>
  <c r="O50" i="22"/>
  <c r="P50" i="22"/>
  <c r="N51" i="22"/>
  <c r="O51" i="22"/>
  <c r="P51" i="22"/>
  <c r="N52" i="22"/>
  <c r="O52" i="22"/>
  <c r="P52" i="22"/>
  <c r="N53" i="22"/>
  <c r="O53" i="22"/>
  <c r="P53" i="22"/>
  <c r="N54" i="22"/>
  <c r="O54" i="22"/>
  <c r="P54" i="22"/>
  <c r="N55" i="22"/>
  <c r="O55" i="22"/>
  <c r="P55" i="22"/>
  <c r="N56" i="22"/>
  <c r="O56" i="22"/>
  <c r="P56" i="22"/>
  <c r="N57" i="22"/>
  <c r="O57" i="22"/>
  <c r="P57" i="22"/>
  <c r="N58" i="22"/>
  <c r="O58" i="22"/>
  <c r="P58" i="22"/>
  <c r="N59" i="22"/>
  <c r="O59" i="22"/>
  <c r="P59" i="22"/>
  <c r="N60" i="22"/>
  <c r="O60" i="22"/>
  <c r="P60" i="22"/>
  <c r="N61" i="22"/>
  <c r="O61" i="22"/>
  <c r="P61" i="22"/>
  <c r="N62" i="22"/>
  <c r="O62" i="22"/>
  <c r="P62" i="22"/>
  <c r="N63" i="22"/>
  <c r="O63" i="22"/>
  <c r="P63" i="22"/>
  <c r="N64" i="22"/>
  <c r="O64" i="22"/>
  <c r="P64" i="22"/>
  <c r="N65" i="22"/>
  <c r="O65" i="22"/>
  <c r="P65" i="22"/>
  <c r="N66" i="22"/>
  <c r="O66" i="22"/>
  <c r="P66" i="22"/>
  <c r="N67" i="22"/>
  <c r="O67" i="22"/>
  <c r="P67" i="22"/>
  <c r="N68" i="22"/>
  <c r="O68" i="22"/>
  <c r="P68" i="22"/>
  <c r="N69" i="22"/>
  <c r="O69" i="22"/>
  <c r="P69" i="22"/>
  <c r="N70" i="22"/>
  <c r="O70" i="22"/>
  <c r="P70" i="22"/>
  <c r="N71" i="22"/>
  <c r="O71" i="22"/>
  <c r="P71" i="22"/>
  <c r="N72" i="22"/>
  <c r="O72" i="22"/>
  <c r="P72" i="22"/>
  <c r="N73" i="22"/>
  <c r="O73" i="22"/>
  <c r="P73" i="22"/>
  <c r="N74" i="22"/>
  <c r="O74" i="22"/>
  <c r="P74" i="22"/>
  <c r="N75" i="22"/>
  <c r="O75" i="22"/>
  <c r="P75" i="22"/>
  <c r="N76" i="22"/>
  <c r="O76" i="22"/>
  <c r="P76" i="22"/>
  <c r="N77" i="22"/>
  <c r="O77" i="22"/>
  <c r="P77" i="22"/>
  <c r="N78" i="22"/>
  <c r="O78" i="22"/>
  <c r="P78" i="22"/>
  <c r="N79" i="22"/>
  <c r="O79" i="22"/>
  <c r="P79" i="22"/>
  <c r="N11" i="19"/>
  <c r="O11" i="19"/>
  <c r="P11" i="19"/>
  <c r="N12" i="19"/>
  <c r="O12" i="19"/>
  <c r="P12" i="19"/>
  <c r="N13" i="19"/>
  <c r="O13" i="19"/>
  <c r="P13" i="19"/>
  <c r="N14" i="19"/>
  <c r="O14" i="19"/>
  <c r="P14" i="19"/>
  <c r="N15" i="19"/>
  <c r="O15" i="19"/>
  <c r="P15" i="19"/>
  <c r="N16" i="19"/>
  <c r="O16" i="19"/>
  <c r="P16" i="19"/>
  <c r="N17" i="19"/>
  <c r="O17" i="19"/>
  <c r="P17" i="19"/>
  <c r="N18" i="19"/>
  <c r="O18" i="19"/>
  <c r="P18" i="19"/>
  <c r="N19" i="19"/>
  <c r="O19" i="19"/>
  <c r="P19" i="19"/>
  <c r="N20" i="19"/>
  <c r="O20" i="19"/>
  <c r="P20" i="19"/>
  <c r="N21" i="19"/>
  <c r="O21" i="19"/>
  <c r="P21" i="19"/>
  <c r="N22" i="19"/>
  <c r="O22" i="19"/>
  <c r="P22" i="19"/>
  <c r="N23" i="19"/>
  <c r="O23" i="19"/>
  <c r="P23" i="19"/>
  <c r="N24" i="19"/>
  <c r="O24" i="19"/>
  <c r="P24" i="19"/>
  <c r="N25" i="19"/>
  <c r="O25" i="19"/>
  <c r="P25" i="19"/>
  <c r="N26" i="19"/>
  <c r="O26" i="19"/>
  <c r="P26" i="19"/>
  <c r="N27" i="19"/>
  <c r="O27" i="19"/>
  <c r="P27" i="19"/>
  <c r="N28" i="19"/>
  <c r="O28" i="19"/>
  <c r="P28" i="19"/>
  <c r="N29" i="19"/>
  <c r="O29" i="19"/>
  <c r="P29" i="19"/>
  <c r="N30" i="19"/>
  <c r="O30" i="19"/>
  <c r="P30" i="19"/>
  <c r="N31" i="19"/>
  <c r="O31" i="19"/>
  <c r="P31" i="19"/>
  <c r="N32" i="19"/>
  <c r="O32" i="19"/>
  <c r="P32" i="19"/>
  <c r="N33" i="19"/>
  <c r="O33" i="19"/>
  <c r="P33" i="19"/>
  <c r="N34" i="19"/>
  <c r="O34" i="19"/>
  <c r="P34" i="19"/>
  <c r="N35" i="19"/>
  <c r="O35" i="19"/>
  <c r="P35" i="19"/>
  <c r="N36" i="19"/>
  <c r="O36" i="19"/>
  <c r="P36" i="19"/>
  <c r="N37" i="19"/>
  <c r="O37" i="19"/>
  <c r="P37" i="19"/>
  <c r="N38" i="19"/>
  <c r="O38" i="19"/>
  <c r="P38" i="19"/>
  <c r="N39" i="19"/>
  <c r="O39" i="19"/>
  <c r="P39" i="19"/>
  <c r="N40" i="19"/>
  <c r="O40" i="19"/>
  <c r="P40" i="19"/>
  <c r="N41" i="19"/>
  <c r="O41" i="19"/>
  <c r="P41" i="19"/>
  <c r="N42" i="19"/>
  <c r="O42" i="19"/>
  <c r="P42" i="19"/>
  <c r="N43" i="19"/>
  <c r="O43" i="19"/>
  <c r="P43" i="19"/>
  <c r="N44" i="19"/>
  <c r="O44" i="19"/>
  <c r="P44" i="19"/>
  <c r="N45" i="19"/>
  <c r="O45" i="19"/>
  <c r="P45" i="19"/>
  <c r="N46" i="19"/>
  <c r="O46" i="19"/>
  <c r="P46" i="19"/>
  <c r="N47" i="19"/>
  <c r="O47" i="19"/>
  <c r="P47" i="19"/>
  <c r="N48" i="19"/>
  <c r="O48" i="19"/>
  <c r="P48" i="19"/>
  <c r="N49" i="19"/>
  <c r="O49" i="19"/>
  <c r="P49" i="19"/>
  <c r="N50" i="19"/>
  <c r="O50" i="19"/>
  <c r="P50" i="19"/>
  <c r="N51" i="19"/>
  <c r="O51" i="19"/>
  <c r="P51" i="19"/>
  <c r="N52" i="19"/>
  <c r="O52" i="19"/>
  <c r="P52" i="19"/>
  <c r="N53" i="19"/>
  <c r="O53" i="19"/>
  <c r="P53" i="19"/>
  <c r="N54" i="19"/>
  <c r="O54" i="19"/>
  <c r="P54" i="19"/>
  <c r="N55" i="19"/>
  <c r="O55" i="19"/>
  <c r="P55" i="19"/>
  <c r="N56" i="19"/>
  <c r="O56" i="19"/>
  <c r="P56" i="19"/>
  <c r="N57" i="19"/>
  <c r="O57" i="19"/>
  <c r="P57" i="19"/>
  <c r="N58" i="19"/>
  <c r="O58" i="19"/>
  <c r="P58" i="19"/>
  <c r="N59" i="19"/>
  <c r="O59" i="19"/>
  <c r="P59" i="19"/>
  <c r="N60" i="19"/>
  <c r="O60" i="19"/>
  <c r="P60" i="19"/>
  <c r="N61" i="19"/>
  <c r="O61" i="19"/>
  <c r="P61" i="19"/>
  <c r="N62" i="19"/>
  <c r="O62" i="19"/>
  <c r="P62" i="19"/>
  <c r="N63" i="19"/>
  <c r="O63" i="19"/>
  <c r="P63" i="19"/>
  <c r="N64" i="19"/>
  <c r="O64" i="19"/>
  <c r="P64" i="19"/>
  <c r="N65" i="19"/>
  <c r="O65" i="19"/>
  <c r="P65" i="19"/>
  <c r="N66" i="19"/>
  <c r="O66" i="19"/>
  <c r="P66" i="19"/>
  <c r="N67" i="19"/>
  <c r="O67" i="19"/>
  <c r="P67" i="19"/>
  <c r="N68" i="19"/>
  <c r="O68" i="19"/>
  <c r="P68" i="19"/>
  <c r="N69" i="19"/>
  <c r="O69" i="19"/>
  <c r="P69" i="19"/>
  <c r="N70" i="19"/>
  <c r="O70" i="19"/>
  <c r="P70" i="19"/>
  <c r="N71" i="19"/>
  <c r="O71" i="19"/>
  <c r="P71" i="19"/>
  <c r="N72" i="19"/>
  <c r="O72" i="19"/>
  <c r="P72" i="19"/>
  <c r="N73" i="19"/>
  <c r="O73" i="19"/>
  <c r="P73" i="19"/>
  <c r="N74" i="19"/>
  <c r="O74" i="19"/>
  <c r="P74" i="19"/>
  <c r="N75" i="19"/>
  <c r="O75" i="19"/>
  <c r="P75" i="19"/>
  <c r="N76" i="19"/>
  <c r="O76" i="19"/>
  <c r="P76" i="19"/>
  <c r="N77" i="19"/>
  <c r="O77" i="19"/>
  <c r="P77" i="19"/>
  <c r="N78" i="19"/>
  <c r="O78" i="19"/>
  <c r="P78" i="19"/>
  <c r="N79" i="19"/>
  <c r="O79" i="19"/>
  <c r="P79" i="19"/>
  <c r="N11" i="17"/>
  <c r="O11" i="17"/>
  <c r="P11" i="17"/>
  <c r="N12" i="17"/>
  <c r="O12" i="17"/>
  <c r="P12" i="17"/>
  <c r="N13" i="17"/>
  <c r="O13" i="17"/>
  <c r="P13" i="17"/>
  <c r="N14" i="17"/>
  <c r="O14" i="17"/>
  <c r="P14" i="17"/>
  <c r="N15" i="17"/>
  <c r="O15" i="17"/>
  <c r="P15" i="17"/>
  <c r="N16" i="17"/>
  <c r="O16" i="17"/>
  <c r="P16" i="17"/>
  <c r="N17" i="17"/>
  <c r="O17" i="17"/>
  <c r="P17" i="17"/>
  <c r="N18" i="17"/>
  <c r="O18" i="17"/>
  <c r="P18" i="17"/>
  <c r="N19" i="17"/>
  <c r="O19" i="17"/>
  <c r="P19" i="17"/>
  <c r="N20" i="17"/>
  <c r="O20" i="17"/>
  <c r="P20" i="17"/>
  <c r="N21" i="17"/>
  <c r="O21" i="17"/>
  <c r="P21" i="17"/>
  <c r="N22" i="17"/>
  <c r="O22" i="17"/>
  <c r="P22" i="17"/>
  <c r="N23" i="17"/>
  <c r="O23" i="17"/>
  <c r="P23" i="17"/>
  <c r="N24" i="17"/>
  <c r="O24" i="17"/>
  <c r="P24" i="17"/>
  <c r="N25" i="17"/>
  <c r="O25" i="17"/>
  <c r="P25" i="17"/>
  <c r="N26" i="17"/>
  <c r="O26" i="17"/>
  <c r="P26" i="17"/>
  <c r="N27" i="17"/>
  <c r="O27" i="17"/>
  <c r="P27" i="17"/>
  <c r="N28" i="17"/>
  <c r="O28" i="17"/>
  <c r="P28" i="17"/>
  <c r="N29" i="17"/>
  <c r="O29" i="17"/>
  <c r="P29" i="17"/>
  <c r="N30" i="17"/>
  <c r="O30" i="17"/>
  <c r="P30" i="17"/>
  <c r="N31" i="17"/>
  <c r="O31" i="17"/>
  <c r="P31" i="17"/>
  <c r="N32" i="17"/>
  <c r="O32" i="17"/>
  <c r="P32" i="17"/>
  <c r="N33" i="17"/>
  <c r="O33" i="17"/>
  <c r="P33" i="17"/>
  <c r="N34" i="17"/>
  <c r="O34" i="17"/>
  <c r="P34" i="17"/>
  <c r="N35" i="17"/>
  <c r="O35" i="17"/>
  <c r="P35" i="17"/>
  <c r="N36" i="17"/>
  <c r="O36" i="17"/>
  <c r="P36" i="17"/>
  <c r="N37" i="17"/>
  <c r="O37" i="17"/>
  <c r="P37" i="17"/>
  <c r="N38" i="17"/>
  <c r="O38" i="17"/>
  <c r="P38" i="17"/>
  <c r="N39" i="17"/>
  <c r="O39" i="17"/>
  <c r="P39" i="17"/>
  <c r="N40" i="17"/>
  <c r="O40" i="17"/>
  <c r="P40" i="17"/>
  <c r="N41" i="17"/>
  <c r="O41" i="17"/>
  <c r="P41" i="17"/>
  <c r="N42" i="17"/>
  <c r="O42" i="17"/>
  <c r="P42" i="17"/>
  <c r="N43" i="17"/>
  <c r="O43" i="17"/>
  <c r="P43" i="17"/>
  <c r="N44" i="17"/>
  <c r="O44" i="17"/>
  <c r="P44" i="17"/>
  <c r="N45" i="17"/>
  <c r="O45" i="17"/>
  <c r="P45" i="17"/>
  <c r="N46" i="17"/>
  <c r="O46" i="17"/>
  <c r="P46" i="17"/>
  <c r="N47" i="17"/>
  <c r="O47" i="17"/>
  <c r="P47" i="17"/>
  <c r="N48" i="17"/>
  <c r="O48" i="17"/>
  <c r="P48" i="17"/>
  <c r="N49" i="17"/>
  <c r="O49" i="17"/>
  <c r="P49" i="17"/>
  <c r="N50" i="17"/>
  <c r="O50" i="17"/>
  <c r="P50" i="17"/>
  <c r="N51" i="17"/>
  <c r="O51" i="17"/>
  <c r="P51" i="17"/>
  <c r="N52" i="17"/>
  <c r="O52" i="17"/>
  <c r="P52" i="17"/>
  <c r="N53" i="17"/>
  <c r="O53" i="17"/>
  <c r="P53" i="17"/>
  <c r="N54" i="17"/>
  <c r="O54" i="17"/>
  <c r="P54" i="17"/>
  <c r="N55" i="17"/>
  <c r="O55" i="17"/>
  <c r="P55" i="17"/>
  <c r="N56" i="17"/>
  <c r="O56" i="17"/>
  <c r="P56" i="17"/>
  <c r="N57" i="17"/>
  <c r="O57" i="17"/>
  <c r="P57" i="17"/>
  <c r="N58" i="17"/>
  <c r="O58" i="17"/>
  <c r="P58" i="17"/>
  <c r="N59" i="17"/>
  <c r="O59" i="17"/>
  <c r="P59" i="17"/>
  <c r="N60" i="17"/>
  <c r="O60" i="17"/>
  <c r="P60" i="17"/>
  <c r="N61" i="17"/>
  <c r="O61" i="17"/>
  <c r="P61" i="17"/>
  <c r="N62" i="17"/>
  <c r="O62" i="17"/>
  <c r="P62" i="17"/>
  <c r="N63" i="17"/>
  <c r="O63" i="17"/>
  <c r="P63" i="17"/>
  <c r="N64" i="17"/>
  <c r="O64" i="17"/>
  <c r="P64" i="17"/>
  <c r="N65" i="17"/>
  <c r="O65" i="17"/>
  <c r="P65" i="17"/>
  <c r="N66" i="17"/>
  <c r="O66" i="17"/>
  <c r="P66" i="17"/>
  <c r="N67" i="17"/>
  <c r="O67" i="17"/>
  <c r="P67" i="17"/>
  <c r="N68" i="17"/>
  <c r="O68" i="17"/>
  <c r="P68" i="17"/>
  <c r="N69" i="17"/>
  <c r="O69" i="17"/>
  <c r="P69" i="17"/>
  <c r="N70" i="17"/>
  <c r="O70" i="17"/>
  <c r="P70" i="17"/>
  <c r="N71" i="17"/>
  <c r="O71" i="17"/>
  <c r="P71" i="17"/>
  <c r="N72" i="17"/>
  <c r="O72" i="17"/>
  <c r="P72" i="17"/>
  <c r="N73" i="17"/>
  <c r="O73" i="17"/>
  <c r="P73" i="17"/>
  <c r="N74" i="17"/>
  <c r="O74" i="17"/>
  <c r="P74" i="17"/>
  <c r="N75" i="17"/>
  <c r="O75" i="17"/>
  <c r="P75" i="17"/>
  <c r="N76" i="17"/>
  <c r="O76" i="17"/>
  <c r="P76" i="17"/>
  <c r="N77" i="17"/>
  <c r="O77" i="17"/>
  <c r="P77" i="17"/>
  <c r="N78" i="17"/>
  <c r="O78" i="17"/>
  <c r="P78" i="17"/>
  <c r="N79" i="17"/>
  <c r="O79" i="17"/>
  <c r="P79" i="17"/>
  <c r="N11" i="18"/>
  <c r="O11" i="18"/>
  <c r="P11" i="18"/>
  <c r="N12" i="18"/>
  <c r="O12" i="18"/>
  <c r="P12" i="18"/>
  <c r="N13" i="18"/>
  <c r="O13" i="18"/>
  <c r="P13" i="18"/>
  <c r="N14" i="18"/>
  <c r="O14" i="18"/>
  <c r="P14" i="18"/>
  <c r="N15" i="18"/>
  <c r="O15" i="18"/>
  <c r="P15" i="18"/>
  <c r="N16" i="18"/>
  <c r="O16" i="18"/>
  <c r="P16" i="18"/>
  <c r="N17" i="18"/>
  <c r="O17" i="18"/>
  <c r="P17" i="18"/>
  <c r="N18" i="18"/>
  <c r="O18" i="18"/>
  <c r="P18" i="18"/>
  <c r="N19" i="18"/>
  <c r="O19" i="18"/>
  <c r="P19" i="18"/>
  <c r="N20" i="18"/>
  <c r="O20" i="18"/>
  <c r="P20" i="18"/>
  <c r="N21" i="18"/>
  <c r="O21" i="18"/>
  <c r="P21" i="18"/>
  <c r="N22" i="18"/>
  <c r="O22" i="18"/>
  <c r="P22" i="18"/>
  <c r="N23" i="18"/>
  <c r="O23" i="18"/>
  <c r="P23" i="18"/>
  <c r="N24" i="18"/>
  <c r="O24" i="18"/>
  <c r="P24" i="18"/>
  <c r="N25" i="18"/>
  <c r="O25" i="18"/>
  <c r="P25" i="18"/>
  <c r="N26" i="18"/>
  <c r="O26" i="18"/>
  <c r="P26" i="18"/>
  <c r="N27" i="18"/>
  <c r="O27" i="18"/>
  <c r="P27" i="18"/>
  <c r="N28" i="18"/>
  <c r="O28" i="18"/>
  <c r="P28" i="18"/>
  <c r="N29" i="18"/>
  <c r="O29" i="18"/>
  <c r="P29" i="18"/>
  <c r="N30" i="18"/>
  <c r="O30" i="18"/>
  <c r="P30" i="18"/>
  <c r="N31" i="18"/>
  <c r="O31" i="18"/>
  <c r="P31" i="18"/>
  <c r="N32" i="18"/>
  <c r="O32" i="18"/>
  <c r="P32" i="18"/>
  <c r="N33" i="18"/>
  <c r="O33" i="18"/>
  <c r="P33" i="18"/>
  <c r="N34" i="18"/>
  <c r="O34" i="18"/>
  <c r="P34" i="18"/>
  <c r="N35" i="18"/>
  <c r="O35" i="18"/>
  <c r="P35" i="18"/>
  <c r="N36" i="18"/>
  <c r="O36" i="18"/>
  <c r="P36" i="18"/>
  <c r="N37" i="18"/>
  <c r="O37" i="18"/>
  <c r="P37" i="18"/>
  <c r="N38" i="18"/>
  <c r="O38" i="18"/>
  <c r="P38" i="18"/>
  <c r="N39" i="18"/>
  <c r="O39" i="18"/>
  <c r="P39" i="18"/>
  <c r="N40" i="18"/>
  <c r="O40" i="18"/>
  <c r="P40" i="18"/>
  <c r="N41" i="18"/>
  <c r="O41" i="18"/>
  <c r="P41" i="18"/>
  <c r="N42" i="18"/>
  <c r="O42" i="18"/>
  <c r="P42" i="18"/>
  <c r="N43" i="18"/>
  <c r="O43" i="18"/>
  <c r="P43" i="18"/>
  <c r="N44" i="18"/>
  <c r="O44" i="18"/>
  <c r="P44" i="18"/>
  <c r="N45" i="18"/>
  <c r="O45" i="18"/>
  <c r="P45" i="18"/>
  <c r="N46" i="18"/>
  <c r="O46" i="18"/>
  <c r="P46" i="18"/>
  <c r="N47" i="18"/>
  <c r="O47" i="18"/>
  <c r="P47" i="18"/>
  <c r="N48" i="18"/>
  <c r="O48" i="18"/>
  <c r="P48" i="18"/>
  <c r="N49" i="18"/>
  <c r="O49" i="18"/>
  <c r="P49" i="18"/>
  <c r="N50" i="18"/>
  <c r="O50" i="18"/>
  <c r="P50" i="18"/>
  <c r="N51" i="18"/>
  <c r="O51" i="18"/>
  <c r="P51" i="18"/>
  <c r="N52" i="18"/>
  <c r="O52" i="18"/>
  <c r="P52" i="18"/>
  <c r="N53" i="18"/>
  <c r="O53" i="18"/>
  <c r="P53" i="18"/>
  <c r="N54" i="18"/>
  <c r="O54" i="18"/>
  <c r="P54" i="18"/>
  <c r="N55" i="18"/>
  <c r="O55" i="18"/>
  <c r="P55" i="18"/>
  <c r="N56" i="18"/>
  <c r="O56" i="18"/>
  <c r="P56" i="18"/>
  <c r="N57" i="18"/>
  <c r="O57" i="18"/>
  <c r="P57" i="18"/>
  <c r="N58" i="18"/>
  <c r="O58" i="18"/>
  <c r="P58" i="18"/>
  <c r="N59" i="18"/>
  <c r="O59" i="18"/>
  <c r="P59" i="18"/>
  <c r="N60" i="18"/>
  <c r="O60" i="18"/>
  <c r="P60" i="18"/>
  <c r="N61" i="18"/>
  <c r="O61" i="18"/>
  <c r="P61" i="18"/>
  <c r="N62" i="18"/>
  <c r="O62" i="18"/>
  <c r="P62" i="18"/>
  <c r="N63" i="18"/>
  <c r="O63" i="18"/>
  <c r="P63" i="18"/>
  <c r="N64" i="18"/>
  <c r="O64" i="18"/>
  <c r="P64" i="18"/>
  <c r="N65" i="18"/>
  <c r="O65" i="18"/>
  <c r="P65" i="18"/>
  <c r="N66" i="18"/>
  <c r="O66" i="18"/>
  <c r="P66" i="18"/>
  <c r="N67" i="18"/>
  <c r="O67" i="18"/>
  <c r="P67" i="18"/>
  <c r="N68" i="18"/>
  <c r="O68" i="18"/>
  <c r="P68" i="18"/>
  <c r="N69" i="18"/>
  <c r="O69" i="18"/>
  <c r="P69" i="18"/>
  <c r="N70" i="18"/>
  <c r="O70" i="18"/>
  <c r="P70" i="18"/>
  <c r="N71" i="18"/>
  <c r="O71" i="18"/>
  <c r="P71" i="18"/>
  <c r="N72" i="18"/>
  <c r="O72" i="18"/>
  <c r="P72" i="18"/>
  <c r="N73" i="18"/>
  <c r="O73" i="18"/>
  <c r="P73" i="18"/>
  <c r="N74" i="18"/>
  <c r="O74" i="18"/>
  <c r="P74" i="18"/>
  <c r="N75" i="18"/>
  <c r="O75" i="18"/>
  <c r="P75" i="18"/>
  <c r="N76" i="18"/>
  <c r="O76" i="18"/>
  <c r="P76" i="18"/>
  <c r="N77" i="18"/>
  <c r="O77" i="18"/>
  <c r="P77" i="18"/>
  <c r="N78" i="18"/>
  <c r="O78" i="18"/>
  <c r="P78" i="18"/>
  <c r="N79" i="18"/>
  <c r="O79" i="18"/>
  <c r="P79" i="18"/>
  <c r="N11" i="26"/>
  <c r="O11" i="26"/>
  <c r="P11" i="26"/>
  <c r="N12" i="26"/>
  <c r="O12" i="26"/>
  <c r="P12" i="26"/>
  <c r="N13" i="26"/>
  <c r="O13" i="26"/>
  <c r="P13" i="26"/>
  <c r="N14" i="26"/>
  <c r="O14" i="26"/>
  <c r="P14" i="26"/>
  <c r="N15" i="26"/>
  <c r="O15" i="26"/>
  <c r="P15" i="26"/>
  <c r="N16" i="26"/>
  <c r="O16" i="26"/>
  <c r="P16" i="26"/>
  <c r="N17" i="26"/>
  <c r="O17" i="26"/>
  <c r="P17" i="26"/>
  <c r="N18" i="26"/>
  <c r="O18" i="26"/>
  <c r="P18" i="26"/>
  <c r="N19" i="26"/>
  <c r="O19" i="26"/>
  <c r="P19" i="26"/>
  <c r="N20" i="26"/>
  <c r="O20" i="26"/>
  <c r="P20" i="26"/>
  <c r="N21" i="26"/>
  <c r="O21" i="26"/>
  <c r="P21" i="26"/>
  <c r="N22" i="26"/>
  <c r="O22" i="26"/>
  <c r="P22" i="26"/>
  <c r="N23" i="26"/>
  <c r="O23" i="26"/>
  <c r="P23" i="26"/>
  <c r="N24" i="26"/>
  <c r="O24" i="26"/>
  <c r="P24" i="26"/>
  <c r="N25" i="26"/>
  <c r="O25" i="26"/>
  <c r="P25" i="26"/>
  <c r="N26" i="26"/>
  <c r="O26" i="26"/>
  <c r="P26" i="26"/>
  <c r="N27" i="26"/>
  <c r="O27" i="26"/>
  <c r="P27" i="26"/>
  <c r="N28" i="26"/>
  <c r="O28" i="26"/>
  <c r="P28" i="26"/>
  <c r="N29" i="26"/>
  <c r="O29" i="26"/>
  <c r="P29" i="26"/>
  <c r="N30" i="26"/>
  <c r="O30" i="26"/>
  <c r="P30" i="26"/>
  <c r="N31" i="26"/>
  <c r="O31" i="26"/>
  <c r="P31" i="26"/>
  <c r="N32" i="26"/>
  <c r="O32" i="26"/>
  <c r="P32" i="26"/>
  <c r="N33" i="26"/>
  <c r="O33" i="26"/>
  <c r="P33" i="26"/>
  <c r="N34" i="26"/>
  <c r="O34" i="26"/>
  <c r="P34" i="26"/>
  <c r="N35" i="26"/>
  <c r="O35" i="26"/>
  <c r="P35" i="26"/>
  <c r="N36" i="26"/>
  <c r="O36" i="26"/>
  <c r="P36" i="26"/>
  <c r="N37" i="26"/>
  <c r="O37" i="26"/>
  <c r="P37" i="26"/>
  <c r="N38" i="26"/>
  <c r="O38" i="26"/>
  <c r="P38" i="26"/>
  <c r="N39" i="26"/>
  <c r="O39" i="26"/>
  <c r="P39" i="26"/>
  <c r="N40" i="26"/>
  <c r="O40" i="26"/>
  <c r="P40" i="26"/>
  <c r="N41" i="26"/>
  <c r="O41" i="26"/>
  <c r="P41" i="26"/>
  <c r="N42" i="26"/>
  <c r="O42" i="26"/>
  <c r="P42" i="26"/>
  <c r="N43" i="26"/>
  <c r="O43" i="26"/>
  <c r="P43" i="26"/>
  <c r="N44" i="26"/>
  <c r="O44" i="26"/>
  <c r="P44" i="26"/>
  <c r="N45" i="26"/>
  <c r="O45" i="26"/>
  <c r="P45" i="26"/>
  <c r="N46" i="26"/>
  <c r="O46" i="26"/>
  <c r="P46" i="26"/>
  <c r="N47" i="26"/>
  <c r="O47" i="26"/>
  <c r="P47" i="26"/>
  <c r="N48" i="26"/>
  <c r="O48" i="26"/>
  <c r="P48" i="26"/>
  <c r="N49" i="26"/>
  <c r="O49" i="26"/>
  <c r="P49" i="26"/>
  <c r="N50" i="26"/>
  <c r="O50" i="26"/>
  <c r="P50" i="26"/>
  <c r="N51" i="26"/>
  <c r="O51" i="26"/>
  <c r="P51" i="26"/>
  <c r="N52" i="26"/>
  <c r="O52" i="26"/>
  <c r="P52" i="26"/>
  <c r="N53" i="26"/>
  <c r="O53" i="26"/>
  <c r="P53" i="26"/>
  <c r="N54" i="26"/>
  <c r="O54" i="26"/>
  <c r="P54" i="26"/>
  <c r="N55" i="26"/>
  <c r="O55" i="26"/>
  <c r="P55" i="26"/>
  <c r="N56" i="26"/>
  <c r="O56" i="26"/>
  <c r="P56" i="26"/>
  <c r="N57" i="26"/>
  <c r="O57" i="26"/>
  <c r="P57" i="26"/>
  <c r="N58" i="26"/>
  <c r="O58" i="26"/>
  <c r="P58" i="26"/>
  <c r="N59" i="26"/>
  <c r="O59" i="26"/>
  <c r="P59" i="26"/>
  <c r="N60" i="26"/>
  <c r="O60" i="26"/>
  <c r="P60" i="26"/>
  <c r="N61" i="26"/>
  <c r="O61" i="26"/>
  <c r="P61" i="26"/>
  <c r="N62" i="26"/>
  <c r="O62" i="26"/>
  <c r="P62" i="26"/>
  <c r="N63" i="26"/>
  <c r="O63" i="26"/>
  <c r="P63" i="26"/>
  <c r="N64" i="26"/>
  <c r="O64" i="26"/>
  <c r="P64" i="26"/>
  <c r="N65" i="26"/>
  <c r="O65" i="26"/>
  <c r="P65" i="26"/>
  <c r="N66" i="26"/>
  <c r="O66" i="26"/>
  <c r="P66" i="26"/>
  <c r="N67" i="26"/>
  <c r="O67" i="26"/>
  <c r="P67" i="26"/>
  <c r="N68" i="26"/>
  <c r="O68" i="26"/>
  <c r="P68" i="26"/>
  <c r="N69" i="26"/>
  <c r="O69" i="26"/>
  <c r="P69" i="26"/>
  <c r="N70" i="26"/>
  <c r="O70" i="26"/>
  <c r="P70" i="26"/>
  <c r="N71" i="26"/>
  <c r="O71" i="26"/>
  <c r="P71" i="26"/>
  <c r="N72" i="26"/>
  <c r="O72" i="26"/>
  <c r="P72" i="26"/>
  <c r="N73" i="26"/>
  <c r="O73" i="26"/>
  <c r="P73" i="26"/>
  <c r="N74" i="26"/>
  <c r="O74" i="26"/>
  <c r="P74" i="26"/>
  <c r="N75" i="26"/>
  <c r="O75" i="26"/>
  <c r="P75" i="26"/>
  <c r="N76" i="26"/>
  <c r="O76" i="26"/>
  <c r="P76" i="26"/>
  <c r="N77" i="26"/>
  <c r="O77" i="26"/>
  <c r="P77" i="26"/>
  <c r="N78" i="26"/>
  <c r="O78" i="26"/>
  <c r="P78" i="26"/>
  <c r="N79" i="26"/>
  <c r="O79" i="26"/>
  <c r="P79" i="26"/>
  <c r="N11" i="20"/>
  <c r="O11" i="20"/>
  <c r="P11" i="20"/>
  <c r="N12" i="20"/>
  <c r="O12" i="20"/>
  <c r="P12" i="20"/>
  <c r="N13" i="20"/>
  <c r="O13" i="20"/>
  <c r="P13" i="20"/>
  <c r="N14" i="20"/>
  <c r="O14" i="20"/>
  <c r="P14" i="20"/>
  <c r="N15" i="20"/>
  <c r="O15" i="20"/>
  <c r="P15" i="20"/>
  <c r="N16" i="20"/>
  <c r="O16" i="20"/>
  <c r="P16" i="20"/>
  <c r="N17" i="20"/>
  <c r="O17" i="20"/>
  <c r="P17" i="20"/>
  <c r="N18" i="20"/>
  <c r="O18" i="20"/>
  <c r="P18" i="20"/>
  <c r="N19" i="20"/>
  <c r="O19" i="20"/>
  <c r="P19" i="20"/>
  <c r="N20" i="20"/>
  <c r="O20" i="20"/>
  <c r="P20" i="20"/>
  <c r="N21" i="20"/>
  <c r="O21" i="20"/>
  <c r="P21" i="20"/>
  <c r="N22" i="20"/>
  <c r="O22" i="20"/>
  <c r="P22" i="20"/>
  <c r="N23" i="20"/>
  <c r="O23" i="20"/>
  <c r="P23" i="20"/>
  <c r="N24" i="20"/>
  <c r="O24" i="20"/>
  <c r="P24" i="20"/>
  <c r="N25" i="20"/>
  <c r="O25" i="20"/>
  <c r="P25" i="20"/>
  <c r="N26" i="20"/>
  <c r="O26" i="20"/>
  <c r="P26" i="20"/>
  <c r="N27" i="20"/>
  <c r="O27" i="20"/>
  <c r="P27" i="20"/>
  <c r="N28" i="20"/>
  <c r="O28" i="20"/>
  <c r="P28" i="20"/>
  <c r="N29" i="20"/>
  <c r="O29" i="20"/>
  <c r="P29" i="20"/>
  <c r="N30" i="20"/>
  <c r="O30" i="20"/>
  <c r="P30" i="20"/>
  <c r="N31" i="20"/>
  <c r="O31" i="20"/>
  <c r="P31" i="20"/>
  <c r="N32" i="20"/>
  <c r="O32" i="20"/>
  <c r="P32" i="20"/>
  <c r="N33" i="20"/>
  <c r="O33" i="20"/>
  <c r="P33" i="20"/>
  <c r="N34" i="20"/>
  <c r="O34" i="20"/>
  <c r="P34" i="20"/>
  <c r="N35" i="20"/>
  <c r="O35" i="20"/>
  <c r="P35" i="20"/>
  <c r="N36" i="20"/>
  <c r="O36" i="20"/>
  <c r="P36" i="20"/>
  <c r="N37" i="20"/>
  <c r="O37" i="20"/>
  <c r="P37" i="20"/>
  <c r="N38" i="20"/>
  <c r="O38" i="20"/>
  <c r="P38" i="20"/>
  <c r="N39" i="20"/>
  <c r="O39" i="20"/>
  <c r="P39" i="20"/>
  <c r="N40" i="20"/>
  <c r="O40" i="20"/>
  <c r="P40" i="20"/>
  <c r="N41" i="20"/>
  <c r="O41" i="20"/>
  <c r="P41" i="20"/>
  <c r="N42" i="20"/>
  <c r="O42" i="20"/>
  <c r="P42" i="20"/>
  <c r="N43" i="20"/>
  <c r="O43" i="20"/>
  <c r="P43" i="20"/>
  <c r="N44" i="20"/>
  <c r="O44" i="20"/>
  <c r="P44" i="20"/>
  <c r="N45" i="20"/>
  <c r="O45" i="20"/>
  <c r="P45" i="20"/>
  <c r="N46" i="20"/>
  <c r="O46" i="20"/>
  <c r="P46" i="20"/>
  <c r="N47" i="20"/>
  <c r="O47" i="20"/>
  <c r="P47" i="20"/>
  <c r="N48" i="20"/>
  <c r="O48" i="20"/>
  <c r="P48" i="20"/>
  <c r="N49" i="20"/>
  <c r="O49" i="20"/>
  <c r="P49" i="20"/>
  <c r="N50" i="20"/>
  <c r="O50" i="20"/>
  <c r="P50" i="20"/>
  <c r="N51" i="20"/>
  <c r="O51" i="20"/>
  <c r="P51" i="20"/>
  <c r="N52" i="20"/>
  <c r="O52" i="20"/>
  <c r="P52" i="20"/>
  <c r="N53" i="20"/>
  <c r="O53" i="20"/>
  <c r="P53" i="20"/>
  <c r="N54" i="20"/>
  <c r="O54" i="20"/>
  <c r="P54" i="20"/>
  <c r="N55" i="20"/>
  <c r="O55" i="20"/>
  <c r="P55" i="20"/>
  <c r="N56" i="20"/>
  <c r="O56" i="20"/>
  <c r="P56" i="20"/>
  <c r="N57" i="20"/>
  <c r="O57" i="20"/>
  <c r="P57" i="20"/>
  <c r="N58" i="20"/>
  <c r="O58" i="20"/>
  <c r="P58" i="20"/>
  <c r="N59" i="20"/>
  <c r="O59" i="20"/>
  <c r="P59" i="20"/>
  <c r="N60" i="20"/>
  <c r="O60" i="20"/>
  <c r="P60" i="20"/>
  <c r="N61" i="20"/>
  <c r="O61" i="20"/>
  <c r="P61" i="20"/>
  <c r="N62" i="20"/>
  <c r="O62" i="20"/>
  <c r="P62" i="20"/>
  <c r="N63" i="20"/>
  <c r="O63" i="20"/>
  <c r="P63" i="20"/>
  <c r="N64" i="20"/>
  <c r="O64" i="20"/>
  <c r="P64" i="20"/>
  <c r="N65" i="20"/>
  <c r="O65" i="20"/>
  <c r="P65" i="20"/>
  <c r="N66" i="20"/>
  <c r="O66" i="20"/>
  <c r="P66" i="20"/>
  <c r="N67" i="20"/>
  <c r="O67" i="20"/>
  <c r="P67" i="20"/>
  <c r="N68" i="20"/>
  <c r="O68" i="20"/>
  <c r="P68" i="20"/>
  <c r="N69" i="20"/>
  <c r="O69" i="20"/>
  <c r="P69" i="20"/>
  <c r="N70" i="20"/>
  <c r="O70" i="20"/>
  <c r="P70" i="20"/>
  <c r="N71" i="20"/>
  <c r="O71" i="20"/>
  <c r="P71" i="20"/>
  <c r="N72" i="20"/>
  <c r="O72" i="20"/>
  <c r="P72" i="20"/>
  <c r="N73" i="20"/>
  <c r="O73" i="20"/>
  <c r="P73" i="20"/>
  <c r="N74" i="20"/>
  <c r="O74" i="20"/>
  <c r="P74" i="20"/>
  <c r="N75" i="20"/>
  <c r="O75" i="20"/>
  <c r="P75" i="20"/>
  <c r="N76" i="20"/>
  <c r="O76" i="20"/>
  <c r="P76" i="20"/>
  <c r="N77" i="20"/>
  <c r="O77" i="20"/>
  <c r="P77" i="20"/>
  <c r="N78" i="20"/>
  <c r="O78" i="20"/>
  <c r="P78" i="20"/>
  <c r="N79" i="20"/>
  <c r="O79" i="20"/>
  <c r="P79" i="20"/>
  <c r="N11" i="10"/>
  <c r="O11" i="10"/>
  <c r="P11" i="10"/>
  <c r="N12" i="10"/>
  <c r="O12" i="10"/>
  <c r="P12" i="10"/>
  <c r="N13" i="10"/>
  <c r="O13" i="10"/>
  <c r="P13" i="10"/>
  <c r="N14" i="10"/>
  <c r="O14" i="10"/>
  <c r="P14" i="10"/>
  <c r="N15" i="10"/>
  <c r="O15" i="10"/>
  <c r="P15" i="10"/>
  <c r="N16" i="10"/>
  <c r="O16" i="10"/>
  <c r="P16" i="10"/>
  <c r="N17" i="10"/>
  <c r="O17" i="10"/>
  <c r="P17" i="10"/>
  <c r="N18" i="10"/>
  <c r="O18" i="10"/>
  <c r="P18" i="10"/>
  <c r="N19" i="10"/>
  <c r="O19" i="10"/>
  <c r="P19" i="10"/>
  <c r="N20" i="10"/>
  <c r="O20" i="10"/>
  <c r="P20" i="10"/>
  <c r="N21" i="10"/>
  <c r="O21" i="10"/>
  <c r="P21" i="10"/>
  <c r="N22" i="10"/>
  <c r="O22" i="10"/>
  <c r="P22" i="10"/>
  <c r="N23" i="10"/>
  <c r="O23" i="10"/>
  <c r="P23" i="10"/>
  <c r="N24" i="10"/>
  <c r="O24" i="10"/>
  <c r="P24" i="10"/>
  <c r="N25" i="10"/>
  <c r="O25" i="10"/>
  <c r="P25" i="10"/>
  <c r="N26" i="10"/>
  <c r="O26" i="10"/>
  <c r="P26" i="10"/>
  <c r="N27" i="10"/>
  <c r="O27" i="10"/>
  <c r="P27" i="10"/>
  <c r="N28" i="10"/>
  <c r="O28" i="10"/>
  <c r="P28" i="10"/>
  <c r="N29" i="10"/>
  <c r="O29" i="10"/>
  <c r="P29" i="10"/>
  <c r="N30" i="10"/>
  <c r="O30" i="10"/>
  <c r="P30" i="10"/>
  <c r="N31" i="10"/>
  <c r="O31" i="10"/>
  <c r="P31" i="10"/>
  <c r="N32" i="10"/>
  <c r="O32" i="10"/>
  <c r="P32" i="10"/>
  <c r="N33" i="10"/>
  <c r="O33" i="10"/>
  <c r="P33" i="10"/>
  <c r="N34" i="10"/>
  <c r="O34" i="10"/>
  <c r="P34" i="10"/>
  <c r="N35" i="10"/>
  <c r="O35" i="10"/>
  <c r="P35" i="10"/>
  <c r="N36" i="10"/>
  <c r="O36" i="10"/>
  <c r="P36" i="10"/>
  <c r="N37" i="10"/>
  <c r="O37" i="10"/>
  <c r="P37" i="10"/>
  <c r="N38" i="10"/>
  <c r="O38" i="10"/>
  <c r="P38" i="10"/>
  <c r="N39" i="10"/>
  <c r="O39" i="10"/>
  <c r="P39" i="10"/>
  <c r="N40" i="10"/>
  <c r="O40" i="10"/>
  <c r="P40" i="10"/>
  <c r="N41" i="10"/>
  <c r="O41" i="10"/>
  <c r="P41" i="10"/>
  <c r="N42" i="10"/>
  <c r="O42" i="10"/>
  <c r="P42" i="10"/>
  <c r="N43" i="10"/>
  <c r="O43" i="10"/>
  <c r="P43" i="10"/>
  <c r="N44" i="10"/>
  <c r="O44" i="10"/>
  <c r="P44" i="10"/>
  <c r="N45" i="10"/>
  <c r="O45" i="10"/>
  <c r="P45" i="10"/>
  <c r="N46" i="10"/>
  <c r="O46" i="10"/>
  <c r="P46" i="10"/>
  <c r="N47" i="10"/>
  <c r="O47" i="10"/>
  <c r="P47" i="10"/>
  <c r="N48" i="10"/>
  <c r="O48" i="10"/>
  <c r="P48" i="10"/>
  <c r="N49" i="10"/>
  <c r="O49" i="10"/>
  <c r="P49" i="10"/>
  <c r="N50" i="10"/>
  <c r="O50" i="10"/>
  <c r="P50" i="10"/>
  <c r="N51" i="10"/>
  <c r="O51" i="10"/>
  <c r="P51" i="10"/>
  <c r="N52" i="10"/>
  <c r="O52" i="10"/>
  <c r="P52" i="10"/>
  <c r="N53" i="10"/>
  <c r="O53" i="10"/>
  <c r="P53" i="10"/>
  <c r="N54" i="10"/>
  <c r="O54" i="10"/>
  <c r="P54" i="10"/>
  <c r="N55" i="10"/>
  <c r="O55" i="10"/>
  <c r="P55" i="10"/>
  <c r="N56" i="10"/>
  <c r="O56" i="10"/>
  <c r="P56" i="10"/>
  <c r="N57" i="10"/>
  <c r="O57" i="10"/>
  <c r="P57" i="10"/>
  <c r="N58" i="10"/>
  <c r="O58" i="10"/>
  <c r="P58" i="10"/>
  <c r="N59" i="10"/>
  <c r="O59" i="10"/>
  <c r="P59" i="10"/>
  <c r="N60" i="10"/>
  <c r="O60" i="10"/>
  <c r="P60" i="10"/>
  <c r="N61" i="10"/>
  <c r="O61" i="10"/>
  <c r="P61" i="10"/>
  <c r="N62" i="10"/>
  <c r="O62" i="10"/>
  <c r="P62" i="10"/>
  <c r="N63" i="10"/>
  <c r="O63" i="10"/>
  <c r="P63" i="10"/>
  <c r="N64" i="10"/>
  <c r="O64" i="10"/>
  <c r="P64" i="10"/>
  <c r="N65" i="10"/>
  <c r="O65" i="10"/>
  <c r="P65" i="10"/>
  <c r="N66" i="10"/>
  <c r="O66" i="10"/>
  <c r="P66" i="10"/>
  <c r="N67" i="10"/>
  <c r="O67" i="10"/>
  <c r="P67" i="10"/>
  <c r="N68" i="10"/>
  <c r="O68" i="10"/>
  <c r="P68" i="10"/>
  <c r="N69" i="10"/>
  <c r="O69" i="10"/>
  <c r="P69" i="10"/>
  <c r="N70" i="10"/>
  <c r="O70" i="10"/>
  <c r="P70" i="10"/>
  <c r="N71" i="10"/>
  <c r="O71" i="10"/>
  <c r="P71" i="10"/>
  <c r="N72" i="10"/>
  <c r="O72" i="10"/>
  <c r="P72" i="10"/>
  <c r="N73" i="10"/>
  <c r="O73" i="10"/>
  <c r="P73" i="10"/>
  <c r="N74" i="10"/>
  <c r="O74" i="10"/>
  <c r="P74" i="10"/>
  <c r="N75" i="10"/>
  <c r="O75" i="10"/>
  <c r="P75" i="10"/>
  <c r="N76" i="10"/>
  <c r="O76" i="10"/>
  <c r="P76" i="10"/>
  <c r="N77" i="10"/>
  <c r="O77" i="10"/>
  <c r="P77" i="10"/>
  <c r="N78" i="10"/>
  <c r="O78" i="10"/>
  <c r="P78" i="10"/>
  <c r="N79" i="10"/>
  <c r="O79" i="10"/>
  <c r="P79" i="10"/>
  <c r="P10" i="11"/>
  <c r="P10" i="12"/>
  <c r="P10" i="6"/>
  <c r="P10" i="15"/>
  <c r="P10" i="21"/>
  <c r="P10" i="13"/>
  <c r="P10" i="23"/>
  <c r="P10" i="16"/>
  <c r="P10" i="22"/>
  <c r="P10" i="19"/>
  <c r="P10" i="17"/>
  <c r="P10" i="18"/>
  <c r="P10" i="26"/>
  <c r="P10" i="20"/>
  <c r="P10" i="10"/>
  <c r="O10" i="11"/>
  <c r="O10" i="12"/>
  <c r="O10" i="6"/>
  <c r="O10" i="15"/>
  <c r="O10" i="21"/>
  <c r="O10" i="13"/>
  <c r="O10" i="23"/>
  <c r="O10" i="16"/>
  <c r="O10" i="22"/>
  <c r="O10" i="19"/>
  <c r="O10" i="17"/>
  <c r="O10" i="18"/>
  <c r="O10" i="26"/>
  <c r="O10" i="20"/>
  <c r="O10" i="10"/>
  <c r="N10" i="11"/>
  <c r="N10" i="12"/>
  <c r="N10" i="6"/>
  <c r="N10" i="15"/>
  <c r="N10" i="21"/>
  <c r="N10" i="13"/>
  <c r="N10" i="23"/>
  <c r="N10" i="16"/>
  <c r="N10" i="22"/>
  <c r="N10" i="19"/>
  <c r="N10" i="17"/>
  <c r="N10" i="18"/>
  <c r="N10" i="26"/>
  <c r="N10" i="20"/>
  <c r="N10" i="10"/>
  <c r="E27" i="35"/>
  <c r="O27" i="35" s="1"/>
  <c r="E25" i="35"/>
  <c r="O25" i="35" s="1"/>
  <c r="E24" i="35"/>
  <c r="O24" i="35" s="1"/>
  <c r="E21" i="35"/>
  <c r="O21" i="35" s="1"/>
  <c r="E20" i="35"/>
  <c r="O20" i="35" s="1"/>
  <c r="E19" i="35"/>
  <c r="O19" i="35" s="1"/>
  <c r="E16" i="35"/>
  <c r="O16" i="35" s="1"/>
  <c r="E15" i="35"/>
  <c r="O15" i="35" s="1"/>
  <c r="E14" i="35"/>
  <c r="O14" i="35" s="1"/>
  <c r="E12" i="35"/>
  <c r="O12" i="35" s="1"/>
  <c r="E11" i="35"/>
  <c r="O11" i="35" s="1"/>
  <c r="P8" i="10"/>
  <c r="O8" i="10"/>
  <c r="N8" i="10"/>
  <c r="L8" i="10"/>
  <c r="K8" i="10"/>
  <c r="J8" i="10"/>
  <c r="I8" i="10"/>
  <c r="G8" i="10"/>
  <c r="F8" i="10"/>
  <c r="E8" i="10"/>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49" i="21"/>
  <c r="M50" i="21"/>
  <c r="M51" i="21"/>
  <c r="M52" i="21"/>
  <c r="M53" i="21"/>
  <c r="M54" i="21"/>
  <c r="M55" i="21"/>
  <c r="M56" i="21"/>
  <c r="M57" i="21"/>
  <c r="M58" i="21"/>
  <c r="M59" i="21"/>
  <c r="M60" i="21"/>
  <c r="M61" i="21"/>
  <c r="M62" i="21"/>
  <c r="M63" i="21"/>
  <c r="M64" i="21"/>
  <c r="M65" i="21"/>
  <c r="M66" i="21"/>
  <c r="M67" i="21"/>
  <c r="M68" i="21"/>
  <c r="M69" i="21"/>
  <c r="M70" i="21"/>
  <c r="M71" i="21"/>
  <c r="M72" i="21"/>
  <c r="M73" i="21"/>
  <c r="M74" i="21"/>
  <c r="M75" i="21"/>
  <c r="M76" i="21"/>
  <c r="M77" i="21"/>
  <c r="M78" i="21"/>
  <c r="M79" i="21"/>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11" i="26"/>
  <c r="M12" i="26"/>
  <c r="M13" i="26"/>
  <c r="M14" i="26"/>
  <c r="M15" i="26"/>
  <c r="M16" i="26"/>
  <c r="M17" i="26"/>
  <c r="M18" i="26"/>
  <c r="M19" i="26"/>
  <c r="M20" i="26"/>
  <c r="M21" i="26"/>
  <c r="M22" i="26"/>
  <c r="M23" i="26"/>
  <c r="M24" i="26"/>
  <c r="M25" i="26"/>
  <c r="M26" i="26"/>
  <c r="M27" i="26"/>
  <c r="M28" i="26"/>
  <c r="M29" i="26"/>
  <c r="M30" i="26"/>
  <c r="M31" i="26"/>
  <c r="M32" i="26"/>
  <c r="M33" i="26"/>
  <c r="M34" i="26"/>
  <c r="M35" i="26"/>
  <c r="M36" i="26"/>
  <c r="M37" i="26"/>
  <c r="M38" i="26"/>
  <c r="M39" i="26"/>
  <c r="M40" i="26"/>
  <c r="M41" i="26"/>
  <c r="M42" i="26"/>
  <c r="M43" i="26"/>
  <c r="M44" i="26"/>
  <c r="M45" i="26"/>
  <c r="M46" i="26"/>
  <c r="M47" i="26"/>
  <c r="M48" i="26"/>
  <c r="M49" i="26"/>
  <c r="M50" i="26"/>
  <c r="M51" i="26"/>
  <c r="M52" i="26"/>
  <c r="M53" i="26"/>
  <c r="M54" i="26"/>
  <c r="M55" i="26"/>
  <c r="M56" i="26"/>
  <c r="M57" i="26"/>
  <c r="M58" i="26"/>
  <c r="M59" i="26"/>
  <c r="M60" i="26"/>
  <c r="M61" i="26"/>
  <c r="M62" i="26"/>
  <c r="M63" i="26"/>
  <c r="M64" i="26"/>
  <c r="M65" i="26"/>
  <c r="M66" i="26"/>
  <c r="M67" i="26"/>
  <c r="M68" i="26"/>
  <c r="M69" i="26"/>
  <c r="M70" i="26"/>
  <c r="M71" i="26"/>
  <c r="M72" i="26"/>
  <c r="M73" i="26"/>
  <c r="M74" i="26"/>
  <c r="M75" i="26"/>
  <c r="M76" i="26"/>
  <c r="M77" i="26"/>
  <c r="M78" i="26"/>
  <c r="M79" i="26"/>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10" i="11"/>
  <c r="M10" i="12"/>
  <c r="M10" i="6"/>
  <c r="M10" i="15"/>
  <c r="M10" i="21"/>
  <c r="M10" i="13"/>
  <c r="M10" i="23"/>
  <c r="M10" i="16"/>
  <c r="M10" i="22"/>
  <c r="M10" i="19"/>
  <c r="M10" i="17"/>
  <c r="M10" i="18"/>
  <c r="M10" i="26"/>
  <c r="M10" i="20"/>
  <c r="M10" i="10"/>
  <c r="L78" i="10"/>
  <c r="K78" i="10"/>
  <c r="J78" i="10"/>
  <c r="I78" i="10"/>
  <c r="G78" i="10"/>
  <c r="F78" i="10"/>
  <c r="E78" i="10"/>
  <c r="D78" i="10"/>
  <c r="L77" i="10"/>
  <c r="K77" i="10"/>
  <c r="J77" i="10"/>
  <c r="I77" i="10"/>
  <c r="G77" i="10"/>
  <c r="F77" i="10"/>
  <c r="E77" i="10"/>
  <c r="D77" i="10"/>
  <c r="L76" i="10"/>
  <c r="K76" i="10"/>
  <c r="J76" i="10"/>
  <c r="I76" i="10"/>
  <c r="G76" i="10"/>
  <c r="F76" i="10"/>
  <c r="E76" i="10"/>
  <c r="D76" i="10"/>
  <c r="L75" i="10"/>
  <c r="K75" i="10"/>
  <c r="J75" i="10"/>
  <c r="I75" i="10"/>
  <c r="G75" i="10"/>
  <c r="F75" i="10"/>
  <c r="E75" i="10"/>
  <c r="D75" i="10"/>
  <c r="L74" i="10"/>
  <c r="K74" i="10"/>
  <c r="J74" i="10"/>
  <c r="I74" i="10"/>
  <c r="G74" i="10"/>
  <c r="F74" i="10"/>
  <c r="E74" i="10"/>
  <c r="D74" i="10"/>
  <c r="L73" i="10"/>
  <c r="K73" i="10"/>
  <c r="J73" i="10"/>
  <c r="I73" i="10"/>
  <c r="G73" i="10"/>
  <c r="F73" i="10"/>
  <c r="E73" i="10"/>
  <c r="D73" i="10"/>
  <c r="L72" i="10"/>
  <c r="K72" i="10"/>
  <c r="J72" i="10"/>
  <c r="I72" i="10"/>
  <c r="G72" i="10"/>
  <c r="F72" i="10"/>
  <c r="E72" i="10"/>
  <c r="D72" i="10"/>
  <c r="L71" i="10"/>
  <c r="K71" i="10"/>
  <c r="J71" i="10"/>
  <c r="I71" i="10"/>
  <c r="G71" i="10"/>
  <c r="F71" i="10"/>
  <c r="E71" i="10"/>
  <c r="D71" i="10"/>
  <c r="L70" i="10"/>
  <c r="K70" i="10"/>
  <c r="J70" i="10"/>
  <c r="I70" i="10"/>
  <c r="G70" i="10"/>
  <c r="F70" i="10"/>
  <c r="E70" i="10"/>
  <c r="D70" i="10"/>
  <c r="P8" i="12"/>
  <c r="O8" i="12"/>
  <c r="N8" i="12"/>
  <c r="L8" i="12"/>
  <c r="K8" i="12"/>
  <c r="J8" i="12"/>
  <c r="I8" i="12"/>
  <c r="G8" i="12"/>
  <c r="F8" i="12"/>
  <c r="E8" i="12"/>
  <c r="P8" i="6"/>
  <c r="O8" i="6"/>
  <c r="N8" i="6"/>
  <c r="L8" i="6"/>
  <c r="K8" i="6"/>
  <c r="J8" i="6"/>
  <c r="I8" i="6"/>
  <c r="G8" i="6"/>
  <c r="F8" i="6"/>
  <c r="E8" i="6"/>
  <c r="P8" i="15"/>
  <c r="O8" i="15"/>
  <c r="N8" i="15"/>
  <c r="L8" i="15"/>
  <c r="K8" i="15"/>
  <c r="J8" i="15"/>
  <c r="I8" i="15"/>
  <c r="G8" i="15"/>
  <c r="F8" i="15"/>
  <c r="E8" i="15"/>
  <c r="P8" i="21"/>
  <c r="O8" i="21"/>
  <c r="N8" i="21"/>
  <c r="L8" i="21"/>
  <c r="K8" i="21"/>
  <c r="J8" i="21"/>
  <c r="I8" i="21"/>
  <c r="G8" i="21"/>
  <c r="F8" i="21"/>
  <c r="E8" i="21"/>
  <c r="P8" i="13"/>
  <c r="O8" i="13"/>
  <c r="N8" i="13"/>
  <c r="L8" i="13"/>
  <c r="K8" i="13"/>
  <c r="J8" i="13"/>
  <c r="I8" i="13"/>
  <c r="G8" i="13"/>
  <c r="F8" i="13"/>
  <c r="E8" i="13"/>
  <c r="P8" i="23"/>
  <c r="O8" i="23"/>
  <c r="N8" i="23"/>
  <c r="L8" i="23"/>
  <c r="K8" i="23"/>
  <c r="J8" i="23"/>
  <c r="I8" i="23"/>
  <c r="G8" i="23"/>
  <c r="F8" i="23"/>
  <c r="E8" i="23"/>
  <c r="P8" i="16"/>
  <c r="O8" i="16"/>
  <c r="N8" i="16"/>
  <c r="L8" i="16"/>
  <c r="K8" i="16"/>
  <c r="J8" i="16"/>
  <c r="I8" i="16"/>
  <c r="G8" i="16"/>
  <c r="F8" i="16"/>
  <c r="E8" i="16"/>
  <c r="P8" i="22"/>
  <c r="O8" i="22"/>
  <c r="N8" i="22"/>
  <c r="L8" i="22"/>
  <c r="K8" i="22"/>
  <c r="J8" i="22"/>
  <c r="I8" i="22"/>
  <c r="G8" i="22"/>
  <c r="F8" i="22"/>
  <c r="E8" i="22"/>
  <c r="P8" i="19"/>
  <c r="O8" i="19"/>
  <c r="N8" i="19"/>
  <c r="L8" i="19"/>
  <c r="K8" i="19"/>
  <c r="J8" i="19"/>
  <c r="I8" i="19"/>
  <c r="G8" i="19"/>
  <c r="F8" i="19"/>
  <c r="E8" i="19"/>
  <c r="P8" i="17"/>
  <c r="O8" i="17"/>
  <c r="N8" i="17"/>
  <c r="L8" i="17"/>
  <c r="K8" i="17"/>
  <c r="J8" i="17"/>
  <c r="I8" i="17"/>
  <c r="G8" i="17"/>
  <c r="F8" i="17"/>
  <c r="E8" i="17"/>
  <c r="P8" i="18"/>
  <c r="O8" i="18"/>
  <c r="N8" i="18"/>
  <c r="L8" i="18"/>
  <c r="K8" i="18"/>
  <c r="J8" i="18"/>
  <c r="I8" i="18"/>
  <c r="G8" i="18"/>
  <c r="F8" i="18"/>
  <c r="E8" i="18"/>
  <c r="P8" i="26"/>
  <c r="O8" i="26"/>
  <c r="N8" i="26"/>
  <c r="L8" i="26"/>
  <c r="K8" i="26"/>
  <c r="J8" i="26"/>
  <c r="I8" i="26"/>
  <c r="G8" i="26"/>
  <c r="F8" i="26"/>
  <c r="E8" i="26"/>
  <c r="P8" i="20"/>
  <c r="O8" i="20"/>
  <c r="N8" i="20"/>
  <c r="L8" i="20"/>
  <c r="K8" i="20"/>
  <c r="J8" i="20"/>
  <c r="I8" i="20"/>
  <c r="G8" i="20"/>
  <c r="F8" i="20"/>
  <c r="E8" i="20"/>
  <c r="P8" i="11"/>
  <c r="O8" i="11"/>
  <c r="N8" i="11"/>
  <c r="L8" i="11"/>
  <c r="K8" i="11"/>
  <c r="J8" i="11"/>
  <c r="I8" i="11"/>
  <c r="G8" i="11"/>
  <c r="F8" i="11"/>
  <c r="E8" i="11"/>
  <c r="L67" i="11"/>
  <c r="K67" i="11"/>
  <c r="J67" i="11"/>
  <c r="I67" i="11"/>
  <c r="G67" i="11"/>
  <c r="F67" i="11"/>
  <c r="E67" i="11"/>
  <c r="D67" i="11"/>
  <c r="L66" i="11"/>
  <c r="K66" i="11"/>
  <c r="J66" i="11"/>
  <c r="I66" i="11"/>
  <c r="G66" i="11"/>
  <c r="F66" i="11"/>
  <c r="E66" i="11"/>
  <c r="D66" i="11"/>
  <c r="L65" i="11"/>
  <c r="K65" i="11"/>
  <c r="J65" i="11"/>
  <c r="I65" i="11"/>
  <c r="G65" i="11"/>
  <c r="F65" i="11"/>
  <c r="E65" i="11"/>
  <c r="D65" i="11"/>
  <c r="L64" i="11"/>
  <c r="K64" i="11"/>
  <c r="J64" i="11"/>
  <c r="I64" i="11"/>
  <c r="G64" i="11"/>
  <c r="F64" i="11"/>
  <c r="E64" i="11"/>
  <c r="D64" i="11"/>
  <c r="L63" i="11"/>
  <c r="K63" i="11"/>
  <c r="J63" i="11"/>
  <c r="I63" i="11"/>
  <c r="G63" i="11"/>
  <c r="F63" i="11"/>
  <c r="E63" i="11"/>
  <c r="D63" i="11"/>
  <c r="L62" i="11"/>
  <c r="K62" i="11"/>
  <c r="J62" i="11"/>
  <c r="I62" i="11"/>
  <c r="G62" i="11"/>
  <c r="F62" i="11"/>
  <c r="E62" i="11"/>
  <c r="D62" i="11"/>
  <c r="L61" i="11"/>
  <c r="K61" i="11"/>
  <c r="J61" i="11"/>
  <c r="I61" i="11"/>
  <c r="G61" i="11"/>
  <c r="F61" i="11"/>
  <c r="E61" i="11"/>
  <c r="D61" i="11"/>
  <c r="L60" i="11"/>
  <c r="K60" i="11"/>
  <c r="J60" i="11"/>
  <c r="I60" i="11"/>
  <c r="G60" i="11"/>
  <c r="F60" i="11"/>
  <c r="E60" i="11"/>
  <c r="D60" i="11"/>
  <c r="L59" i="11"/>
  <c r="K59" i="11"/>
  <c r="J59" i="11"/>
  <c r="I59" i="11"/>
  <c r="G59" i="11"/>
  <c r="F59" i="11"/>
  <c r="E59" i="11"/>
  <c r="D59" i="11"/>
  <c r="L58" i="11"/>
  <c r="K58" i="11"/>
  <c r="J58" i="11"/>
  <c r="I58" i="11"/>
  <c r="G58" i="11"/>
  <c r="F58" i="11"/>
  <c r="E58" i="11"/>
  <c r="D58" i="11"/>
  <c r="L57" i="11"/>
  <c r="K57" i="11"/>
  <c r="J57" i="11"/>
  <c r="I57" i="11"/>
  <c r="G57" i="11"/>
  <c r="F57" i="11"/>
  <c r="E57" i="11"/>
  <c r="D57" i="11"/>
  <c r="L56" i="11"/>
  <c r="K56" i="11"/>
  <c r="J56" i="11"/>
  <c r="I56" i="11"/>
  <c r="G56" i="11"/>
  <c r="F56" i="11"/>
  <c r="E56" i="11"/>
  <c r="D56" i="11"/>
  <c r="L55" i="11"/>
  <c r="K55" i="11"/>
  <c r="J55" i="11"/>
  <c r="I55" i="11"/>
  <c r="G55" i="11"/>
  <c r="F55" i="11"/>
  <c r="E55" i="11"/>
  <c r="D55" i="11"/>
  <c r="L54" i="11"/>
  <c r="K54" i="11"/>
  <c r="J54" i="11"/>
  <c r="I54" i="11"/>
  <c r="G54" i="11"/>
  <c r="F54" i="11"/>
  <c r="E54" i="11"/>
  <c r="D54" i="11"/>
  <c r="L53" i="11"/>
  <c r="K53" i="11"/>
  <c r="J53" i="11"/>
  <c r="I53" i="11"/>
  <c r="G53" i="11"/>
  <c r="F53" i="11"/>
  <c r="E53" i="11"/>
  <c r="D53" i="11"/>
  <c r="L52" i="11"/>
  <c r="K52" i="11"/>
  <c r="J52" i="11"/>
  <c r="I52" i="11"/>
  <c r="G52" i="11"/>
  <c r="F52" i="11"/>
  <c r="E52" i="11"/>
  <c r="D52" i="11"/>
  <c r="L51" i="11"/>
  <c r="K51" i="11"/>
  <c r="J51" i="11"/>
  <c r="I51" i="11"/>
  <c r="G51" i="11"/>
  <c r="F51" i="11"/>
  <c r="E51" i="11"/>
  <c r="D51" i="11"/>
  <c r="L50" i="11"/>
  <c r="K50" i="11"/>
  <c r="J50" i="11"/>
  <c r="I50" i="11"/>
  <c r="G50" i="11"/>
  <c r="F50" i="11"/>
  <c r="E50" i="11"/>
  <c r="D50" i="11"/>
  <c r="L49" i="11"/>
  <c r="K49" i="11"/>
  <c r="J49" i="11"/>
  <c r="I49" i="11"/>
  <c r="G49" i="11"/>
  <c r="F49" i="11"/>
  <c r="E49" i="11"/>
  <c r="D49" i="11"/>
  <c r="L48" i="11"/>
  <c r="K48" i="11"/>
  <c r="J48" i="11"/>
  <c r="I48" i="11"/>
  <c r="G48" i="11"/>
  <c r="F48" i="11"/>
  <c r="E48" i="11"/>
  <c r="D48" i="11"/>
  <c r="L47" i="11"/>
  <c r="K47" i="11"/>
  <c r="J47" i="11"/>
  <c r="I47" i="11"/>
  <c r="G47" i="11"/>
  <c r="F47" i="11"/>
  <c r="E47" i="11"/>
  <c r="D47" i="11"/>
  <c r="L46" i="11"/>
  <c r="K46" i="11"/>
  <c r="J46" i="11"/>
  <c r="I46" i="11"/>
  <c r="G46" i="11"/>
  <c r="F46" i="11"/>
  <c r="E46" i="11"/>
  <c r="D46" i="11"/>
  <c r="L45" i="11"/>
  <c r="K45" i="11"/>
  <c r="J45" i="11"/>
  <c r="I45" i="11"/>
  <c r="G45" i="11"/>
  <c r="F45" i="11"/>
  <c r="E45" i="11"/>
  <c r="D45" i="11"/>
  <c r="L44" i="11"/>
  <c r="K44" i="11"/>
  <c r="J44" i="11"/>
  <c r="I44" i="11"/>
  <c r="G44" i="11"/>
  <c r="F44" i="11"/>
  <c r="E44" i="11"/>
  <c r="D44" i="11"/>
  <c r="L43" i="11"/>
  <c r="K43" i="11"/>
  <c r="J43" i="11"/>
  <c r="I43" i="11"/>
  <c r="G43" i="11"/>
  <c r="F43" i="11"/>
  <c r="E43" i="11"/>
  <c r="D43" i="11"/>
  <c r="L42" i="11"/>
  <c r="K42" i="11"/>
  <c r="J42" i="11"/>
  <c r="I42" i="11"/>
  <c r="G42" i="11"/>
  <c r="F42" i="11"/>
  <c r="E42" i="11"/>
  <c r="D42" i="11"/>
  <c r="L41" i="11"/>
  <c r="K41" i="11"/>
  <c r="J41" i="11"/>
  <c r="I41" i="11"/>
  <c r="G41" i="11"/>
  <c r="F41" i="11"/>
  <c r="E41" i="11"/>
  <c r="D41" i="11"/>
  <c r="L40" i="11"/>
  <c r="K40" i="11"/>
  <c r="J40" i="11"/>
  <c r="I40" i="11"/>
  <c r="G40" i="11"/>
  <c r="F40" i="11"/>
  <c r="E40" i="11"/>
  <c r="D40" i="11"/>
  <c r="L39" i="11"/>
  <c r="K39" i="11"/>
  <c r="J39" i="11"/>
  <c r="I39" i="11"/>
  <c r="G39" i="11"/>
  <c r="F39" i="11"/>
  <c r="E39" i="11"/>
  <c r="D39" i="11"/>
  <c r="L38" i="11"/>
  <c r="K38" i="11"/>
  <c r="J38" i="11"/>
  <c r="I38" i="11"/>
  <c r="G38" i="11"/>
  <c r="F38" i="11"/>
  <c r="E38" i="11"/>
  <c r="D38" i="11"/>
  <c r="L37" i="11"/>
  <c r="K37" i="11"/>
  <c r="J37" i="11"/>
  <c r="I37" i="11"/>
  <c r="G37" i="11"/>
  <c r="F37" i="11"/>
  <c r="E37" i="11"/>
  <c r="D37" i="11"/>
  <c r="L36" i="11"/>
  <c r="K36" i="11"/>
  <c r="J36" i="11"/>
  <c r="I36" i="11"/>
  <c r="G36" i="11"/>
  <c r="F36" i="11"/>
  <c r="E36" i="11"/>
  <c r="D36" i="11"/>
  <c r="L35" i="11"/>
  <c r="K35" i="11"/>
  <c r="J35" i="11"/>
  <c r="I35" i="11"/>
  <c r="G35" i="11"/>
  <c r="F35" i="11"/>
  <c r="E35" i="11"/>
  <c r="D35" i="11"/>
  <c r="L34" i="11"/>
  <c r="K34" i="11"/>
  <c r="J34" i="11"/>
  <c r="I34" i="11"/>
  <c r="G34" i="11"/>
  <c r="F34" i="11"/>
  <c r="E34" i="11"/>
  <c r="D34" i="11"/>
  <c r="L33" i="11"/>
  <c r="K33" i="11"/>
  <c r="J33" i="11"/>
  <c r="I33" i="11"/>
  <c r="G33" i="11"/>
  <c r="F33" i="11"/>
  <c r="E33" i="11"/>
  <c r="D33" i="11"/>
  <c r="L32" i="11"/>
  <c r="K32" i="11"/>
  <c r="J32" i="11"/>
  <c r="I32" i="11"/>
  <c r="G32" i="11"/>
  <c r="F32" i="11"/>
  <c r="E32" i="11"/>
  <c r="D32" i="11"/>
  <c r="L31" i="11"/>
  <c r="K31" i="11"/>
  <c r="J31" i="11"/>
  <c r="I31" i="11"/>
  <c r="G31" i="11"/>
  <c r="F31" i="11"/>
  <c r="E31" i="11"/>
  <c r="D31" i="11"/>
  <c r="L30" i="11"/>
  <c r="K30" i="11"/>
  <c r="J30" i="11"/>
  <c r="I30" i="11"/>
  <c r="G30" i="11"/>
  <c r="F30" i="11"/>
  <c r="E30" i="11"/>
  <c r="D30" i="11"/>
  <c r="L29" i="11"/>
  <c r="K29" i="11"/>
  <c r="J29" i="11"/>
  <c r="I29" i="11"/>
  <c r="G29" i="11"/>
  <c r="F29" i="11"/>
  <c r="E29" i="11"/>
  <c r="D29" i="11"/>
  <c r="L28" i="11"/>
  <c r="K28" i="11"/>
  <c r="J28" i="11"/>
  <c r="I28" i="11"/>
  <c r="G28" i="11"/>
  <c r="F28" i="11"/>
  <c r="E28" i="11"/>
  <c r="D28" i="11"/>
  <c r="L27" i="11"/>
  <c r="K27" i="11"/>
  <c r="J27" i="11"/>
  <c r="I27" i="11"/>
  <c r="G27" i="11"/>
  <c r="F27" i="11"/>
  <c r="E27" i="11"/>
  <c r="D27" i="11"/>
  <c r="L26" i="11"/>
  <c r="K26" i="11"/>
  <c r="J26" i="11"/>
  <c r="I26" i="11"/>
  <c r="G26" i="11"/>
  <c r="F26" i="11"/>
  <c r="E26" i="11"/>
  <c r="D26" i="11"/>
  <c r="L25" i="11"/>
  <c r="K25" i="11"/>
  <c r="J25" i="11"/>
  <c r="I25" i="11"/>
  <c r="G25" i="11"/>
  <c r="F25" i="11"/>
  <c r="E25" i="11"/>
  <c r="D25" i="11"/>
  <c r="L24" i="11"/>
  <c r="K24" i="11"/>
  <c r="J24" i="11"/>
  <c r="I24" i="11"/>
  <c r="G24" i="11"/>
  <c r="F24" i="11"/>
  <c r="E24" i="11"/>
  <c r="D24" i="11"/>
  <c r="L23" i="11"/>
  <c r="K23" i="11"/>
  <c r="J23" i="11"/>
  <c r="I23" i="11"/>
  <c r="G23" i="11"/>
  <c r="F23" i="11"/>
  <c r="E23" i="11"/>
  <c r="D23" i="11"/>
  <c r="L22" i="11"/>
  <c r="K22" i="11"/>
  <c r="J22" i="11"/>
  <c r="I22" i="11"/>
  <c r="G22" i="11"/>
  <c r="F22" i="11"/>
  <c r="E22" i="11"/>
  <c r="D22" i="11"/>
  <c r="L21" i="11"/>
  <c r="K21" i="11"/>
  <c r="J21" i="11"/>
  <c r="I21" i="11"/>
  <c r="G21" i="11"/>
  <c r="F21" i="11"/>
  <c r="E21" i="11"/>
  <c r="D21" i="11"/>
  <c r="L20" i="11"/>
  <c r="K20" i="11"/>
  <c r="J20" i="11"/>
  <c r="I20" i="11"/>
  <c r="G20" i="11"/>
  <c r="F20" i="11"/>
  <c r="E20" i="11"/>
  <c r="D20" i="11"/>
  <c r="L19" i="11"/>
  <c r="K19" i="11"/>
  <c r="J19" i="11"/>
  <c r="I19" i="11"/>
  <c r="G19" i="11"/>
  <c r="F19" i="11"/>
  <c r="E19" i="11"/>
  <c r="D19" i="11"/>
  <c r="L18" i="11"/>
  <c r="K18" i="11"/>
  <c r="J18" i="11"/>
  <c r="I18" i="11"/>
  <c r="G18" i="11"/>
  <c r="F18" i="11"/>
  <c r="E18" i="11"/>
  <c r="D18" i="11"/>
  <c r="L17" i="11"/>
  <c r="K17" i="11"/>
  <c r="J17" i="11"/>
  <c r="I17" i="11"/>
  <c r="G17" i="11"/>
  <c r="F17" i="11"/>
  <c r="E17" i="11"/>
  <c r="D17" i="11"/>
  <c r="L16" i="11"/>
  <c r="K16" i="11"/>
  <c r="J16" i="11"/>
  <c r="I16" i="11"/>
  <c r="G16" i="11"/>
  <c r="F16" i="11"/>
  <c r="E16" i="11"/>
  <c r="D16" i="11"/>
  <c r="L15" i="11"/>
  <c r="K15" i="11"/>
  <c r="J15" i="11"/>
  <c r="I15" i="11"/>
  <c r="G15" i="11"/>
  <c r="F15" i="11"/>
  <c r="E15" i="11"/>
  <c r="D15" i="11"/>
  <c r="L14" i="11"/>
  <c r="K14" i="11"/>
  <c r="J14" i="11"/>
  <c r="I14" i="11"/>
  <c r="G14" i="11"/>
  <c r="F14" i="11"/>
  <c r="E14" i="11"/>
  <c r="D14" i="11"/>
  <c r="L13" i="11"/>
  <c r="K13" i="11"/>
  <c r="J13" i="11"/>
  <c r="I13" i="11"/>
  <c r="G13" i="11"/>
  <c r="F13" i="11"/>
  <c r="E13" i="11"/>
  <c r="D13" i="11"/>
  <c r="L12" i="11"/>
  <c r="K12" i="11"/>
  <c r="J12" i="11"/>
  <c r="I12" i="11"/>
  <c r="G12" i="11"/>
  <c r="F12" i="11"/>
  <c r="E12" i="11"/>
  <c r="D12" i="11"/>
  <c r="L11" i="11"/>
  <c r="K11" i="11"/>
  <c r="J11" i="11"/>
  <c r="I11" i="11"/>
  <c r="G11" i="11"/>
  <c r="F11" i="11"/>
  <c r="E11" i="11"/>
  <c r="D11" i="11"/>
  <c r="L10" i="11"/>
  <c r="K10" i="11"/>
  <c r="J10" i="11"/>
  <c r="I10" i="11"/>
  <c r="G10" i="11"/>
  <c r="F10" i="11"/>
  <c r="E10" i="11"/>
  <c r="D10" i="11"/>
  <c r="L67" i="12"/>
  <c r="K67" i="12"/>
  <c r="J67" i="12"/>
  <c r="I67" i="12"/>
  <c r="G67" i="12"/>
  <c r="F67" i="12"/>
  <c r="E67" i="12"/>
  <c r="D67" i="12"/>
  <c r="L66" i="12"/>
  <c r="K66" i="12"/>
  <c r="J66" i="12"/>
  <c r="I66" i="12"/>
  <c r="G66" i="12"/>
  <c r="F66" i="12"/>
  <c r="E66" i="12"/>
  <c r="D66" i="12"/>
  <c r="L65" i="12"/>
  <c r="K65" i="12"/>
  <c r="J65" i="12"/>
  <c r="I65" i="12"/>
  <c r="G65" i="12"/>
  <c r="F65" i="12"/>
  <c r="E65" i="12"/>
  <c r="D65" i="12"/>
  <c r="L64" i="12"/>
  <c r="K64" i="12"/>
  <c r="J64" i="12"/>
  <c r="I64" i="12"/>
  <c r="G64" i="12"/>
  <c r="F64" i="12"/>
  <c r="E64" i="12"/>
  <c r="D64" i="12"/>
  <c r="L63" i="12"/>
  <c r="K63" i="12"/>
  <c r="J63" i="12"/>
  <c r="I63" i="12"/>
  <c r="G63" i="12"/>
  <c r="F63" i="12"/>
  <c r="E63" i="12"/>
  <c r="D63" i="12"/>
  <c r="L62" i="12"/>
  <c r="K62" i="12"/>
  <c r="J62" i="12"/>
  <c r="I62" i="12"/>
  <c r="G62" i="12"/>
  <c r="F62" i="12"/>
  <c r="E62" i="12"/>
  <c r="D62" i="12"/>
  <c r="L61" i="12"/>
  <c r="K61" i="12"/>
  <c r="J61" i="12"/>
  <c r="I61" i="12"/>
  <c r="G61" i="12"/>
  <c r="F61" i="12"/>
  <c r="E61" i="12"/>
  <c r="D61" i="12"/>
  <c r="L60" i="12"/>
  <c r="K60" i="12"/>
  <c r="J60" i="12"/>
  <c r="I60" i="12"/>
  <c r="G60" i="12"/>
  <c r="F60" i="12"/>
  <c r="E60" i="12"/>
  <c r="D60" i="12"/>
  <c r="L59" i="12"/>
  <c r="K59" i="12"/>
  <c r="J59" i="12"/>
  <c r="I59" i="12"/>
  <c r="G59" i="12"/>
  <c r="F59" i="12"/>
  <c r="E59" i="12"/>
  <c r="D59" i="12"/>
  <c r="L58" i="12"/>
  <c r="K58" i="12"/>
  <c r="J58" i="12"/>
  <c r="I58" i="12"/>
  <c r="G58" i="12"/>
  <c r="F58" i="12"/>
  <c r="E58" i="12"/>
  <c r="D58" i="12"/>
  <c r="L57" i="12"/>
  <c r="K57" i="12"/>
  <c r="J57" i="12"/>
  <c r="I57" i="12"/>
  <c r="G57" i="12"/>
  <c r="F57" i="12"/>
  <c r="E57" i="12"/>
  <c r="D57" i="12"/>
  <c r="L56" i="12"/>
  <c r="K56" i="12"/>
  <c r="J56" i="12"/>
  <c r="I56" i="12"/>
  <c r="G56" i="12"/>
  <c r="F56" i="12"/>
  <c r="E56" i="12"/>
  <c r="D56" i="12"/>
  <c r="L55" i="12"/>
  <c r="K55" i="12"/>
  <c r="J55" i="12"/>
  <c r="I55" i="12"/>
  <c r="G55" i="12"/>
  <c r="F55" i="12"/>
  <c r="E55" i="12"/>
  <c r="D55" i="12"/>
  <c r="L54" i="12"/>
  <c r="K54" i="12"/>
  <c r="J54" i="12"/>
  <c r="I54" i="12"/>
  <c r="G54" i="12"/>
  <c r="F54" i="12"/>
  <c r="E54" i="12"/>
  <c r="D54" i="12"/>
  <c r="L53" i="12"/>
  <c r="K53" i="12"/>
  <c r="J53" i="12"/>
  <c r="I53" i="12"/>
  <c r="G53" i="12"/>
  <c r="F53" i="12"/>
  <c r="E53" i="12"/>
  <c r="D53" i="12"/>
  <c r="L52" i="12"/>
  <c r="K52" i="12"/>
  <c r="J52" i="12"/>
  <c r="I52" i="12"/>
  <c r="G52" i="12"/>
  <c r="F52" i="12"/>
  <c r="E52" i="12"/>
  <c r="D52" i="12"/>
  <c r="L51" i="12"/>
  <c r="K51" i="12"/>
  <c r="J51" i="12"/>
  <c r="I51" i="12"/>
  <c r="G51" i="12"/>
  <c r="F51" i="12"/>
  <c r="E51" i="12"/>
  <c r="D51" i="12"/>
  <c r="L50" i="12"/>
  <c r="K50" i="12"/>
  <c r="J50" i="12"/>
  <c r="I50" i="12"/>
  <c r="G50" i="12"/>
  <c r="F50" i="12"/>
  <c r="E50" i="12"/>
  <c r="D50" i="12"/>
  <c r="L49" i="12"/>
  <c r="K49" i="12"/>
  <c r="J49" i="12"/>
  <c r="I49" i="12"/>
  <c r="G49" i="12"/>
  <c r="F49" i="12"/>
  <c r="E49" i="12"/>
  <c r="D49" i="12"/>
  <c r="L48" i="12"/>
  <c r="K48" i="12"/>
  <c r="J48" i="12"/>
  <c r="I48" i="12"/>
  <c r="G48" i="12"/>
  <c r="F48" i="12"/>
  <c r="E48" i="12"/>
  <c r="D48" i="12"/>
  <c r="L47" i="12"/>
  <c r="K47" i="12"/>
  <c r="J47" i="12"/>
  <c r="I47" i="12"/>
  <c r="G47" i="12"/>
  <c r="F47" i="12"/>
  <c r="E47" i="12"/>
  <c r="D47" i="12"/>
  <c r="L46" i="12"/>
  <c r="K46" i="12"/>
  <c r="J46" i="12"/>
  <c r="I46" i="12"/>
  <c r="G46" i="12"/>
  <c r="F46" i="12"/>
  <c r="E46" i="12"/>
  <c r="D46" i="12"/>
  <c r="L45" i="12"/>
  <c r="K45" i="12"/>
  <c r="J45" i="12"/>
  <c r="I45" i="12"/>
  <c r="G45" i="12"/>
  <c r="F45" i="12"/>
  <c r="E45" i="12"/>
  <c r="D45" i="12"/>
  <c r="L44" i="12"/>
  <c r="K44" i="12"/>
  <c r="J44" i="12"/>
  <c r="I44" i="12"/>
  <c r="G44" i="12"/>
  <c r="F44" i="12"/>
  <c r="E44" i="12"/>
  <c r="D44" i="12"/>
  <c r="L43" i="12"/>
  <c r="K43" i="12"/>
  <c r="J43" i="12"/>
  <c r="I43" i="12"/>
  <c r="G43" i="12"/>
  <c r="F43" i="12"/>
  <c r="E43" i="12"/>
  <c r="D43" i="12"/>
  <c r="L42" i="12"/>
  <c r="K42" i="12"/>
  <c r="J42" i="12"/>
  <c r="I42" i="12"/>
  <c r="G42" i="12"/>
  <c r="F42" i="12"/>
  <c r="E42" i="12"/>
  <c r="D42" i="12"/>
  <c r="L41" i="12"/>
  <c r="K41" i="12"/>
  <c r="J41" i="12"/>
  <c r="I41" i="12"/>
  <c r="G41" i="12"/>
  <c r="F41" i="12"/>
  <c r="E41" i="12"/>
  <c r="D41" i="12"/>
  <c r="L40" i="12"/>
  <c r="K40" i="12"/>
  <c r="J40" i="12"/>
  <c r="I40" i="12"/>
  <c r="G40" i="12"/>
  <c r="F40" i="12"/>
  <c r="E40" i="12"/>
  <c r="D40" i="12"/>
  <c r="L39" i="12"/>
  <c r="K39" i="12"/>
  <c r="J39" i="12"/>
  <c r="I39" i="12"/>
  <c r="G39" i="12"/>
  <c r="F39" i="12"/>
  <c r="E39" i="12"/>
  <c r="D39" i="12"/>
  <c r="L38" i="12"/>
  <c r="K38" i="12"/>
  <c r="J38" i="12"/>
  <c r="I38" i="12"/>
  <c r="G38" i="12"/>
  <c r="F38" i="12"/>
  <c r="E38" i="12"/>
  <c r="D38" i="12"/>
  <c r="L37" i="12"/>
  <c r="K37" i="12"/>
  <c r="J37" i="12"/>
  <c r="I37" i="12"/>
  <c r="G37" i="12"/>
  <c r="F37" i="12"/>
  <c r="E37" i="12"/>
  <c r="D37" i="12"/>
  <c r="L36" i="12"/>
  <c r="K36" i="12"/>
  <c r="J36" i="12"/>
  <c r="I36" i="12"/>
  <c r="G36" i="12"/>
  <c r="F36" i="12"/>
  <c r="E36" i="12"/>
  <c r="D36" i="12"/>
  <c r="L35" i="12"/>
  <c r="K35" i="12"/>
  <c r="J35" i="12"/>
  <c r="I35" i="12"/>
  <c r="G35" i="12"/>
  <c r="F35" i="12"/>
  <c r="E35" i="12"/>
  <c r="D35" i="12"/>
  <c r="L34" i="12"/>
  <c r="K34" i="12"/>
  <c r="J34" i="12"/>
  <c r="I34" i="12"/>
  <c r="G34" i="12"/>
  <c r="F34" i="12"/>
  <c r="E34" i="12"/>
  <c r="D34" i="12"/>
  <c r="L33" i="12"/>
  <c r="K33" i="12"/>
  <c r="J33" i="12"/>
  <c r="I33" i="12"/>
  <c r="G33" i="12"/>
  <c r="F33" i="12"/>
  <c r="E33" i="12"/>
  <c r="D33" i="12"/>
  <c r="L32" i="12"/>
  <c r="K32" i="12"/>
  <c r="J32" i="12"/>
  <c r="I32" i="12"/>
  <c r="G32" i="12"/>
  <c r="F32" i="12"/>
  <c r="E32" i="12"/>
  <c r="D32" i="12"/>
  <c r="L31" i="12"/>
  <c r="K31" i="12"/>
  <c r="J31" i="12"/>
  <c r="I31" i="12"/>
  <c r="G31" i="12"/>
  <c r="F31" i="12"/>
  <c r="E31" i="12"/>
  <c r="D31" i="12"/>
  <c r="L30" i="12"/>
  <c r="K30" i="12"/>
  <c r="J30" i="12"/>
  <c r="I30" i="12"/>
  <c r="G30" i="12"/>
  <c r="F30" i="12"/>
  <c r="E30" i="12"/>
  <c r="D30" i="12"/>
  <c r="L29" i="12"/>
  <c r="K29" i="12"/>
  <c r="J29" i="12"/>
  <c r="I29" i="12"/>
  <c r="G29" i="12"/>
  <c r="F29" i="12"/>
  <c r="E29" i="12"/>
  <c r="D29" i="12"/>
  <c r="L28" i="12"/>
  <c r="K28" i="12"/>
  <c r="J28" i="12"/>
  <c r="I28" i="12"/>
  <c r="G28" i="12"/>
  <c r="F28" i="12"/>
  <c r="E28" i="12"/>
  <c r="D28" i="12"/>
  <c r="L27" i="12"/>
  <c r="K27" i="12"/>
  <c r="J27" i="12"/>
  <c r="I27" i="12"/>
  <c r="G27" i="12"/>
  <c r="F27" i="12"/>
  <c r="E27" i="12"/>
  <c r="D27" i="12"/>
  <c r="L26" i="12"/>
  <c r="K26" i="12"/>
  <c r="J26" i="12"/>
  <c r="I26" i="12"/>
  <c r="G26" i="12"/>
  <c r="F26" i="12"/>
  <c r="E26" i="12"/>
  <c r="D26" i="12"/>
  <c r="L25" i="12"/>
  <c r="K25" i="12"/>
  <c r="J25" i="12"/>
  <c r="I25" i="12"/>
  <c r="G25" i="12"/>
  <c r="F25" i="12"/>
  <c r="E25" i="12"/>
  <c r="D25" i="12"/>
  <c r="L24" i="12"/>
  <c r="K24" i="12"/>
  <c r="J24" i="12"/>
  <c r="I24" i="12"/>
  <c r="G24" i="12"/>
  <c r="F24" i="12"/>
  <c r="E24" i="12"/>
  <c r="D24" i="12"/>
  <c r="L23" i="12"/>
  <c r="K23" i="12"/>
  <c r="J23" i="12"/>
  <c r="I23" i="12"/>
  <c r="G23" i="12"/>
  <c r="F23" i="12"/>
  <c r="E23" i="12"/>
  <c r="D23" i="12"/>
  <c r="L22" i="12"/>
  <c r="K22" i="12"/>
  <c r="J22" i="12"/>
  <c r="I22" i="12"/>
  <c r="G22" i="12"/>
  <c r="F22" i="12"/>
  <c r="E22" i="12"/>
  <c r="D22" i="12"/>
  <c r="L21" i="12"/>
  <c r="K21" i="12"/>
  <c r="J21" i="12"/>
  <c r="I21" i="12"/>
  <c r="G21" i="12"/>
  <c r="F21" i="12"/>
  <c r="E21" i="12"/>
  <c r="D21" i="12"/>
  <c r="L20" i="12"/>
  <c r="K20" i="12"/>
  <c r="J20" i="12"/>
  <c r="I20" i="12"/>
  <c r="G20" i="12"/>
  <c r="F20" i="12"/>
  <c r="E20" i="12"/>
  <c r="D20" i="12"/>
  <c r="L19" i="12"/>
  <c r="K19" i="12"/>
  <c r="J19" i="12"/>
  <c r="I19" i="12"/>
  <c r="G19" i="12"/>
  <c r="F19" i="12"/>
  <c r="E19" i="12"/>
  <c r="D19" i="12"/>
  <c r="L18" i="12"/>
  <c r="K18" i="12"/>
  <c r="J18" i="12"/>
  <c r="I18" i="12"/>
  <c r="G18" i="12"/>
  <c r="F18" i="12"/>
  <c r="E18" i="12"/>
  <c r="D18" i="12"/>
  <c r="L17" i="12"/>
  <c r="K17" i="12"/>
  <c r="J17" i="12"/>
  <c r="I17" i="12"/>
  <c r="G17" i="12"/>
  <c r="F17" i="12"/>
  <c r="E17" i="12"/>
  <c r="D17" i="12"/>
  <c r="L16" i="12"/>
  <c r="K16" i="12"/>
  <c r="J16" i="12"/>
  <c r="I16" i="12"/>
  <c r="G16" i="12"/>
  <c r="F16" i="12"/>
  <c r="E16" i="12"/>
  <c r="D16" i="12"/>
  <c r="L15" i="12"/>
  <c r="K15" i="12"/>
  <c r="J15" i="12"/>
  <c r="I15" i="12"/>
  <c r="G15" i="12"/>
  <c r="F15" i="12"/>
  <c r="E15" i="12"/>
  <c r="D15" i="12"/>
  <c r="L14" i="12"/>
  <c r="K14" i="12"/>
  <c r="J14" i="12"/>
  <c r="I14" i="12"/>
  <c r="G14" i="12"/>
  <c r="F14" i="12"/>
  <c r="E14" i="12"/>
  <c r="D14" i="12"/>
  <c r="L13" i="12"/>
  <c r="K13" i="12"/>
  <c r="J13" i="12"/>
  <c r="I13" i="12"/>
  <c r="G13" i="12"/>
  <c r="F13" i="12"/>
  <c r="E13" i="12"/>
  <c r="D13" i="12"/>
  <c r="L12" i="12"/>
  <c r="K12" i="12"/>
  <c r="J12" i="12"/>
  <c r="I12" i="12"/>
  <c r="G12" i="12"/>
  <c r="F12" i="12"/>
  <c r="E12" i="12"/>
  <c r="D12" i="12"/>
  <c r="L11" i="12"/>
  <c r="K11" i="12"/>
  <c r="J11" i="12"/>
  <c r="I11" i="12"/>
  <c r="G11" i="12"/>
  <c r="F11" i="12"/>
  <c r="E11" i="12"/>
  <c r="D11" i="12"/>
  <c r="L10" i="12"/>
  <c r="K10" i="12"/>
  <c r="J10" i="12"/>
  <c r="I10" i="12"/>
  <c r="G10" i="12"/>
  <c r="F10" i="12"/>
  <c r="E10" i="12"/>
  <c r="D10" i="12"/>
  <c r="L67" i="6"/>
  <c r="K67" i="6"/>
  <c r="J67" i="6"/>
  <c r="I67" i="6"/>
  <c r="G67" i="6"/>
  <c r="F67" i="6"/>
  <c r="E67" i="6"/>
  <c r="D67" i="6"/>
  <c r="L66" i="6"/>
  <c r="K66" i="6"/>
  <c r="J66" i="6"/>
  <c r="I66" i="6"/>
  <c r="G66" i="6"/>
  <c r="F66" i="6"/>
  <c r="E66" i="6"/>
  <c r="D66" i="6"/>
  <c r="L65" i="6"/>
  <c r="K65" i="6"/>
  <c r="J65" i="6"/>
  <c r="I65" i="6"/>
  <c r="G65" i="6"/>
  <c r="F65" i="6"/>
  <c r="E65" i="6"/>
  <c r="D65" i="6"/>
  <c r="L64" i="6"/>
  <c r="K64" i="6"/>
  <c r="J64" i="6"/>
  <c r="I64" i="6"/>
  <c r="G64" i="6"/>
  <c r="F64" i="6"/>
  <c r="E64" i="6"/>
  <c r="D64" i="6"/>
  <c r="L63" i="6"/>
  <c r="K63" i="6"/>
  <c r="J63" i="6"/>
  <c r="I63" i="6"/>
  <c r="G63" i="6"/>
  <c r="F63" i="6"/>
  <c r="E63" i="6"/>
  <c r="D63" i="6"/>
  <c r="L62" i="6"/>
  <c r="K62" i="6"/>
  <c r="J62" i="6"/>
  <c r="I62" i="6"/>
  <c r="G62" i="6"/>
  <c r="F62" i="6"/>
  <c r="E62" i="6"/>
  <c r="D62" i="6"/>
  <c r="L61" i="6"/>
  <c r="K61" i="6"/>
  <c r="J61" i="6"/>
  <c r="I61" i="6"/>
  <c r="G61" i="6"/>
  <c r="F61" i="6"/>
  <c r="E61" i="6"/>
  <c r="D61" i="6"/>
  <c r="L60" i="6"/>
  <c r="K60" i="6"/>
  <c r="J60" i="6"/>
  <c r="I60" i="6"/>
  <c r="G60" i="6"/>
  <c r="F60" i="6"/>
  <c r="E60" i="6"/>
  <c r="D60" i="6"/>
  <c r="L59" i="6"/>
  <c r="K59" i="6"/>
  <c r="J59" i="6"/>
  <c r="I59" i="6"/>
  <c r="G59" i="6"/>
  <c r="F59" i="6"/>
  <c r="E59" i="6"/>
  <c r="D59" i="6"/>
  <c r="L58" i="6"/>
  <c r="K58" i="6"/>
  <c r="J58" i="6"/>
  <c r="I58" i="6"/>
  <c r="G58" i="6"/>
  <c r="F58" i="6"/>
  <c r="E58" i="6"/>
  <c r="D58" i="6"/>
  <c r="L57" i="6"/>
  <c r="K57" i="6"/>
  <c r="J57" i="6"/>
  <c r="I57" i="6"/>
  <c r="G57" i="6"/>
  <c r="F57" i="6"/>
  <c r="E57" i="6"/>
  <c r="D57" i="6"/>
  <c r="L56" i="6"/>
  <c r="K56" i="6"/>
  <c r="J56" i="6"/>
  <c r="I56" i="6"/>
  <c r="G56" i="6"/>
  <c r="F56" i="6"/>
  <c r="E56" i="6"/>
  <c r="D56" i="6"/>
  <c r="L55" i="6"/>
  <c r="K55" i="6"/>
  <c r="J55" i="6"/>
  <c r="I55" i="6"/>
  <c r="G55" i="6"/>
  <c r="F55" i="6"/>
  <c r="E55" i="6"/>
  <c r="D55" i="6"/>
  <c r="L54" i="6"/>
  <c r="K54" i="6"/>
  <c r="J54" i="6"/>
  <c r="I54" i="6"/>
  <c r="G54" i="6"/>
  <c r="F54" i="6"/>
  <c r="E54" i="6"/>
  <c r="D54" i="6"/>
  <c r="L53" i="6"/>
  <c r="K53" i="6"/>
  <c r="J53" i="6"/>
  <c r="I53" i="6"/>
  <c r="G53" i="6"/>
  <c r="F53" i="6"/>
  <c r="E53" i="6"/>
  <c r="D53" i="6"/>
  <c r="L52" i="6"/>
  <c r="K52" i="6"/>
  <c r="J52" i="6"/>
  <c r="I52" i="6"/>
  <c r="G52" i="6"/>
  <c r="F52" i="6"/>
  <c r="E52" i="6"/>
  <c r="D52" i="6"/>
  <c r="L51" i="6"/>
  <c r="K51" i="6"/>
  <c r="J51" i="6"/>
  <c r="I51" i="6"/>
  <c r="G51" i="6"/>
  <c r="F51" i="6"/>
  <c r="E51" i="6"/>
  <c r="D51" i="6"/>
  <c r="L50" i="6"/>
  <c r="K50" i="6"/>
  <c r="J50" i="6"/>
  <c r="I50" i="6"/>
  <c r="G50" i="6"/>
  <c r="F50" i="6"/>
  <c r="E50" i="6"/>
  <c r="D50" i="6"/>
  <c r="L49" i="6"/>
  <c r="K49" i="6"/>
  <c r="J49" i="6"/>
  <c r="I49" i="6"/>
  <c r="G49" i="6"/>
  <c r="F49" i="6"/>
  <c r="E49" i="6"/>
  <c r="D49" i="6"/>
  <c r="L48" i="6"/>
  <c r="K48" i="6"/>
  <c r="J48" i="6"/>
  <c r="I48" i="6"/>
  <c r="G48" i="6"/>
  <c r="F48" i="6"/>
  <c r="E48" i="6"/>
  <c r="D48" i="6"/>
  <c r="L47" i="6"/>
  <c r="K47" i="6"/>
  <c r="J47" i="6"/>
  <c r="I47" i="6"/>
  <c r="G47" i="6"/>
  <c r="F47" i="6"/>
  <c r="E47" i="6"/>
  <c r="D47" i="6"/>
  <c r="L46" i="6"/>
  <c r="K46" i="6"/>
  <c r="J46" i="6"/>
  <c r="I46" i="6"/>
  <c r="G46" i="6"/>
  <c r="F46" i="6"/>
  <c r="E46" i="6"/>
  <c r="D46" i="6"/>
  <c r="L45" i="6"/>
  <c r="K45" i="6"/>
  <c r="J45" i="6"/>
  <c r="I45" i="6"/>
  <c r="G45" i="6"/>
  <c r="F45" i="6"/>
  <c r="E45" i="6"/>
  <c r="D45" i="6"/>
  <c r="L44" i="6"/>
  <c r="K44" i="6"/>
  <c r="J44" i="6"/>
  <c r="I44" i="6"/>
  <c r="G44" i="6"/>
  <c r="F44" i="6"/>
  <c r="E44" i="6"/>
  <c r="D44" i="6"/>
  <c r="L43" i="6"/>
  <c r="K43" i="6"/>
  <c r="J43" i="6"/>
  <c r="I43" i="6"/>
  <c r="G43" i="6"/>
  <c r="F43" i="6"/>
  <c r="E43" i="6"/>
  <c r="D43" i="6"/>
  <c r="L42" i="6"/>
  <c r="K42" i="6"/>
  <c r="J42" i="6"/>
  <c r="I42" i="6"/>
  <c r="G42" i="6"/>
  <c r="F42" i="6"/>
  <c r="E42" i="6"/>
  <c r="D42" i="6"/>
  <c r="L41" i="6"/>
  <c r="K41" i="6"/>
  <c r="J41" i="6"/>
  <c r="I41" i="6"/>
  <c r="G41" i="6"/>
  <c r="F41" i="6"/>
  <c r="E41" i="6"/>
  <c r="D41" i="6"/>
  <c r="L40" i="6"/>
  <c r="K40" i="6"/>
  <c r="J40" i="6"/>
  <c r="I40" i="6"/>
  <c r="G40" i="6"/>
  <c r="F40" i="6"/>
  <c r="E40" i="6"/>
  <c r="D40" i="6"/>
  <c r="L39" i="6"/>
  <c r="K39" i="6"/>
  <c r="J39" i="6"/>
  <c r="I39" i="6"/>
  <c r="G39" i="6"/>
  <c r="F39" i="6"/>
  <c r="E39" i="6"/>
  <c r="D39" i="6"/>
  <c r="L38" i="6"/>
  <c r="K38" i="6"/>
  <c r="J38" i="6"/>
  <c r="I38" i="6"/>
  <c r="G38" i="6"/>
  <c r="F38" i="6"/>
  <c r="E38" i="6"/>
  <c r="D38" i="6"/>
  <c r="L37" i="6"/>
  <c r="K37" i="6"/>
  <c r="J37" i="6"/>
  <c r="I37" i="6"/>
  <c r="G37" i="6"/>
  <c r="F37" i="6"/>
  <c r="E37" i="6"/>
  <c r="D37" i="6"/>
  <c r="L36" i="6"/>
  <c r="K36" i="6"/>
  <c r="J36" i="6"/>
  <c r="I36" i="6"/>
  <c r="G36" i="6"/>
  <c r="F36" i="6"/>
  <c r="E36" i="6"/>
  <c r="D36" i="6"/>
  <c r="L35" i="6"/>
  <c r="K35" i="6"/>
  <c r="J35" i="6"/>
  <c r="I35" i="6"/>
  <c r="G35" i="6"/>
  <c r="F35" i="6"/>
  <c r="E35" i="6"/>
  <c r="D35" i="6"/>
  <c r="L34" i="6"/>
  <c r="K34" i="6"/>
  <c r="J34" i="6"/>
  <c r="I34" i="6"/>
  <c r="G34" i="6"/>
  <c r="F34" i="6"/>
  <c r="E34" i="6"/>
  <c r="D34" i="6"/>
  <c r="L33" i="6"/>
  <c r="K33" i="6"/>
  <c r="J33" i="6"/>
  <c r="I33" i="6"/>
  <c r="G33" i="6"/>
  <c r="F33" i="6"/>
  <c r="E33" i="6"/>
  <c r="D33" i="6"/>
  <c r="L32" i="6"/>
  <c r="K32" i="6"/>
  <c r="J32" i="6"/>
  <c r="I32" i="6"/>
  <c r="G32" i="6"/>
  <c r="F32" i="6"/>
  <c r="E32" i="6"/>
  <c r="D32" i="6"/>
  <c r="L31" i="6"/>
  <c r="K31" i="6"/>
  <c r="J31" i="6"/>
  <c r="I31" i="6"/>
  <c r="G31" i="6"/>
  <c r="F31" i="6"/>
  <c r="E31" i="6"/>
  <c r="D31" i="6"/>
  <c r="L30" i="6"/>
  <c r="K30" i="6"/>
  <c r="J30" i="6"/>
  <c r="I30" i="6"/>
  <c r="G30" i="6"/>
  <c r="F30" i="6"/>
  <c r="E30" i="6"/>
  <c r="D30" i="6"/>
  <c r="L29" i="6"/>
  <c r="K29" i="6"/>
  <c r="J29" i="6"/>
  <c r="I29" i="6"/>
  <c r="G29" i="6"/>
  <c r="F29" i="6"/>
  <c r="E29" i="6"/>
  <c r="D29" i="6"/>
  <c r="L28" i="6"/>
  <c r="K28" i="6"/>
  <c r="J28" i="6"/>
  <c r="I28" i="6"/>
  <c r="G28" i="6"/>
  <c r="F28" i="6"/>
  <c r="E28" i="6"/>
  <c r="D28" i="6"/>
  <c r="L27" i="6"/>
  <c r="K27" i="6"/>
  <c r="J27" i="6"/>
  <c r="I27" i="6"/>
  <c r="G27" i="6"/>
  <c r="F27" i="6"/>
  <c r="E27" i="6"/>
  <c r="D27" i="6"/>
  <c r="L26" i="6"/>
  <c r="K26" i="6"/>
  <c r="J26" i="6"/>
  <c r="I26" i="6"/>
  <c r="G26" i="6"/>
  <c r="F26" i="6"/>
  <c r="E26" i="6"/>
  <c r="D26" i="6"/>
  <c r="L25" i="6"/>
  <c r="K25" i="6"/>
  <c r="J25" i="6"/>
  <c r="I25" i="6"/>
  <c r="G25" i="6"/>
  <c r="F25" i="6"/>
  <c r="E25" i="6"/>
  <c r="D25" i="6"/>
  <c r="L24" i="6"/>
  <c r="K24" i="6"/>
  <c r="J24" i="6"/>
  <c r="I24" i="6"/>
  <c r="G24" i="6"/>
  <c r="F24" i="6"/>
  <c r="E24" i="6"/>
  <c r="D24" i="6"/>
  <c r="L23" i="6"/>
  <c r="K23" i="6"/>
  <c r="J23" i="6"/>
  <c r="I23" i="6"/>
  <c r="G23" i="6"/>
  <c r="F23" i="6"/>
  <c r="E23" i="6"/>
  <c r="D23" i="6"/>
  <c r="L22" i="6"/>
  <c r="K22" i="6"/>
  <c r="J22" i="6"/>
  <c r="I22" i="6"/>
  <c r="G22" i="6"/>
  <c r="F22" i="6"/>
  <c r="E22" i="6"/>
  <c r="D22" i="6"/>
  <c r="L21" i="6"/>
  <c r="K21" i="6"/>
  <c r="J21" i="6"/>
  <c r="I21" i="6"/>
  <c r="G21" i="6"/>
  <c r="F21" i="6"/>
  <c r="E21" i="6"/>
  <c r="D21" i="6"/>
  <c r="L20" i="6"/>
  <c r="K20" i="6"/>
  <c r="J20" i="6"/>
  <c r="I20" i="6"/>
  <c r="G20" i="6"/>
  <c r="F20" i="6"/>
  <c r="E20" i="6"/>
  <c r="D20" i="6"/>
  <c r="L19" i="6"/>
  <c r="K19" i="6"/>
  <c r="J19" i="6"/>
  <c r="I19" i="6"/>
  <c r="G19" i="6"/>
  <c r="F19" i="6"/>
  <c r="E19" i="6"/>
  <c r="D19" i="6"/>
  <c r="L18" i="6"/>
  <c r="K18" i="6"/>
  <c r="J18" i="6"/>
  <c r="I18" i="6"/>
  <c r="G18" i="6"/>
  <c r="F18" i="6"/>
  <c r="E18" i="6"/>
  <c r="D18" i="6"/>
  <c r="L17" i="6"/>
  <c r="K17" i="6"/>
  <c r="J17" i="6"/>
  <c r="I17" i="6"/>
  <c r="G17" i="6"/>
  <c r="F17" i="6"/>
  <c r="E17" i="6"/>
  <c r="D17" i="6"/>
  <c r="L16" i="6"/>
  <c r="K16" i="6"/>
  <c r="J16" i="6"/>
  <c r="I16" i="6"/>
  <c r="G16" i="6"/>
  <c r="F16" i="6"/>
  <c r="E16" i="6"/>
  <c r="D16" i="6"/>
  <c r="L15" i="6"/>
  <c r="K15" i="6"/>
  <c r="J15" i="6"/>
  <c r="I15" i="6"/>
  <c r="G15" i="6"/>
  <c r="F15" i="6"/>
  <c r="E15" i="6"/>
  <c r="D15" i="6"/>
  <c r="L14" i="6"/>
  <c r="K14" i="6"/>
  <c r="J14" i="6"/>
  <c r="I14" i="6"/>
  <c r="G14" i="6"/>
  <c r="F14" i="6"/>
  <c r="E14" i="6"/>
  <c r="D14" i="6"/>
  <c r="L13" i="6"/>
  <c r="K13" i="6"/>
  <c r="J13" i="6"/>
  <c r="I13" i="6"/>
  <c r="G13" i="6"/>
  <c r="F13" i="6"/>
  <c r="E13" i="6"/>
  <c r="D13" i="6"/>
  <c r="L12" i="6"/>
  <c r="K12" i="6"/>
  <c r="J12" i="6"/>
  <c r="I12" i="6"/>
  <c r="G12" i="6"/>
  <c r="F12" i="6"/>
  <c r="E12" i="6"/>
  <c r="D12" i="6"/>
  <c r="L11" i="6"/>
  <c r="K11" i="6"/>
  <c r="J11" i="6"/>
  <c r="I11" i="6"/>
  <c r="G11" i="6"/>
  <c r="F11" i="6"/>
  <c r="E11" i="6"/>
  <c r="D11" i="6"/>
  <c r="L10" i="6"/>
  <c r="K10" i="6"/>
  <c r="J10" i="6"/>
  <c r="I10" i="6"/>
  <c r="G10" i="6"/>
  <c r="F10" i="6"/>
  <c r="E10" i="6"/>
  <c r="D10" i="6"/>
  <c r="L67" i="15"/>
  <c r="K67" i="15"/>
  <c r="J67" i="15"/>
  <c r="I67" i="15"/>
  <c r="G67" i="15"/>
  <c r="F67" i="15"/>
  <c r="E67" i="15"/>
  <c r="D67" i="15"/>
  <c r="L66" i="15"/>
  <c r="K66" i="15"/>
  <c r="J66" i="15"/>
  <c r="I66" i="15"/>
  <c r="G66" i="15"/>
  <c r="F66" i="15"/>
  <c r="E66" i="15"/>
  <c r="D66" i="15"/>
  <c r="L65" i="15"/>
  <c r="K65" i="15"/>
  <c r="J65" i="15"/>
  <c r="I65" i="15"/>
  <c r="G65" i="15"/>
  <c r="F65" i="15"/>
  <c r="E65" i="15"/>
  <c r="D65" i="15"/>
  <c r="L64" i="15"/>
  <c r="K64" i="15"/>
  <c r="J64" i="15"/>
  <c r="I64" i="15"/>
  <c r="G64" i="15"/>
  <c r="F64" i="15"/>
  <c r="E64" i="15"/>
  <c r="D64" i="15"/>
  <c r="L63" i="15"/>
  <c r="K63" i="15"/>
  <c r="J63" i="15"/>
  <c r="I63" i="15"/>
  <c r="G63" i="15"/>
  <c r="F63" i="15"/>
  <c r="E63" i="15"/>
  <c r="D63" i="15"/>
  <c r="L62" i="15"/>
  <c r="K62" i="15"/>
  <c r="J62" i="15"/>
  <c r="I62" i="15"/>
  <c r="G62" i="15"/>
  <c r="F62" i="15"/>
  <c r="E62" i="15"/>
  <c r="D62" i="15"/>
  <c r="L61" i="15"/>
  <c r="K61" i="15"/>
  <c r="J61" i="15"/>
  <c r="I61" i="15"/>
  <c r="G61" i="15"/>
  <c r="F61" i="15"/>
  <c r="E61" i="15"/>
  <c r="D61" i="15"/>
  <c r="L60" i="15"/>
  <c r="K60" i="15"/>
  <c r="J60" i="15"/>
  <c r="I60" i="15"/>
  <c r="G60" i="15"/>
  <c r="F60" i="15"/>
  <c r="E60" i="15"/>
  <c r="D60" i="15"/>
  <c r="L59" i="15"/>
  <c r="K59" i="15"/>
  <c r="J59" i="15"/>
  <c r="I59" i="15"/>
  <c r="G59" i="15"/>
  <c r="F59" i="15"/>
  <c r="E59" i="15"/>
  <c r="D59" i="15"/>
  <c r="L58" i="15"/>
  <c r="K58" i="15"/>
  <c r="J58" i="15"/>
  <c r="I58" i="15"/>
  <c r="G58" i="15"/>
  <c r="F58" i="15"/>
  <c r="E58" i="15"/>
  <c r="D58" i="15"/>
  <c r="L57" i="15"/>
  <c r="K57" i="15"/>
  <c r="J57" i="15"/>
  <c r="I57" i="15"/>
  <c r="G57" i="15"/>
  <c r="F57" i="15"/>
  <c r="E57" i="15"/>
  <c r="D57" i="15"/>
  <c r="L56" i="15"/>
  <c r="K56" i="15"/>
  <c r="J56" i="15"/>
  <c r="I56" i="15"/>
  <c r="G56" i="15"/>
  <c r="F56" i="15"/>
  <c r="E56" i="15"/>
  <c r="D56" i="15"/>
  <c r="L55" i="15"/>
  <c r="K55" i="15"/>
  <c r="J55" i="15"/>
  <c r="I55" i="15"/>
  <c r="G55" i="15"/>
  <c r="F55" i="15"/>
  <c r="E55" i="15"/>
  <c r="D55" i="15"/>
  <c r="L54" i="15"/>
  <c r="K54" i="15"/>
  <c r="J54" i="15"/>
  <c r="I54" i="15"/>
  <c r="G54" i="15"/>
  <c r="F54" i="15"/>
  <c r="E54" i="15"/>
  <c r="D54" i="15"/>
  <c r="L53" i="15"/>
  <c r="K53" i="15"/>
  <c r="J53" i="15"/>
  <c r="I53" i="15"/>
  <c r="G53" i="15"/>
  <c r="F53" i="15"/>
  <c r="E53" i="15"/>
  <c r="D53" i="15"/>
  <c r="L52" i="15"/>
  <c r="K52" i="15"/>
  <c r="J52" i="15"/>
  <c r="I52" i="15"/>
  <c r="G52" i="15"/>
  <c r="F52" i="15"/>
  <c r="E52" i="15"/>
  <c r="D52" i="15"/>
  <c r="L51" i="15"/>
  <c r="K51" i="15"/>
  <c r="J51" i="15"/>
  <c r="I51" i="15"/>
  <c r="G51" i="15"/>
  <c r="F51" i="15"/>
  <c r="E51" i="15"/>
  <c r="D51" i="15"/>
  <c r="L50" i="15"/>
  <c r="K50" i="15"/>
  <c r="J50" i="15"/>
  <c r="I50" i="15"/>
  <c r="G50" i="15"/>
  <c r="F50" i="15"/>
  <c r="E50" i="15"/>
  <c r="D50" i="15"/>
  <c r="L49" i="15"/>
  <c r="K49" i="15"/>
  <c r="J49" i="15"/>
  <c r="I49" i="15"/>
  <c r="G49" i="15"/>
  <c r="F49" i="15"/>
  <c r="E49" i="15"/>
  <c r="D49" i="15"/>
  <c r="L48" i="15"/>
  <c r="K48" i="15"/>
  <c r="J48" i="15"/>
  <c r="I48" i="15"/>
  <c r="G48" i="15"/>
  <c r="F48" i="15"/>
  <c r="E48" i="15"/>
  <c r="D48" i="15"/>
  <c r="L47" i="15"/>
  <c r="K47" i="15"/>
  <c r="J47" i="15"/>
  <c r="I47" i="15"/>
  <c r="G47" i="15"/>
  <c r="F47" i="15"/>
  <c r="E47" i="15"/>
  <c r="D47" i="15"/>
  <c r="L46" i="15"/>
  <c r="K46" i="15"/>
  <c r="J46" i="15"/>
  <c r="I46" i="15"/>
  <c r="G46" i="15"/>
  <c r="F46" i="15"/>
  <c r="E46" i="15"/>
  <c r="D46" i="15"/>
  <c r="L45" i="15"/>
  <c r="K45" i="15"/>
  <c r="J45" i="15"/>
  <c r="I45" i="15"/>
  <c r="G45" i="15"/>
  <c r="F45" i="15"/>
  <c r="E45" i="15"/>
  <c r="D45" i="15"/>
  <c r="L44" i="15"/>
  <c r="K44" i="15"/>
  <c r="J44" i="15"/>
  <c r="I44" i="15"/>
  <c r="G44" i="15"/>
  <c r="F44" i="15"/>
  <c r="E44" i="15"/>
  <c r="D44" i="15"/>
  <c r="L43" i="15"/>
  <c r="K43" i="15"/>
  <c r="J43" i="15"/>
  <c r="I43" i="15"/>
  <c r="G43" i="15"/>
  <c r="F43" i="15"/>
  <c r="E43" i="15"/>
  <c r="D43" i="15"/>
  <c r="L42" i="15"/>
  <c r="K42" i="15"/>
  <c r="J42" i="15"/>
  <c r="I42" i="15"/>
  <c r="G42" i="15"/>
  <c r="F42" i="15"/>
  <c r="E42" i="15"/>
  <c r="D42" i="15"/>
  <c r="L41" i="15"/>
  <c r="K41" i="15"/>
  <c r="J41" i="15"/>
  <c r="I41" i="15"/>
  <c r="G41" i="15"/>
  <c r="F41" i="15"/>
  <c r="E41" i="15"/>
  <c r="D41" i="15"/>
  <c r="L40" i="15"/>
  <c r="K40" i="15"/>
  <c r="J40" i="15"/>
  <c r="I40" i="15"/>
  <c r="G40" i="15"/>
  <c r="F40" i="15"/>
  <c r="E40" i="15"/>
  <c r="D40" i="15"/>
  <c r="L39" i="15"/>
  <c r="K39" i="15"/>
  <c r="J39" i="15"/>
  <c r="I39" i="15"/>
  <c r="G39" i="15"/>
  <c r="F39" i="15"/>
  <c r="E39" i="15"/>
  <c r="D39" i="15"/>
  <c r="L38" i="15"/>
  <c r="K38" i="15"/>
  <c r="J38" i="15"/>
  <c r="I38" i="15"/>
  <c r="G38" i="15"/>
  <c r="F38" i="15"/>
  <c r="E38" i="15"/>
  <c r="D38" i="15"/>
  <c r="L37" i="15"/>
  <c r="K37" i="15"/>
  <c r="J37" i="15"/>
  <c r="I37" i="15"/>
  <c r="G37" i="15"/>
  <c r="F37" i="15"/>
  <c r="E37" i="15"/>
  <c r="D37" i="15"/>
  <c r="L36" i="15"/>
  <c r="K36" i="15"/>
  <c r="J36" i="15"/>
  <c r="I36" i="15"/>
  <c r="G36" i="15"/>
  <c r="F36" i="15"/>
  <c r="E36" i="15"/>
  <c r="D36" i="15"/>
  <c r="L35" i="15"/>
  <c r="K35" i="15"/>
  <c r="J35" i="15"/>
  <c r="I35" i="15"/>
  <c r="G35" i="15"/>
  <c r="F35" i="15"/>
  <c r="E35" i="15"/>
  <c r="D35" i="15"/>
  <c r="L34" i="15"/>
  <c r="K34" i="15"/>
  <c r="J34" i="15"/>
  <c r="I34" i="15"/>
  <c r="G34" i="15"/>
  <c r="F34" i="15"/>
  <c r="E34" i="15"/>
  <c r="D34" i="15"/>
  <c r="L33" i="15"/>
  <c r="K33" i="15"/>
  <c r="J33" i="15"/>
  <c r="I33" i="15"/>
  <c r="G33" i="15"/>
  <c r="F33" i="15"/>
  <c r="E33" i="15"/>
  <c r="D33" i="15"/>
  <c r="L32" i="15"/>
  <c r="K32" i="15"/>
  <c r="J32" i="15"/>
  <c r="I32" i="15"/>
  <c r="G32" i="15"/>
  <c r="F32" i="15"/>
  <c r="E32" i="15"/>
  <c r="D32" i="15"/>
  <c r="L31" i="15"/>
  <c r="K31" i="15"/>
  <c r="J31" i="15"/>
  <c r="I31" i="15"/>
  <c r="G31" i="15"/>
  <c r="F31" i="15"/>
  <c r="E31" i="15"/>
  <c r="D31" i="15"/>
  <c r="L30" i="15"/>
  <c r="K30" i="15"/>
  <c r="J30" i="15"/>
  <c r="I30" i="15"/>
  <c r="G30" i="15"/>
  <c r="F30" i="15"/>
  <c r="E30" i="15"/>
  <c r="D30" i="15"/>
  <c r="L29" i="15"/>
  <c r="K29" i="15"/>
  <c r="J29" i="15"/>
  <c r="I29" i="15"/>
  <c r="G29" i="15"/>
  <c r="F29" i="15"/>
  <c r="E29" i="15"/>
  <c r="D29" i="15"/>
  <c r="L28" i="15"/>
  <c r="K28" i="15"/>
  <c r="J28" i="15"/>
  <c r="I28" i="15"/>
  <c r="G28" i="15"/>
  <c r="F28" i="15"/>
  <c r="E28" i="15"/>
  <c r="D28" i="15"/>
  <c r="L27" i="15"/>
  <c r="K27" i="15"/>
  <c r="J27" i="15"/>
  <c r="I27" i="15"/>
  <c r="G27" i="15"/>
  <c r="F27" i="15"/>
  <c r="E27" i="15"/>
  <c r="D27" i="15"/>
  <c r="L26" i="15"/>
  <c r="K26" i="15"/>
  <c r="J26" i="15"/>
  <c r="I26" i="15"/>
  <c r="G26" i="15"/>
  <c r="F26" i="15"/>
  <c r="E26" i="15"/>
  <c r="D26" i="15"/>
  <c r="L25" i="15"/>
  <c r="K25" i="15"/>
  <c r="J25" i="15"/>
  <c r="I25" i="15"/>
  <c r="G25" i="15"/>
  <c r="F25" i="15"/>
  <c r="E25" i="15"/>
  <c r="D25" i="15"/>
  <c r="L24" i="15"/>
  <c r="K24" i="15"/>
  <c r="J24" i="15"/>
  <c r="I24" i="15"/>
  <c r="G24" i="15"/>
  <c r="F24" i="15"/>
  <c r="E24" i="15"/>
  <c r="D24" i="15"/>
  <c r="L23" i="15"/>
  <c r="K23" i="15"/>
  <c r="J23" i="15"/>
  <c r="I23" i="15"/>
  <c r="G23" i="15"/>
  <c r="F23" i="15"/>
  <c r="E23" i="15"/>
  <c r="D23" i="15"/>
  <c r="L22" i="15"/>
  <c r="K22" i="15"/>
  <c r="J22" i="15"/>
  <c r="I22" i="15"/>
  <c r="G22" i="15"/>
  <c r="F22" i="15"/>
  <c r="E22" i="15"/>
  <c r="D22" i="15"/>
  <c r="L21" i="15"/>
  <c r="K21" i="15"/>
  <c r="J21" i="15"/>
  <c r="I21" i="15"/>
  <c r="G21" i="15"/>
  <c r="F21" i="15"/>
  <c r="E21" i="15"/>
  <c r="D21" i="15"/>
  <c r="L20" i="15"/>
  <c r="K20" i="15"/>
  <c r="J20" i="15"/>
  <c r="I20" i="15"/>
  <c r="G20" i="15"/>
  <c r="F20" i="15"/>
  <c r="E20" i="15"/>
  <c r="D20" i="15"/>
  <c r="L19" i="15"/>
  <c r="K19" i="15"/>
  <c r="J19" i="15"/>
  <c r="I19" i="15"/>
  <c r="G19" i="15"/>
  <c r="F19" i="15"/>
  <c r="E19" i="15"/>
  <c r="D19" i="15"/>
  <c r="L18" i="15"/>
  <c r="K18" i="15"/>
  <c r="J18" i="15"/>
  <c r="I18" i="15"/>
  <c r="G18" i="15"/>
  <c r="F18" i="15"/>
  <c r="E18" i="15"/>
  <c r="D18" i="15"/>
  <c r="L17" i="15"/>
  <c r="K17" i="15"/>
  <c r="J17" i="15"/>
  <c r="I17" i="15"/>
  <c r="G17" i="15"/>
  <c r="F17" i="15"/>
  <c r="E17" i="15"/>
  <c r="D17" i="15"/>
  <c r="L16" i="15"/>
  <c r="K16" i="15"/>
  <c r="J16" i="15"/>
  <c r="I16" i="15"/>
  <c r="G16" i="15"/>
  <c r="F16" i="15"/>
  <c r="E16" i="15"/>
  <c r="D16" i="15"/>
  <c r="L15" i="15"/>
  <c r="K15" i="15"/>
  <c r="J15" i="15"/>
  <c r="I15" i="15"/>
  <c r="G15" i="15"/>
  <c r="F15" i="15"/>
  <c r="E15" i="15"/>
  <c r="D15" i="15"/>
  <c r="L14" i="15"/>
  <c r="K14" i="15"/>
  <c r="J14" i="15"/>
  <c r="I14" i="15"/>
  <c r="G14" i="15"/>
  <c r="F14" i="15"/>
  <c r="E14" i="15"/>
  <c r="D14" i="15"/>
  <c r="L13" i="15"/>
  <c r="K13" i="15"/>
  <c r="J13" i="15"/>
  <c r="I13" i="15"/>
  <c r="G13" i="15"/>
  <c r="F13" i="15"/>
  <c r="E13" i="15"/>
  <c r="D13" i="15"/>
  <c r="L12" i="15"/>
  <c r="K12" i="15"/>
  <c r="J12" i="15"/>
  <c r="I12" i="15"/>
  <c r="G12" i="15"/>
  <c r="F12" i="15"/>
  <c r="E12" i="15"/>
  <c r="D12" i="15"/>
  <c r="L11" i="15"/>
  <c r="K11" i="15"/>
  <c r="J11" i="15"/>
  <c r="I11" i="15"/>
  <c r="G11" i="15"/>
  <c r="F11" i="15"/>
  <c r="E11" i="15"/>
  <c r="D11" i="15"/>
  <c r="L10" i="15"/>
  <c r="K10" i="15"/>
  <c r="J10" i="15"/>
  <c r="I10" i="15"/>
  <c r="G10" i="15"/>
  <c r="F10" i="15"/>
  <c r="E10" i="15"/>
  <c r="D10" i="15"/>
  <c r="L67" i="21"/>
  <c r="K67" i="21"/>
  <c r="J67" i="21"/>
  <c r="I67" i="21"/>
  <c r="G67" i="21"/>
  <c r="F67" i="21"/>
  <c r="E67" i="21"/>
  <c r="D67" i="21"/>
  <c r="L66" i="21"/>
  <c r="K66" i="21"/>
  <c r="J66" i="21"/>
  <c r="I66" i="21"/>
  <c r="G66" i="21"/>
  <c r="F66" i="21"/>
  <c r="E66" i="21"/>
  <c r="D66" i="21"/>
  <c r="L65" i="21"/>
  <c r="K65" i="21"/>
  <c r="J65" i="21"/>
  <c r="I65" i="21"/>
  <c r="G65" i="21"/>
  <c r="F65" i="21"/>
  <c r="E65" i="21"/>
  <c r="D65" i="21"/>
  <c r="L64" i="21"/>
  <c r="K64" i="21"/>
  <c r="J64" i="21"/>
  <c r="I64" i="21"/>
  <c r="G64" i="21"/>
  <c r="F64" i="21"/>
  <c r="E64" i="21"/>
  <c r="D64" i="21"/>
  <c r="L63" i="21"/>
  <c r="K63" i="21"/>
  <c r="J63" i="21"/>
  <c r="I63" i="21"/>
  <c r="G63" i="21"/>
  <c r="F63" i="21"/>
  <c r="E63" i="21"/>
  <c r="D63" i="21"/>
  <c r="L62" i="21"/>
  <c r="K62" i="21"/>
  <c r="J62" i="21"/>
  <c r="I62" i="21"/>
  <c r="G62" i="21"/>
  <c r="F62" i="21"/>
  <c r="E62" i="21"/>
  <c r="D62" i="21"/>
  <c r="L61" i="21"/>
  <c r="K61" i="21"/>
  <c r="J61" i="21"/>
  <c r="I61" i="21"/>
  <c r="G61" i="21"/>
  <c r="F61" i="21"/>
  <c r="E61" i="21"/>
  <c r="D61" i="21"/>
  <c r="L60" i="21"/>
  <c r="K60" i="21"/>
  <c r="J60" i="21"/>
  <c r="I60" i="21"/>
  <c r="G60" i="21"/>
  <c r="F60" i="21"/>
  <c r="E60" i="21"/>
  <c r="D60" i="21"/>
  <c r="L59" i="21"/>
  <c r="K59" i="21"/>
  <c r="J59" i="21"/>
  <c r="I59" i="21"/>
  <c r="G59" i="21"/>
  <c r="F59" i="21"/>
  <c r="E59" i="21"/>
  <c r="D59" i="21"/>
  <c r="L58" i="21"/>
  <c r="K58" i="21"/>
  <c r="J58" i="21"/>
  <c r="I58" i="21"/>
  <c r="G58" i="21"/>
  <c r="F58" i="21"/>
  <c r="E58" i="21"/>
  <c r="D58" i="21"/>
  <c r="L57" i="21"/>
  <c r="K57" i="21"/>
  <c r="J57" i="21"/>
  <c r="I57" i="21"/>
  <c r="G57" i="21"/>
  <c r="F57" i="21"/>
  <c r="E57" i="21"/>
  <c r="D57" i="21"/>
  <c r="L56" i="21"/>
  <c r="K56" i="21"/>
  <c r="J56" i="21"/>
  <c r="I56" i="21"/>
  <c r="G56" i="21"/>
  <c r="F56" i="21"/>
  <c r="E56" i="21"/>
  <c r="D56" i="21"/>
  <c r="L55" i="21"/>
  <c r="K55" i="21"/>
  <c r="J55" i="21"/>
  <c r="I55" i="21"/>
  <c r="G55" i="21"/>
  <c r="F55" i="21"/>
  <c r="E55" i="21"/>
  <c r="D55" i="21"/>
  <c r="L54" i="21"/>
  <c r="K54" i="21"/>
  <c r="J54" i="21"/>
  <c r="I54" i="21"/>
  <c r="G54" i="21"/>
  <c r="F54" i="21"/>
  <c r="E54" i="21"/>
  <c r="D54" i="21"/>
  <c r="L53" i="21"/>
  <c r="K53" i="21"/>
  <c r="J53" i="21"/>
  <c r="I53" i="21"/>
  <c r="G53" i="21"/>
  <c r="F53" i="21"/>
  <c r="E53" i="21"/>
  <c r="D53" i="21"/>
  <c r="L52" i="21"/>
  <c r="K52" i="21"/>
  <c r="J52" i="21"/>
  <c r="I52" i="21"/>
  <c r="G52" i="21"/>
  <c r="F52" i="21"/>
  <c r="E52" i="21"/>
  <c r="D52" i="21"/>
  <c r="L51" i="21"/>
  <c r="K51" i="21"/>
  <c r="J51" i="21"/>
  <c r="I51" i="21"/>
  <c r="G51" i="21"/>
  <c r="F51" i="21"/>
  <c r="E51" i="21"/>
  <c r="D51" i="21"/>
  <c r="L50" i="21"/>
  <c r="K50" i="21"/>
  <c r="J50" i="21"/>
  <c r="I50" i="21"/>
  <c r="G50" i="21"/>
  <c r="F50" i="21"/>
  <c r="E50" i="21"/>
  <c r="D50" i="21"/>
  <c r="L49" i="21"/>
  <c r="K49" i="21"/>
  <c r="J49" i="21"/>
  <c r="I49" i="21"/>
  <c r="G49" i="21"/>
  <c r="F49" i="21"/>
  <c r="E49" i="21"/>
  <c r="D49" i="21"/>
  <c r="L48" i="21"/>
  <c r="K48" i="21"/>
  <c r="J48" i="21"/>
  <c r="I48" i="21"/>
  <c r="G48" i="21"/>
  <c r="F48" i="21"/>
  <c r="E48" i="21"/>
  <c r="D48" i="21"/>
  <c r="L47" i="21"/>
  <c r="K47" i="21"/>
  <c r="J47" i="21"/>
  <c r="I47" i="21"/>
  <c r="G47" i="21"/>
  <c r="F47" i="21"/>
  <c r="E47" i="21"/>
  <c r="D47" i="21"/>
  <c r="L46" i="21"/>
  <c r="K46" i="21"/>
  <c r="J46" i="21"/>
  <c r="I46" i="21"/>
  <c r="G46" i="21"/>
  <c r="F46" i="21"/>
  <c r="E46" i="21"/>
  <c r="D46" i="21"/>
  <c r="L45" i="21"/>
  <c r="K45" i="21"/>
  <c r="J45" i="21"/>
  <c r="I45" i="21"/>
  <c r="G45" i="21"/>
  <c r="F45" i="21"/>
  <c r="E45" i="21"/>
  <c r="D45" i="21"/>
  <c r="L44" i="21"/>
  <c r="K44" i="21"/>
  <c r="J44" i="21"/>
  <c r="I44" i="21"/>
  <c r="G44" i="21"/>
  <c r="F44" i="21"/>
  <c r="E44" i="21"/>
  <c r="D44" i="21"/>
  <c r="L43" i="21"/>
  <c r="K43" i="21"/>
  <c r="J43" i="21"/>
  <c r="I43" i="21"/>
  <c r="G43" i="21"/>
  <c r="F43" i="21"/>
  <c r="E43" i="21"/>
  <c r="D43" i="21"/>
  <c r="L42" i="21"/>
  <c r="K42" i="21"/>
  <c r="J42" i="21"/>
  <c r="I42" i="21"/>
  <c r="G42" i="21"/>
  <c r="F42" i="21"/>
  <c r="E42" i="21"/>
  <c r="D42" i="21"/>
  <c r="L41" i="21"/>
  <c r="K41" i="21"/>
  <c r="J41" i="21"/>
  <c r="I41" i="21"/>
  <c r="G41" i="21"/>
  <c r="F41" i="21"/>
  <c r="E41" i="21"/>
  <c r="D41" i="21"/>
  <c r="L40" i="21"/>
  <c r="K40" i="21"/>
  <c r="J40" i="21"/>
  <c r="I40" i="21"/>
  <c r="G40" i="21"/>
  <c r="F40" i="21"/>
  <c r="E40" i="21"/>
  <c r="D40" i="21"/>
  <c r="L39" i="21"/>
  <c r="K39" i="21"/>
  <c r="J39" i="21"/>
  <c r="I39" i="21"/>
  <c r="G39" i="21"/>
  <c r="F39" i="21"/>
  <c r="E39" i="21"/>
  <c r="D39" i="21"/>
  <c r="L38" i="21"/>
  <c r="K38" i="21"/>
  <c r="J38" i="21"/>
  <c r="I38" i="21"/>
  <c r="G38" i="21"/>
  <c r="F38" i="21"/>
  <c r="E38" i="21"/>
  <c r="D38" i="21"/>
  <c r="L37" i="21"/>
  <c r="K37" i="21"/>
  <c r="J37" i="21"/>
  <c r="I37" i="21"/>
  <c r="G37" i="21"/>
  <c r="F37" i="21"/>
  <c r="E37" i="21"/>
  <c r="D37" i="21"/>
  <c r="L36" i="21"/>
  <c r="K36" i="21"/>
  <c r="J36" i="21"/>
  <c r="I36" i="21"/>
  <c r="G36" i="21"/>
  <c r="F36" i="21"/>
  <c r="E36" i="21"/>
  <c r="D36" i="21"/>
  <c r="L35" i="21"/>
  <c r="K35" i="21"/>
  <c r="J35" i="21"/>
  <c r="I35" i="21"/>
  <c r="G35" i="21"/>
  <c r="F35" i="21"/>
  <c r="E35" i="21"/>
  <c r="D35" i="21"/>
  <c r="L34" i="21"/>
  <c r="K34" i="21"/>
  <c r="J34" i="21"/>
  <c r="I34" i="21"/>
  <c r="G34" i="21"/>
  <c r="F34" i="21"/>
  <c r="E34" i="21"/>
  <c r="D34" i="21"/>
  <c r="L33" i="21"/>
  <c r="K33" i="21"/>
  <c r="J33" i="21"/>
  <c r="I33" i="21"/>
  <c r="G33" i="21"/>
  <c r="F33" i="21"/>
  <c r="E33" i="21"/>
  <c r="D33" i="21"/>
  <c r="L32" i="21"/>
  <c r="K32" i="21"/>
  <c r="J32" i="21"/>
  <c r="I32" i="21"/>
  <c r="G32" i="21"/>
  <c r="F32" i="21"/>
  <c r="E32" i="21"/>
  <c r="D32" i="21"/>
  <c r="L31" i="21"/>
  <c r="K31" i="21"/>
  <c r="J31" i="21"/>
  <c r="I31" i="21"/>
  <c r="G31" i="21"/>
  <c r="F31" i="21"/>
  <c r="E31" i="21"/>
  <c r="D31" i="21"/>
  <c r="L30" i="21"/>
  <c r="K30" i="21"/>
  <c r="J30" i="21"/>
  <c r="I30" i="21"/>
  <c r="G30" i="21"/>
  <c r="F30" i="21"/>
  <c r="E30" i="21"/>
  <c r="D30" i="21"/>
  <c r="L29" i="21"/>
  <c r="K29" i="21"/>
  <c r="J29" i="21"/>
  <c r="I29" i="21"/>
  <c r="G29" i="21"/>
  <c r="F29" i="21"/>
  <c r="E29" i="21"/>
  <c r="D29" i="21"/>
  <c r="L28" i="21"/>
  <c r="K28" i="21"/>
  <c r="J28" i="21"/>
  <c r="I28" i="21"/>
  <c r="G28" i="21"/>
  <c r="F28" i="21"/>
  <c r="E28" i="21"/>
  <c r="D28" i="21"/>
  <c r="L27" i="21"/>
  <c r="K27" i="21"/>
  <c r="J27" i="21"/>
  <c r="I27" i="21"/>
  <c r="G27" i="21"/>
  <c r="F27" i="21"/>
  <c r="E27" i="21"/>
  <c r="D27" i="21"/>
  <c r="L26" i="21"/>
  <c r="K26" i="21"/>
  <c r="J26" i="21"/>
  <c r="I26" i="21"/>
  <c r="G26" i="21"/>
  <c r="F26" i="21"/>
  <c r="E26" i="21"/>
  <c r="D26" i="21"/>
  <c r="L25" i="21"/>
  <c r="K25" i="21"/>
  <c r="J25" i="21"/>
  <c r="I25" i="21"/>
  <c r="G25" i="21"/>
  <c r="F25" i="21"/>
  <c r="E25" i="21"/>
  <c r="D25" i="21"/>
  <c r="L24" i="21"/>
  <c r="K24" i="21"/>
  <c r="J24" i="21"/>
  <c r="I24" i="21"/>
  <c r="G24" i="21"/>
  <c r="F24" i="21"/>
  <c r="E24" i="21"/>
  <c r="D24" i="21"/>
  <c r="L23" i="21"/>
  <c r="K23" i="21"/>
  <c r="J23" i="21"/>
  <c r="I23" i="21"/>
  <c r="G23" i="21"/>
  <c r="F23" i="21"/>
  <c r="E23" i="21"/>
  <c r="D23" i="21"/>
  <c r="L22" i="21"/>
  <c r="K22" i="21"/>
  <c r="J22" i="21"/>
  <c r="I22" i="21"/>
  <c r="G22" i="21"/>
  <c r="F22" i="21"/>
  <c r="E22" i="21"/>
  <c r="D22" i="21"/>
  <c r="L21" i="21"/>
  <c r="K21" i="21"/>
  <c r="J21" i="21"/>
  <c r="I21" i="21"/>
  <c r="G21" i="21"/>
  <c r="F21" i="21"/>
  <c r="E21" i="21"/>
  <c r="D21" i="21"/>
  <c r="L20" i="21"/>
  <c r="K20" i="21"/>
  <c r="J20" i="21"/>
  <c r="I20" i="21"/>
  <c r="G20" i="21"/>
  <c r="F20" i="21"/>
  <c r="E20" i="21"/>
  <c r="D20" i="21"/>
  <c r="L19" i="21"/>
  <c r="K19" i="21"/>
  <c r="J19" i="21"/>
  <c r="I19" i="21"/>
  <c r="G19" i="21"/>
  <c r="F19" i="21"/>
  <c r="E19" i="21"/>
  <c r="D19" i="21"/>
  <c r="L18" i="21"/>
  <c r="K18" i="21"/>
  <c r="J18" i="21"/>
  <c r="I18" i="21"/>
  <c r="G18" i="21"/>
  <c r="F18" i="21"/>
  <c r="E18" i="21"/>
  <c r="D18" i="21"/>
  <c r="L17" i="21"/>
  <c r="K17" i="21"/>
  <c r="J17" i="21"/>
  <c r="I17" i="21"/>
  <c r="G17" i="21"/>
  <c r="F17" i="21"/>
  <c r="E17" i="21"/>
  <c r="D17" i="21"/>
  <c r="L16" i="21"/>
  <c r="K16" i="21"/>
  <c r="J16" i="21"/>
  <c r="I16" i="21"/>
  <c r="G16" i="21"/>
  <c r="F16" i="21"/>
  <c r="E16" i="21"/>
  <c r="D16" i="21"/>
  <c r="L15" i="21"/>
  <c r="K15" i="21"/>
  <c r="J15" i="21"/>
  <c r="I15" i="21"/>
  <c r="G15" i="21"/>
  <c r="F15" i="21"/>
  <c r="E15" i="21"/>
  <c r="D15" i="21"/>
  <c r="L14" i="21"/>
  <c r="K14" i="21"/>
  <c r="J14" i="21"/>
  <c r="I14" i="21"/>
  <c r="G14" i="21"/>
  <c r="F14" i="21"/>
  <c r="E14" i="21"/>
  <c r="D14" i="21"/>
  <c r="L13" i="21"/>
  <c r="K13" i="21"/>
  <c r="J13" i="21"/>
  <c r="I13" i="21"/>
  <c r="G13" i="21"/>
  <c r="F13" i="21"/>
  <c r="E13" i="21"/>
  <c r="D13" i="21"/>
  <c r="L12" i="21"/>
  <c r="K12" i="21"/>
  <c r="J12" i="21"/>
  <c r="I12" i="21"/>
  <c r="G12" i="21"/>
  <c r="F12" i="21"/>
  <c r="E12" i="21"/>
  <c r="D12" i="21"/>
  <c r="L11" i="21"/>
  <c r="K11" i="21"/>
  <c r="J11" i="21"/>
  <c r="I11" i="21"/>
  <c r="G11" i="21"/>
  <c r="F11" i="21"/>
  <c r="E11" i="21"/>
  <c r="D11" i="21"/>
  <c r="L10" i="21"/>
  <c r="K10" i="21"/>
  <c r="J10" i="21"/>
  <c r="I10" i="21"/>
  <c r="G10" i="21"/>
  <c r="F10" i="21"/>
  <c r="E10" i="21"/>
  <c r="D10" i="21"/>
  <c r="L67" i="13"/>
  <c r="K67" i="13"/>
  <c r="J67" i="13"/>
  <c r="I67" i="13"/>
  <c r="G67" i="13"/>
  <c r="F67" i="13"/>
  <c r="E67" i="13"/>
  <c r="D67" i="13"/>
  <c r="L66" i="13"/>
  <c r="K66" i="13"/>
  <c r="J66" i="13"/>
  <c r="I66" i="13"/>
  <c r="G66" i="13"/>
  <c r="F66" i="13"/>
  <c r="E66" i="13"/>
  <c r="D66" i="13"/>
  <c r="L65" i="13"/>
  <c r="K65" i="13"/>
  <c r="J65" i="13"/>
  <c r="I65" i="13"/>
  <c r="G65" i="13"/>
  <c r="F65" i="13"/>
  <c r="E65" i="13"/>
  <c r="D65" i="13"/>
  <c r="L64" i="13"/>
  <c r="K64" i="13"/>
  <c r="J64" i="13"/>
  <c r="I64" i="13"/>
  <c r="G64" i="13"/>
  <c r="F64" i="13"/>
  <c r="E64" i="13"/>
  <c r="D64" i="13"/>
  <c r="L63" i="13"/>
  <c r="K63" i="13"/>
  <c r="J63" i="13"/>
  <c r="I63" i="13"/>
  <c r="G63" i="13"/>
  <c r="F63" i="13"/>
  <c r="E63" i="13"/>
  <c r="D63" i="13"/>
  <c r="L62" i="13"/>
  <c r="K62" i="13"/>
  <c r="J62" i="13"/>
  <c r="I62" i="13"/>
  <c r="G62" i="13"/>
  <c r="F62" i="13"/>
  <c r="E62" i="13"/>
  <c r="D62" i="13"/>
  <c r="L61" i="13"/>
  <c r="K61" i="13"/>
  <c r="J61" i="13"/>
  <c r="I61" i="13"/>
  <c r="G61" i="13"/>
  <c r="F61" i="13"/>
  <c r="E61" i="13"/>
  <c r="D61" i="13"/>
  <c r="L60" i="13"/>
  <c r="K60" i="13"/>
  <c r="J60" i="13"/>
  <c r="I60" i="13"/>
  <c r="G60" i="13"/>
  <c r="F60" i="13"/>
  <c r="E60" i="13"/>
  <c r="D60" i="13"/>
  <c r="L59" i="13"/>
  <c r="K59" i="13"/>
  <c r="J59" i="13"/>
  <c r="I59" i="13"/>
  <c r="G59" i="13"/>
  <c r="F59" i="13"/>
  <c r="E59" i="13"/>
  <c r="D59" i="13"/>
  <c r="L58" i="13"/>
  <c r="K58" i="13"/>
  <c r="J58" i="13"/>
  <c r="I58" i="13"/>
  <c r="G58" i="13"/>
  <c r="F58" i="13"/>
  <c r="E58" i="13"/>
  <c r="D58" i="13"/>
  <c r="L57" i="13"/>
  <c r="K57" i="13"/>
  <c r="J57" i="13"/>
  <c r="I57" i="13"/>
  <c r="G57" i="13"/>
  <c r="F57" i="13"/>
  <c r="E57" i="13"/>
  <c r="D57" i="13"/>
  <c r="L56" i="13"/>
  <c r="K56" i="13"/>
  <c r="J56" i="13"/>
  <c r="I56" i="13"/>
  <c r="G56" i="13"/>
  <c r="F56" i="13"/>
  <c r="E56" i="13"/>
  <c r="D56" i="13"/>
  <c r="L55" i="13"/>
  <c r="K55" i="13"/>
  <c r="J55" i="13"/>
  <c r="I55" i="13"/>
  <c r="G55" i="13"/>
  <c r="F55" i="13"/>
  <c r="E55" i="13"/>
  <c r="D55" i="13"/>
  <c r="L54" i="13"/>
  <c r="K54" i="13"/>
  <c r="J54" i="13"/>
  <c r="I54" i="13"/>
  <c r="G54" i="13"/>
  <c r="F54" i="13"/>
  <c r="E54" i="13"/>
  <c r="D54" i="13"/>
  <c r="L53" i="13"/>
  <c r="K53" i="13"/>
  <c r="J53" i="13"/>
  <c r="I53" i="13"/>
  <c r="G53" i="13"/>
  <c r="F53" i="13"/>
  <c r="E53" i="13"/>
  <c r="D53" i="13"/>
  <c r="L52" i="13"/>
  <c r="K52" i="13"/>
  <c r="J52" i="13"/>
  <c r="I52" i="13"/>
  <c r="G52" i="13"/>
  <c r="F52" i="13"/>
  <c r="E52" i="13"/>
  <c r="D52" i="13"/>
  <c r="L51" i="13"/>
  <c r="K51" i="13"/>
  <c r="J51" i="13"/>
  <c r="I51" i="13"/>
  <c r="G51" i="13"/>
  <c r="F51" i="13"/>
  <c r="E51" i="13"/>
  <c r="D51" i="13"/>
  <c r="L50" i="13"/>
  <c r="K50" i="13"/>
  <c r="J50" i="13"/>
  <c r="I50" i="13"/>
  <c r="G50" i="13"/>
  <c r="F50" i="13"/>
  <c r="E50" i="13"/>
  <c r="D50" i="13"/>
  <c r="L49" i="13"/>
  <c r="K49" i="13"/>
  <c r="J49" i="13"/>
  <c r="I49" i="13"/>
  <c r="G49" i="13"/>
  <c r="F49" i="13"/>
  <c r="E49" i="13"/>
  <c r="D49" i="13"/>
  <c r="L48" i="13"/>
  <c r="K48" i="13"/>
  <c r="J48" i="13"/>
  <c r="I48" i="13"/>
  <c r="G48" i="13"/>
  <c r="F48" i="13"/>
  <c r="E48" i="13"/>
  <c r="D48" i="13"/>
  <c r="L47" i="13"/>
  <c r="K47" i="13"/>
  <c r="J47" i="13"/>
  <c r="I47" i="13"/>
  <c r="G47" i="13"/>
  <c r="F47" i="13"/>
  <c r="E47" i="13"/>
  <c r="D47" i="13"/>
  <c r="L46" i="13"/>
  <c r="K46" i="13"/>
  <c r="J46" i="13"/>
  <c r="I46" i="13"/>
  <c r="G46" i="13"/>
  <c r="F46" i="13"/>
  <c r="E46" i="13"/>
  <c r="D46" i="13"/>
  <c r="L45" i="13"/>
  <c r="K45" i="13"/>
  <c r="J45" i="13"/>
  <c r="I45" i="13"/>
  <c r="G45" i="13"/>
  <c r="F45" i="13"/>
  <c r="E45" i="13"/>
  <c r="D45" i="13"/>
  <c r="L44" i="13"/>
  <c r="K44" i="13"/>
  <c r="J44" i="13"/>
  <c r="I44" i="13"/>
  <c r="G44" i="13"/>
  <c r="F44" i="13"/>
  <c r="E44" i="13"/>
  <c r="D44" i="13"/>
  <c r="L43" i="13"/>
  <c r="K43" i="13"/>
  <c r="J43" i="13"/>
  <c r="I43" i="13"/>
  <c r="G43" i="13"/>
  <c r="F43" i="13"/>
  <c r="E43" i="13"/>
  <c r="D43" i="13"/>
  <c r="L42" i="13"/>
  <c r="K42" i="13"/>
  <c r="J42" i="13"/>
  <c r="I42" i="13"/>
  <c r="G42" i="13"/>
  <c r="F42" i="13"/>
  <c r="E42" i="13"/>
  <c r="D42" i="13"/>
  <c r="L41" i="13"/>
  <c r="K41" i="13"/>
  <c r="J41" i="13"/>
  <c r="I41" i="13"/>
  <c r="G41" i="13"/>
  <c r="F41" i="13"/>
  <c r="E41" i="13"/>
  <c r="D41" i="13"/>
  <c r="L40" i="13"/>
  <c r="K40" i="13"/>
  <c r="J40" i="13"/>
  <c r="I40" i="13"/>
  <c r="G40" i="13"/>
  <c r="F40" i="13"/>
  <c r="E40" i="13"/>
  <c r="D40" i="13"/>
  <c r="L39" i="13"/>
  <c r="K39" i="13"/>
  <c r="J39" i="13"/>
  <c r="I39" i="13"/>
  <c r="G39" i="13"/>
  <c r="F39" i="13"/>
  <c r="E39" i="13"/>
  <c r="D39" i="13"/>
  <c r="L38" i="13"/>
  <c r="K38" i="13"/>
  <c r="J38" i="13"/>
  <c r="I38" i="13"/>
  <c r="G38" i="13"/>
  <c r="F38" i="13"/>
  <c r="E38" i="13"/>
  <c r="D38" i="13"/>
  <c r="L37" i="13"/>
  <c r="K37" i="13"/>
  <c r="J37" i="13"/>
  <c r="I37" i="13"/>
  <c r="G37" i="13"/>
  <c r="F37" i="13"/>
  <c r="E37" i="13"/>
  <c r="D37" i="13"/>
  <c r="L36" i="13"/>
  <c r="K36" i="13"/>
  <c r="J36" i="13"/>
  <c r="I36" i="13"/>
  <c r="G36" i="13"/>
  <c r="F36" i="13"/>
  <c r="E36" i="13"/>
  <c r="D36" i="13"/>
  <c r="L35" i="13"/>
  <c r="K35" i="13"/>
  <c r="J35" i="13"/>
  <c r="I35" i="13"/>
  <c r="G35" i="13"/>
  <c r="F35" i="13"/>
  <c r="E35" i="13"/>
  <c r="D35" i="13"/>
  <c r="L34" i="13"/>
  <c r="K34" i="13"/>
  <c r="J34" i="13"/>
  <c r="I34" i="13"/>
  <c r="G34" i="13"/>
  <c r="F34" i="13"/>
  <c r="E34" i="13"/>
  <c r="D34" i="13"/>
  <c r="L33" i="13"/>
  <c r="K33" i="13"/>
  <c r="J33" i="13"/>
  <c r="I33" i="13"/>
  <c r="G33" i="13"/>
  <c r="F33" i="13"/>
  <c r="E33" i="13"/>
  <c r="D33" i="13"/>
  <c r="L32" i="13"/>
  <c r="K32" i="13"/>
  <c r="J32" i="13"/>
  <c r="I32" i="13"/>
  <c r="G32" i="13"/>
  <c r="F32" i="13"/>
  <c r="E32" i="13"/>
  <c r="D32" i="13"/>
  <c r="L31" i="13"/>
  <c r="K31" i="13"/>
  <c r="J31" i="13"/>
  <c r="I31" i="13"/>
  <c r="G31" i="13"/>
  <c r="F31" i="13"/>
  <c r="E31" i="13"/>
  <c r="D31" i="13"/>
  <c r="L30" i="13"/>
  <c r="K30" i="13"/>
  <c r="J30" i="13"/>
  <c r="I30" i="13"/>
  <c r="G30" i="13"/>
  <c r="F30" i="13"/>
  <c r="E30" i="13"/>
  <c r="D30" i="13"/>
  <c r="L29" i="13"/>
  <c r="K29" i="13"/>
  <c r="J29" i="13"/>
  <c r="I29" i="13"/>
  <c r="G29" i="13"/>
  <c r="F29" i="13"/>
  <c r="E29" i="13"/>
  <c r="D29" i="13"/>
  <c r="L28" i="13"/>
  <c r="K28" i="13"/>
  <c r="J28" i="13"/>
  <c r="I28" i="13"/>
  <c r="G28" i="13"/>
  <c r="F28" i="13"/>
  <c r="E28" i="13"/>
  <c r="D28" i="13"/>
  <c r="L27" i="13"/>
  <c r="K27" i="13"/>
  <c r="J27" i="13"/>
  <c r="I27" i="13"/>
  <c r="G27" i="13"/>
  <c r="F27" i="13"/>
  <c r="E27" i="13"/>
  <c r="D27" i="13"/>
  <c r="L26" i="13"/>
  <c r="K26" i="13"/>
  <c r="J26" i="13"/>
  <c r="I26" i="13"/>
  <c r="G26" i="13"/>
  <c r="F26" i="13"/>
  <c r="E26" i="13"/>
  <c r="D26" i="13"/>
  <c r="L25" i="13"/>
  <c r="K25" i="13"/>
  <c r="J25" i="13"/>
  <c r="I25" i="13"/>
  <c r="G25" i="13"/>
  <c r="F25" i="13"/>
  <c r="E25" i="13"/>
  <c r="D25" i="13"/>
  <c r="L24" i="13"/>
  <c r="K24" i="13"/>
  <c r="J24" i="13"/>
  <c r="I24" i="13"/>
  <c r="G24" i="13"/>
  <c r="F24" i="13"/>
  <c r="E24" i="13"/>
  <c r="D24" i="13"/>
  <c r="L23" i="13"/>
  <c r="K23" i="13"/>
  <c r="J23" i="13"/>
  <c r="I23" i="13"/>
  <c r="G23" i="13"/>
  <c r="F23" i="13"/>
  <c r="E23" i="13"/>
  <c r="D23" i="13"/>
  <c r="L22" i="13"/>
  <c r="K22" i="13"/>
  <c r="J22" i="13"/>
  <c r="I22" i="13"/>
  <c r="G22" i="13"/>
  <c r="F22" i="13"/>
  <c r="E22" i="13"/>
  <c r="D22" i="13"/>
  <c r="L21" i="13"/>
  <c r="K21" i="13"/>
  <c r="J21" i="13"/>
  <c r="I21" i="13"/>
  <c r="G21" i="13"/>
  <c r="F21" i="13"/>
  <c r="E21" i="13"/>
  <c r="D21" i="13"/>
  <c r="L20" i="13"/>
  <c r="K20" i="13"/>
  <c r="J20" i="13"/>
  <c r="I20" i="13"/>
  <c r="G20" i="13"/>
  <c r="F20" i="13"/>
  <c r="E20" i="13"/>
  <c r="D20" i="13"/>
  <c r="L19" i="13"/>
  <c r="K19" i="13"/>
  <c r="J19" i="13"/>
  <c r="I19" i="13"/>
  <c r="G19" i="13"/>
  <c r="F19" i="13"/>
  <c r="E19" i="13"/>
  <c r="D19" i="13"/>
  <c r="L18" i="13"/>
  <c r="K18" i="13"/>
  <c r="J18" i="13"/>
  <c r="I18" i="13"/>
  <c r="G18" i="13"/>
  <c r="F18" i="13"/>
  <c r="E18" i="13"/>
  <c r="D18" i="13"/>
  <c r="L17" i="13"/>
  <c r="K17" i="13"/>
  <c r="J17" i="13"/>
  <c r="I17" i="13"/>
  <c r="G17" i="13"/>
  <c r="F17" i="13"/>
  <c r="E17" i="13"/>
  <c r="D17" i="13"/>
  <c r="L16" i="13"/>
  <c r="K16" i="13"/>
  <c r="J16" i="13"/>
  <c r="I16" i="13"/>
  <c r="G16" i="13"/>
  <c r="F16" i="13"/>
  <c r="E16" i="13"/>
  <c r="D16" i="13"/>
  <c r="L15" i="13"/>
  <c r="K15" i="13"/>
  <c r="J15" i="13"/>
  <c r="I15" i="13"/>
  <c r="G15" i="13"/>
  <c r="F15" i="13"/>
  <c r="E15" i="13"/>
  <c r="D15" i="13"/>
  <c r="L14" i="13"/>
  <c r="K14" i="13"/>
  <c r="J14" i="13"/>
  <c r="I14" i="13"/>
  <c r="G14" i="13"/>
  <c r="F14" i="13"/>
  <c r="E14" i="13"/>
  <c r="D14" i="13"/>
  <c r="L13" i="13"/>
  <c r="K13" i="13"/>
  <c r="J13" i="13"/>
  <c r="I13" i="13"/>
  <c r="G13" i="13"/>
  <c r="F13" i="13"/>
  <c r="E13" i="13"/>
  <c r="D13" i="13"/>
  <c r="L12" i="13"/>
  <c r="K12" i="13"/>
  <c r="J12" i="13"/>
  <c r="I12" i="13"/>
  <c r="G12" i="13"/>
  <c r="F12" i="13"/>
  <c r="E12" i="13"/>
  <c r="D12" i="13"/>
  <c r="L11" i="13"/>
  <c r="K11" i="13"/>
  <c r="J11" i="13"/>
  <c r="I11" i="13"/>
  <c r="G11" i="13"/>
  <c r="F11" i="13"/>
  <c r="E11" i="13"/>
  <c r="D11" i="13"/>
  <c r="L10" i="13"/>
  <c r="K10" i="13"/>
  <c r="J10" i="13"/>
  <c r="I10" i="13"/>
  <c r="G10" i="13"/>
  <c r="F10" i="13"/>
  <c r="E10" i="13"/>
  <c r="D10" i="13"/>
  <c r="L67" i="23"/>
  <c r="K67" i="23"/>
  <c r="J67" i="23"/>
  <c r="I67" i="23"/>
  <c r="G67" i="23"/>
  <c r="F67" i="23"/>
  <c r="E67" i="23"/>
  <c r="D67" i="23"/>
  <c r="L66" i="23"/>
  <c r="K66" i="23"/>
  <c r="J66" i="23"/>
  <c r="I66" i="23"/>
  <c r="G66" i="23"/>
  <c r="F66" i="23"/>
  <c r="E66" i="23"/>
  <c r="D66" i="23"/>
  <c r="L65" i="23"/>
  <c r="K65" i="23"/>
  <c r="J65" i="23"/>
  <c r="I65" i="23"/>
  <c r="G65" i="23"/>
  <c r="F65" i="23"/>
  <c r="E65" i="23"/>
  <c r="D65" i="23"/>
  <c r="L64" i="23"/>
  <c r="K64" i="23"/>
  <c r="J64" i="23"/>
  <c r="I64" i="23"/>
  <c r="G64" i="23"/>
  <c r="F64" i="23"/>
  <c r="E64" i="23"/>
  <c r="D64" i="23"/>
  <c r="L63" i="23"/>
  <c r="K63" i="23"/>
  <c r="J63" i="23"/>
  <c r="I63" i="23"/>
  <c r="G63" i="23"/>
  <c r="F63" i="23"/>
  <c r="E63" i="23"/>
  <c r="D63" i="23"/>
  <c r="L62" i="23"/>
  <c r="K62" i="23"/>
  <c r="J62" i="23"/>
  <c r="I62" i="23"/>
  <c r="G62" i="23"/>
  <c r="F62" i="23"/>
  <c r="E62" i="23"/>
  <c r="D62" i="23"/>
  <c r="L61" i="23"/>
  <c r="K61" i="23"/>
  <c r="J61" i="23"/>
  <c r="I61" i="23"/>
  <c r="G61" i="23"/>
  <c r="F61" i="23"/>
  <c r="E61" i="23"/>
  <c r="D61" i="23"/>
  <c r="L60" i="23"/>
  <c r="K60" i="23"/>
  <c r="J60" i="23"/>
  <c r="I60" i="23"/>
  <c r="G60" i="23"/>
  <c r="F60" i="23"/>
  <c r="E60" i="23"/>
  <c r="D60" i="23"/>
  <c r="L59" i="23"/>
  <c r="K59" i="23"/>
  <c r="J59" i="23"/>
  <c r="I59" i="23"/>
  <c r="G59" i="23"/>
  <c r="F59" i="23"/>
  <c r="E59" i="23"/>
  <c r="D59" i="23"/>
  <c r="L58" i="23"/>
  <c r="K58" i="23"/>
  <c r="J58" i="23"/>
  <c r="I58" i="23"/>
  <c r="G58" i="23"/>
  <c r="F58" i="23"/>
  <c r="E58" i="23"/>
  <c r="D58" i="23"/>
  <c r="L57" i="23"/>
  <c r="K57" i="23"/>
  <c r="J57" i="23"/>
  <c r="I57" i="23"/>
  <c r="G57" i="23"/>
  <c r="F57" i="23"/>
  <c r="E57" i="23"/>
  <c r="D57" i="23"/>
  <c r="L56" i="23"/>
  <c r="K56" i="23"/>
  <c r="J56" i="23"/>
  <c r="I56" i="23"/>
  <c r="G56" i="23"/>
  <c r="F56" i="23"/>
  <c r="E56" i="23"/>
  <c r="D56" i="23"/>
  <c r="L55" i="23"/>
  <c r="K55" i="23"/>
  <c r="J55" i="23"/>
  <c r="I55" i="23"/>
  <c r="G55" i="23"/>
  <c r="F55" i="23"/>
  <c r="E55" i="23"/>
  <c r="D55" i="23"/>
  <c r="L54" i="23"/>
  <c r="K54" i="23"/>
  <c r="J54" i="23"/>
  <c r="I54" i="23"/>
  <c r="G54" i="23"/>
  <c r="F54" i="23"/>
  <c r="E54" i="23"/>
  <c r="D54" i="23"/>
  <c r="L53" i="23"/>
  <c r="K53" i="23"/>
  <c r="J53" i="23"/>
  <c r="I53" i="23"/>
  <c r="G53" i="23"/>
  <c r="F53" i="23"/>
  <c r="E53" i="23"/>
  <c r="D53" i="23"/>
  <c r="L52" i="23"/>
  <c r="K52" i="23"/>
  <c r="J52" i="23"/>
  <c r="I52" i="23"/>
  <c r="G52" i="23"/>
  <c r="F52" i="23"/>
  <c r="E52" i="23"/>
  <c r="D52" i="23"/>
  <c r="L51" i="23"/>
  <c r="K51" i="23"/>
  <c r="J51" i="23"/>
  <c r="I51" i="23"/>
  <c r="G51" i="23"/>
  <c r="F51" i="23"/>
  <c r="E51" i="23"/>
  <c r="D51" i="23"/>
  <c r="L50" i="23"/>
  <c r="K50" i="23"/>
  <c r="J50" i="23"/>
  <c r="I50" i="23"/>
  <c r="G50" i="23"/>
  <c r="F50" i="23"/>
  <c r="E50" i="23"/>
  <c r="D50" i="23"/>
  <c r="L49" i="23"/>
  <c r="K49" i="23"/>
  <c r="J49" i="23"/>
  <c r="I49" i="23"/>
  <c r="G49" i="23"/>
  <c r="F49" i="23"/>
  <c r="E49" i="23"/>
  <c r="D49" i="23"/>
  <c r="L48" i="23"/>
  <c r="K48" i="23"/>
  <c r="J48" i="23"/>
  <c r="I48" i="23"/>
  <c r="G48" i="23"/>
  <c r="F48" i="23"/>
  <c r="E48" i="23"/>
  <c r="D48" i="23"/>
  <c r="L47" i="23"/>
  <c r="K47" i="23"/>
  <c r="J47" i="23"/>
  <c r="I47" i="23"/>
  <c r="G47" i="23"/>
  <c r="F47" i="23"/>
  <c r="E47" i="23"/>
  <c r="D47" i="23"/>
  <c r="L46" i="23"/>
  <c r="K46" i="23"/>
  <c r="J46" i="23"/>
  <c r="I46" i="23"/>
  <c r="G46" i="23"/>
  <c r="F46" i="23"/>
  <c r="E46" i="23"/>
  <c r="D46" i="23"/>
  <c r="L45" i="23"/>
  <c r="K45" i="23"/>
  <c r="J45" i="23"/>
  <c r="I45" i="23"/>
  <c r="G45" i="23"/>
  <c r="F45" i="23"/>
  <c r="E45" i="23"/>
  <c r="D45" i="23"/>
  <c r="L44" i="23"/>
  <c r="K44" i="23"/>
  <c r="J44" i="23"/>
  <c r="I44" i="23"/>
  <c r="G44" i="23"/>
  <c r="F44" i="23"/>
  <c r="E44" i="23"/>
  <c r="D44" i="23"/>
  <c r="L43" i="23"/>
  <c r="K43" i="23"/>
  <c r="J43" i="23"/>
  <c r="I43" i="23"/>
  <c r="G43" i="23"/>
  <c r="F43" i="23"/>
  <c r="E43" i="23"/>
  <c r="D43" i="23"/>
  <c r="L42" i="23"/>
  <c r="K42" i="23"/>
  <c r="J42" i="23"/>
  <c r="I42" i="23"/>
  <c r="G42" i="23"/>
  <c r="F42" i="23"/>
  <c r="E42" i="23"/>
  <c r="D42" i="23"/>
  <c r="L41" i="23"/>
  <c r="K41" i="23"/>
  <c r="J41" i="23"/>
  <c r="I41" i="23"/>
  <c r="G41" i="23"/>
  <c r="F41" i="23"/>
  <c r="E41" i="23"/>
  <c r="D41" i="23"/>
  <c r="L40" i="23"/>
  <c r="K40" i="23"/>
  <c r="J40" i="23"/>
  <c r="I40" i="23"/>
  <c r="G40" i="23"/>
  <c r="F40" i="23"/>
  <c r="E40" i="23"/>
  <c r="D40" i="23"/>
  <c r="L39" i="23"/>
  <c r="K39" i="23"/>
  <c r="J39" i="23"/>
  <c r="I39" i="23"/>
  <c r="G39" i="23"/>
  <c r="F39" i="23"/>
  <c r="E39" i="23"/>
  <c r="D39" i="23"/>
  <c r="L38" i="23"/>
  <c r="K38" i="23"/>
  <c r="J38" i="23"/>
  <c r="I38" i="23"/>
  <c r="G38" i="23"/>
  <c r="F38" i="23"/>
  <c r="E38" i="23"/>
  <c r="D38" i="23"/>
  <c r="L37" i="23"/>
  <c r="K37" i="23"/>
  <c r="J37" i="23"/>
  <c r="I37" i="23"/>
  <c r="G37" i="23"/>
  <c r="F37" i="23"/>
  <c r="E37" i="23"/>
  <c r="D37" i="23"/>
  <c r="L36" i="23"/>
  <c r="K36" i="23"/>
  <c r="J36" i="23"/>
  <c r="I36" i="23"/>
  <c r="G36" i="23"/>
  <c r="F36" i="23"/>
  <c r="E36" i="23"/>
  <c r="D36" i="23"/>
  <c r="L35" i="23"/>
  <c r="K35" i="23"/>
  <c r="J35" i="23"/>
  <c r="I35" i="23"/>
  <c r="G35" i="23"/>
  <c r="F35" i="23"/>
  <c r="E35" i="23"/>
  <c r="D35" i="23"/>
  <c r="L34" i="23"/>
  <c r="K34" i="23"/>
  <c r="J34" i="23"/>
  <c r="I34" i="23"/>
  <c r="G34" i="23"/>
  <c r="F34" i="23"/>
  <c r="E34" i="23"/>
  <c r="D34" i="23"/>
  <c r="L33" i="23"/>
  <c r="K33" i="23"/>
  <c r="J33" i="23"/>
  <c r="I33" i="23"/>
  <c r="G33" i="23"/>
  <c r="F33" i="23"/>
  <c r="E33" i="23"/>
  <c r="D33" i="23"/>
  <c r="L32" i="23"/>
  <c r="K32" i="23"/>
  <c r="J32" i="23"/>
  <c r="I32" i="23"/>
  <c r="G32" i="23"/>
  <c r="F32" i="23"/>
  <c r="E32" i="23"/>
  <c r="D32" i="23"/>
  <c r="L31" i="23"/>
  <c r="K31" i="23"/>
  <c r="J31" i="23"/>
  <c r="I31" i="23"/>
  <c r="G31" i="23"/>
  <c r="F31" i="23"/>
  <c r="E31" i="23"/>
  <c r="D31" i="23"/>
  <c r="L30" i="23"/>
  <c r="K30" i="23"/>
  <c r="J30" i="23"/>
  <c r="I30" i="23"/>
  <c r="G30" i="23"/>
  <c r="F30" i="23"/>
  <c r="E30" i="23"/>
  <c r="D30" i="23"/>
  <c r="L29" i="23"/>
  <c r="K29" i="23"/>
  <c r="J29" i="23"/>
  <c r="I29" i="23"/>
  <c r="G29" i="23"/>
  <c r="F29" i="23"/>
  <c r="E29" i="23"/>
  <c r="D29" i="23"/>
  <c r="L28" i="23"/>
  <c r="K28" i="23"/>
  <c r="J28" i="23"/>
  <c r="I28" i="23"/>
  <c r="G28" i="23"/>
  <c r="F28" i="23"/>
  <c r="E28" i="23"/>
  <c r="D28" i="23"/>
  <c r="L27" i="23"/>
  <c r="K27" i="23"/>
  <c r="J27" i="23"/>
  <c r="I27" i="23"/>
  <c r="G27" i="23"/>
  <c r="F27" i="23"/>
  <c r="E27" i="23"/>
  <c r="D27" i="23"/>
  <c r="L26" i="23"/>
  <c r="K26" i="23"/>
  <c r="J26" i="23"/>
  <c r="I26" i="23"/>
  <c r="G26" i="23"/>
  <c r="F26" i="23"/>
  <c r="E26" i="23"/>
  <c r="D26" i="23"/>
  <c r="L25" i="23"/>
  <c r="K25" i="23"/>
  <c r="J25" i="23"/>
  <c r="I25" i="23"/>
  <c r="G25" i="23"/>
  <c r="F25" i="23"/>
  <c r="E25" i="23"/>
  <c r="D25" i="23"/>
  <c r="L24" i="23"/>
  <c r="K24" i="23"/>
  <c r="J24" i="23"/>
  <c r="I24" i="23"/>
  <c r="G24" i="23"/>
  <c r="F24" i="23"/>
  <c r="E24" i="23"/>
  <c r="D24" i="23"/>
  <c r="L23" i="23"/>
  <c r="K23" i="23"/>
  <c r="J23" i="23"/>
  <c r="I23" i="23"/>
  <c r="G23" i="23"/>
  <c r="F23" i="23"/>
  <c r="E23" i="23"/>
  <c r="D23" i="23"/>
  <c r="L22" i="23"/>
  <c r="K22" i="23"/>
  <c r="J22" i="23"/>
  <c r="I22" i="23"/>
  <c r="G22" i="23"/>
  <c r="F22" i="23"/>
  <c r="E22" i="23"/>
  <c r="D22" i="23"/>
  <c r="L21" i="23"/>
  <c r="K21" i="23"/>
  <c r="J21" i="23"/>
  <c r="I21" i="23"/>
  <c r="G21" i="23"/>
  <c r="F21" i="23"/>
  <c r="E21" i="23"/>
  <c r="D21" i="23"/>
  <c r="L20" i="23"/>
  <c r="K20" i="23"/>
  <c r="J20" i="23"/>
  <c r="I20" i="23"/>
  <c r="G20" i="23"/>
  <c r="F20" i="23"/>
  <c r="E20" i="23"/>
  <c r="D20" i="23"/>
  <c r="L19" i="23"/>
  <c r="K19" i="23"/>
  <c r="J19" i="23"/>
  <c r="I19" i="23"/>
  <c r="G19" i="23"/>
  <c r="F19" i="23"/>
  <c r="E19" i="23"/>
  <c r="D19" i="23"/>
  <c r="L18" i="23"/>
  <c r="K18" i="23"/>
  <c r="J18" i="23"/>
  <c r="I18" i="23"/>
  <c r="G18" i="23"/>
  <c r="F18" i="23"/>
  <c r="E18" i="23"/>
  <c r="D18" i="23"/>
  <c r="L17" i="23"/>
  <c r="K17" i="23"/>
  <c r="J17" i="23"/>
  <c r="I17" i="23"/>
  <c r="G17" i="23"/>
  <c r="F17" i="23"/>
  <c r="E17" i="23"/>
  <c r="D17" i="23"/>
  <c r="L16" i="23"/>
  <c r="K16" i="23"/>
  <c r="J16" i="23"/>
  <c r="I16" i="23"/>
  <c r="G16" i="23"/>
  <c r="F16" i="23"/>
  <c r="E16" i="23"/>
  <c r="D16" i="23"/>
  <c r="L15" i="23"/>
  <c r="K15" i="23"/>
  <c r="J15" i="23"/>
  <c r="I15" i="23"/>
  <c r="G15" i="23"/>
  <c r="F15" i="23"/>
  <c r="E15" i="23"/>
  <c r="D15" i="23"/>
  <c r="L14" i="23"/>
  <c r="K14" i="23"/>
  <c r="J14" i="23"/>
  <c r="I14" i="23"/>
  <c r="G14" i="23"/>
  <c r="F14" i="23"/>
  <c r="E14" i="23"/>
  <c r="D14" i="23"/>
  <c r="L13" i="23"/>
  <c r="K13" i="23"/>
  <c r="J13" i="23"/>
  <c r="I13" i="23"/>
  <c r="G13" i="23"/>
  <c r="F13" i="23"/>
  <c r="E13" i="23"/>
  <c r="D13" i="23"/>
  <c r="L12" i="23"/>
  <c r="K12" i="23"/>
  <c r="J12" i="23"/>
  <c r="I12" i="23"/>
  <c r="G12" i="23"/>
  <c r="F12" i="23"/>
  <c r="E12" i="23"/>
  <c r="D12" i="23"/>
  <c r="L11" i="23"/>
  <c r="K11" i="23"/>
  <c r="J11" i="23"/>
  <c r="I11" i="23"/>
  <c r="G11" i="23"/>
  <c r="F11" i="23"/>
  <c r="E11" i="23"/>
  <c r="D11" i="23"/>
  <c r="L10" i="23"/>
  <c r="K10" i="23"/>
  <c r="J10" i="23"/>
  <c r="I10" i="23"/>
  <c r="G10" i="23"/>
  <c r="F10" i="23"/>
  <c r="E10" i="23"/>
  <c r="D10" i="23"/>
  <c r="L67" i="16"/>
  <c r="K67" i="16"/>
  <c r="J67" i="16"/>
  <c r="I67" i="16"/>
  <c r="G67" i="16"/>
  <c r="F67" i="16"/>
  <c r="E67" i="16"/>
  <c r="D67" i="16"/>
  <c r="L66" i="16"/>
  <c r="K66" i="16"/>
  <c r="J66" i="16"/>
  <c r="I66" i="16"/>
  <c r="G66" i="16"/>
  <c r="F66" i="16"/>
  <c r="E66" i="16"/>
  <c r="D66" i="16"/>
  <c r="L65" i="16"/>
  <c r="K65" i="16"/>
  <c r="J65" i="16"/>
  <c r="I65" i="16"/>
  <c r="G65" i="16"/>
  <c r="F65" i="16"/>
  <c r="E65" i="16"/>
  <c r="D65" i="16"/>
  <c r="L64" i="16"/>
  <c r="K64" i="16"/>
  <c r="J64" i="16"/>
  <c r="I64" i="16"/>
  <c r="G64" i="16"/>
  <c r="F64" i="16"/>
  <c r="E64" i="16"/>
  <c r="D64" i="16"/>
  <c r="L63" i="16"/>
  <c r="K63" i="16"/>
  <c r="J63" i="16"/>
  <c r="I63" i="16"/>
  <c r="G63" i="16"/>
  <c r="F63" i="16"/>
  <c r="E63" i="16"/>
  <c r="D63" i="16"/>
  <c r="L62" i="16"/>
  <c r="K62" i="16"/>
  <c r="J62" i="16"/>
  <c r="I62" i="16"/>
  <c r="G62" i="16"/>
  <c r="F62" i="16"/>
  <c r="E62" i="16"/>
  <c r="D62" i="16"/>
  <c r="L61" i="16"/>
  <c r="K61" i="16"/>
  <c r="J61" i="16"/>
  <c r="I61" i="16"/>
  <c r="G61" i="16"/>
  <c r="F61" i="16"/>
  <c r="E61" i="16"/>
  <c r="D61" i="16"/>
  <c r="L60" i="16"/>
  <c r="K60" i="16"/>
  <c r="J60" i="16"/>
  <c r="I60" i="16"/>
  <c r="G60" i="16"/>
  <c r="F60" i="16"/>
  <c r="E60" i="16"/>
  <c r="D60" i="16"/>
  <c r="L59" i="16"/>
  <c r="K59" i="16"/>
  <c r="J59" i="16"/>
  <c r="I59" i="16"/>
  <c r="G59" i="16"/>
  <c r="F59" i="16"/>
  <c r="E59" i="16"/>
  <c r="D59" i="16"/>
  <c r="L58" i="16"/>
  <c r="K58" i="16"/>
  <c r="J58" i="16"/>
  <c r="I58" i="16"/>
  <c r="G58" i="16"/>
  <c r="F58" i="16"/>
  <c r="E58" i="16"/>
  <c r="D58" i="16"/>
  <c r="L57" i="16"/>
  <c r="K57" i="16"/>
  <c r="J57" i="16"/>
  <c r="I57" i="16"/>
  <c r="G57" i="16"/>
  <c r="F57" i="16"/>
  <c r="E57" i="16"/>
  <c r="D57" i="16"/>
  <c r="L56" i="16"/>
  <c r="K56" i="16"/>
  <c r="J56" i="16"/>
  <c r="I56" i="16"/>
  <c r="G56" i="16"/>
  <c r="F56" i="16"/>
  <c r="E56" i="16"/>
  <c r="D56" i="16"/>
  <c r="L55" i="16"/>
  <c r="K55" i="16"/>
  <c r="J55" i="16"/>
  <c r="I55" i="16"/>
  <c r="G55" i="16"/>
  <c r="F55" i="16"/>
  <c r="E55" i="16"/>
  <c r="D55" i="16"/>
  <c r="L54" i="16"/>
  <c r="K54" i="16"/>
  <c r="J54" i="16"/>
  <c r="I54" i="16"/>
  <c r="G54" i="16"/>
  <c r="F54" i="16"/>
  <c r="E54" i="16"/>
  <c r="D54" i="16"/>
  <c r="L53" i="16"/>
  <c r="K53" i="16"/>
  <c r="J53" i="16"/>
  <c r="I53" i="16"/>
  <c r="G53" i="16"/>
  <c r="F53" i="16"/>
  <c r="E53" i="16"/>
  <c r="D53" i="16"/>
  <c r="L52" i="16"/>
  <c r="K52" i="16"/>
  <c r="J52" i="16"/>
  <c r="I52" i="16"/>
  <c r="G52" i="16"/>
  <c r="F52" i="16"/>
  <c r="E52" i="16"/>
  <c r="D52" i="16"/>
  <c r="L51" i="16"/>
  <c r="K51" i="16"/>
  <c r="J51" i="16"/>
  <c r="I51" i="16"/>
  <c r="G51" i="16"/>
  <c r="F51" i="16"/>
  <c r="E51" i="16"/>
  <c r="D51" i="16"/>
  <c r="L50" i="16"/>
  <c r="K50" i="16"/>
  <c r="J50" i="16"/>
  <c r="I50" i="16"/>
  <c r="G50" i="16"/>
  <c r="F50" i="16"/>
  <c r="E50" i="16"/>
  <c r="D50" i="16"/>
  <c r="L49" i="16"/>
  <c r="K49" i="16"/>
  <c r="J49" i="16"/>
  <c r="I49" i="16"/>
  <c r="G49" i="16"/>
  <c r="F49" i="16"/>
  <c r="E49" i="16"/>
  <c r="D49" i="16"/>
  <c r="L48" i="16"/>
  <c r="K48" i="16"/>
  <c r="J48" i="16"/>
  <c r="I48" i="16"/>
  <c r="G48" i="16"/>
  <c r="F48" i="16"/>
  <c r="E48" i="16"/>
  <c r="D48" i="16"/>
  <c r="L47" i="16"/>
  <c r="K47" i="16"/>
  <c r="J47" i="16"/>
  <c r="I47" i="16"/>
  <c r="G47" i="16"/>
  <c r="F47" i="16"/>
  <c r="E47" i="16"/>
  <c r="D47" i="16"/>
  <c r="L46" i="16"/>
  <c r="K46" i="16"/>
  <c r="J46" i="16"/>
  <c r="I46" i="16"/>
  <c r="G46" i="16"/>
  <c r="F46" i="16"/>
  <c r="E46" i="16"/>
  <c r="D46" i="16"/>
  <c r="L45" i="16"/>
  <c r="K45" i="16"/>
  <c r="J45" i="16"/>
  <c r="I45" i="16"/>
  <c r="G45" i="16"/>
  <c r="F45" i="16"/>
  <c r="E45" i="16"/>
  <c r="D45" i="16"/>
  <c r="L44" i="16"/>
  <c r="K44" i="16"/>
  <c r="J44" i="16"/>
  <c r="I44" i="16"/>
  <c r="G44" i="16"/>
  <c r="F44" i="16"/>
  <c r="E44" i="16"/>
  <c r="D44" i="16"/>
  <c r="L43" i="16"/>
  <c r="K43" i="16"/>
  <c r="J43" i="16"/>
  <c r="I43" i="16"/>
  <c r="G43" i="16"/>
  <c r="F43" i="16"/>
  <c r="E43" i="16"/>
  <c r="D43" i="16"/>
  <c r="L42" i="16"/>
  <c r="K42" i="16"/>
  <c r="J42" i="16"/>
  <c r="I42" i="16"/>
  <c r="G42" i="16"/>
  <c r="F42" i="16"/>
  <c r="E42" i="16"/>
  <c r="D42" i="16"/>
  <c r="L41" i="16"/>
  <c r="K41" i="16"/>
  <c r="J41" i="16"/>
  <c r="I41" i="16"/>
  <c r="G41" i="16"/>
  <c r="F41" i="16"/>
  <c r="E41" i="16"/>
  <c r="D41" i="16"/>
  <c r="L40" i="16"/>
  <c r="K40" i="16"/>
  <c r="J40" i="16"/>
  <c r="I40" i="16"/>
  <c r="G40" i="16"/>
  <c r="F40" i="16"/>
  <c r="E40" i="16"/>
  <c r="D40" i="16"/>
  <c r="L39" i="16"/>
  <c r="K39" i="16"/>
  <c r="J39" i="16"/>
  <c r="I39" i="16"/>
  <c r="G39" i="16"/>
  <c r="F39" i="16"/>
  <c r="E39" i="16"/>
  <c r="D39" i="16"/>
  <c r="L38" i="16"/>
  <c r="K38" i="16"/>
  <c r="J38" i="16"/>
  <c r="I38" i="16"/>
  <c r="G38" i="16"/>
  <c r="F38" i="16"/>
  <c r="E38" i="16"/>
  <c r="D38" i="16"/>
  <c r="L37" i="16"/>
  <c r="K37" i="16"/>
  <c r="J37" i="16"/>
  <c r="I37" i="16"/>
  <c r="G37" i="16"/>
  <c r="F37" i="16"/>
  <c r="E37" i="16"/>
  <c r="D37" i="16"/>
  <c r="L36" i="16"/>
  <c r="K36" i="16"/>
  <c r="J36" i="16"/>
  <c r="I36" i="16"/>
  <c r="G36" i="16"/>
  <c r="F36" i="16"/>
  <c r="E36" i="16"/>
  <c r="D36" i="16"/>
  <c r="L35" i="16"/>
  <c r="K35" i="16"/>
  <c r="J35" i="16"/>
  <c r="I35" i="16"/>
  <c r="G35" i="16"/>
  <c r="F35" i="16"/>
  <c r="E35" i="16"/>
  <c r="D35" i="16"/>
  <c r="L34" i="16"/>
  <c r="K34" i="16"/>
  <c r="J34" i="16"/>
  <c r="I34" i="16"/>
  <c r="G34" i="16"/>
  <c r="F34" i="16"/>
  <c r="E34" i="16"/>
  <c r="D34" i="16"/>
  <c r="L33" i="16"/>
  <c r="K33" i="16"/>
  <c r="J33" i="16"/>
  <c r="I33" i="16"/>
  <c r="G33" i="16"/>
  <c r="F33" i="16"/>
  <c r="E33" i="16"/>
  <c r="D33" i="16"/>
  <c r="L32" i="16"/>
  <c r="K32" i="16"/>
  <c r="J32" i="16"/>
  <c r="I32" i="16"/>
  <c r="G32" i="16"/>
  <c r="F32" i="16"/>
  <c r="E32" i="16"/>
  <c r="D32" i="16"/>
  <c r="L31" i="16"/>
  <c r="K31" i="16"/>
  <c r="J31" i="16"/>
  <c r="I31" i="16"/>
  <c r="G31" i="16"/>
  <c r="F31" i="16"/>
  <c r="E31" i="16"/>
  <c r="D31" i="16"/>
  <c r="L30" i="16"/>
  <c r="K30" i="16"/>
  <c r="J30" i="16"/>
  <c r="I30" i="16"/>
  <c r="G30" i="16"/>
  <c r="F30" i="16"/>
  <c r="E30" i="16"/>
  <c r="D30" i="16"/>
  <c r="L29" i="16"/>
  <c r="K29" i="16"/>
  <c r="J29" i="16"/>
  <c r="I29" i="16"/>
  <c r="G29" i="16"/>
  <c r="F29" i="16"/>
  <c r="E29" i="16"/>
  <c r="D29" i="16"/>
  <c r="L28" i="16"/>
  <c r="K28" i="16"/>
  <c r="J28" i="16"/>
  <c r="I28" i="16"/>
  <c r="G28" i="16"/>
  <c r="F28" i="16"/>
  <c r="E28" i="16"/>
  <c r="D28" i="16"/>
  <c r="L27" i="16"/>
  <c r="K27" i="16"/>
  <c r="J27" i="16"/>
  <c r="I27" i="16"/>
  <c r="G27" i="16"/>
  <c r="F27" i="16"/>
  <c r="E27" i="16"/>
  <c r="D27" i="16"/>
  <c r="L26" i="16"/>
  <c r="K26" i="16"/>
  <c r="J26" i="16"/>
  <c r="I26" i="16"/>
  <c r="G26" i="16"/>
  <c r="F26" i="16"/>
  <c r="E26" i="16"/>
  <c r="D26" i="16"/>
  <c r="L25" i="16"/>
  <c r="K25" i="16"/>
  <c r="J25" i="16"/>
  <c r="I25" i="16"/>
  <c r="G25" i="16"/>
  <c r="F25" i="16"/>
  <c r="E25" i="16"/>
  <c r="D25" i="16"/>
  <c r="L24" i="16"/>
  <c r="K24" i="16"/>
  <c r="J24" i="16"/>
  <c r="I24" i="16"/>
  <c r="G24" i="16"/>
  <c r="F24" i="16"/>
  <c r="E24" i="16"/>
  <c r="D24" i="16"/>
  <c r="L23" i="16"/>
  <c r="K23" i="16"/>
  <c r="J23" i="16"/>
  <c r="I23" i="16"/>
  <c r="G23" i="16"/>
  <c r="F23" i="16"/>
  <c r="E23" i="16"/>
  <c r="D23" i="16"/>
  <c r="L22" i="16"/>
  <c r="K22" i="16"/>
  <c r="J22" i="16"/>
  <c r="I22" i="16"/>
  <c r="G22" i="16"/>
  <c r="F22" i="16"/>
  <c r="E22" i="16"/>
  <c r="D22" i="16"/>
  <c r="L21" i="16"/>
  <c r="K21" i="16"/>
  <c r="J21" i="16"/>
  <c r="I21" i="16"/>
  <c r="G21" i="16"/>
  <c r="F21" i="16"/>
  <c r="E21" i="16"/>
  <c r="D21" i="16"/>
  <c r="L20" i="16"/>
  <c r="K20" i="16"/>
  <c r="J20" i="16"/>
  <c r="I20" i="16"/>
  <c r="G20" i="16"/>
  <c r="F20" i="16"/>
  <c r="E20" i="16"/>
  <c r="D20" i="16"/>
  <c r="L19" i="16"/>
  <c r="K19" i="16"/>
  <c r="J19" i="16"/>
  <c r="I19" i="16"/>
  <c r="G19" i="16"/>
  <c r="F19" i="16"/>
  <c r="E19" i="16"/>
  <c r="D19" i="16"/>
  <c r="L18" i="16"/>
  <c r="K18" i="16"/>
  <c r="J18" i="16"/>
  <c r="I18" i="16"/>
  <c r="G18" i="16"/>
  <c r="F18" i="16"/>
  <c r="E18" i="16"/>
  <c r="D18" i="16"/>
  <c r="L17" i="16"/>
  <c r="K17" i="16"/>
  <c r="J17" i="16"/>
  <c r="I17" i="16"/>
  <c r="G17" i="16"/>
  <c r="F17" i="16"/>
  <c r="E17" i="16"/>
  <c r="D17" i="16"/>
  <c r="L16" i="16"/>
  <c r="K16" i="16"/>
  <c r="J16" i="16"/>
  <c r="I16" i="16"/>
  <c r="G16" i="16"/>
  <c r="F16" i="16"/>
  <c r="E16" i="16"/>
  <c r="D16" i="16"/>
  <c r="L15" i="16"/>
  <c r="K15" i="16"/>
  <c r="J15" i="16"/>
  <c r="I15" i="16"/>
  <c r="G15" i="16"/>
  <c r="F15" i="16"/>
  <c r="E15" i="16"/>
  <c r="D15" i="16"/>
  <c r="L14" i="16"/>
  <c r="K14" i="16"/>
  <c r="J14" i="16"/>
  <c r="I14" i="16"/>
  <c r="G14" i="16"/>
  <c r="F14" i="16"/>
  <c r="E14" i="16"/>
  <c r="D14" i="16"/>
  <c r="L13" i="16"/>
  <c r="K13" i="16"/>
  <c r="J13" i="16"/>
  <c r="I13" i="16"/>
  <c r="G13" i="16"/>
  <c r="F13" i="16"/>
  <c r="E13" i="16"/>
  <c r="D13" i="16"/>
  <c r="L12" i="16"/>
  <c r="K12" i="16"/>
  <c r="J12" i="16"/>
  <c r="I12" i="16"/>
  <c r="G12" i="16"/>
  <c r="F12" i="16"/>
  <c r="E12" i="16"/>
  <c r="D12" i="16"/>
  <c r="L11" i="16"/>
  <c r="K11" i="16"/>
  <c r="J11" i="16"/>
  <c r="I11" i="16"/>
  <c r="G11" i="16"/>
  <c r="F11" i="16"/>
  <c r="E11" i="16"/>
  <c r="D11" i="16"/>
  <c r="L10" i="16"/>
  <c r="K10" i="16"/>
  <c r="J10" i="16"/>
  <c r="I10" i="16"/>
  <c r="G10" i="16"/>
  <c r="F10" i="16"/>
  <c r="E10" i="16"/>
  <c r="D10" i="16"/>
  <c r="L67" i="22"/>
  <c r="K67" i="22"/>
  <c r="J67" i="22"/>
  <c r="I67" i="22"/>
  <c r="G67" i="22"/>
  <c r="F67" i="22"/>
  <c r="E67" i="22"/>
  <c r="D67" i="22"/>
  <c r="L66" i="22"/>
  <c r="K66" i="22"/>
  <c r="J66" i="22"/>
  <c r="I66" i="22"/>
  <c r="G66" i="22"/>
  <c r="F66" i="22"/>
  <c r="E66" i="22"/>
  <c r="D66" i="22"/>
  <c r="L65" i="22"/>
  <c r="K65" i="22"/>
  <c r="J65" i="22"/>
  <c r="I65" i="22"/>
  <c r="G65" i="22"/>
  <c r="F65" i="22"/>
  <c r="E65" i="22"/>
  <c r="D65" i="22"/>
  <c r="L64" i="22"/>
  <c r="K64" i="22"/>
  <c r="J64" i="22"/>
  <c r="I64" i="22"/>
  <c r="G64" i="22"/>
  <c r="F64" i="22"/>
  <c r="E64" i="22"/>
  <c r="D64" i="22"/>
  <c r="L63" i="22"/>
  <c r="K63" i="22"/>
  <c r="J63" i="22"/>
  <c r="I63" i="22"/>
  <c r="G63" i="22"/>
  <c r="F63" i="22"/>
  <c r="E63" i="22"/>
  <c r="D63" i="22"/>
  <c r="L62" i="22"/>
  <c r="K62" i="22"/>
  <c r="J62" i="22"/>
  <c r="I62" i="22"/>
  <c r="G62" i="22"/>
  <c r="F62" i="22"/>
  <c r="E62" i="22"/>
  <c r="D62" i="22"/>
  <c r="L61" i="22"/>
  <c r="K61" i="22"/>
  <c r="J61" i="22"/>
  <c r="I61" i="22"/>
  <c r="G61" i="22"/>
  <c r="F61" i="22"/>
  <c r="E61" i="22"/>
  <c r="D61" i="22"/>
  <c r="L60" i="22"/>
  <c r="K60" i="22"/>
  <c r="J60" i="22"/>
  <c r="I60" i="22"/>
  <c r="G60" i="22"/>
  <c r="F60" i="22"/>
  <c r="E60" i="22"/>
  <c r="D60" i="22"/>
  <c r="L59" i="22"/>
  <c r="K59" i="22"/>
  <c r="J59" i="22"/>
  <c r="I59" i="22"/>
  <c r="G59" i="22"/>
  <c r="F59" i="22"/>
  <c r="E59" i="22"/>
  <c r="D59" i="22"/>
  <c r="L58" i="22"/>
  <c r="K58" i="22"/>
  <c r="J58" i="22"/>
  <c r="I58" i="22"/>
  <c r="G58" i="22"/>
  <c r="F58" i="22"/>
  <c r="E58" i="22"/>
  <c r="D58" i="22"/>
  <c r="L57" i="22"/>
  <c r="K57" i="22"/>
  <c r="J57" i="22"/>
  <c r="I57" i="22"/>
  <c r="G57" i="22"/>
  <c r="F57" i="22"/>
  <c r="E57" i="22"/>
  <c r="D57" i="22"/>
  <c r="L56" i="22"/>
  <c r="K56" i="22"/>
  <c r="J56" i="22"/>
  <c r="I56" i="22"/>
  <c r="G56" i="22"/>
  <c r="F56" i="22"/>
  <c r="E56" i="22"/>
  <c r="D56" i="22"/>
  <c r="L55" i="22"/>
  <c r="K55" i="22"/>
  <c r="J55" i="22"/>
  <c r="I55" i="22"/>
  <c r="G55" i="22"/>
  <c r="F55" i="22"/>
  <c r="E55" i="22"/>
  <c r="D55" i="22"/>
  <c r="L54" i="22"/>
  <c r="K54" i="22"/>
  <c r="J54" i="22"/>
  <c r="I54" i="22"/>
  <c r="G54" i="22"/>
  <c r="F54" i="22"/>
  <c r="E54" i="22"/>
  <c r="D54" i="22"/>
  <c r="L53" i="22"/>
  <c r="K53" i="22"/>
  <c r="J53" i="22"/>
  <c r="I53" i="22"/>
  <c r="G53" i="22"/>
  <c r="F53" i="22"/>
  <c r="E53" i="22"/>
  <c r="D53" i="22"/>
  <c r="L52" i="22"/>
  <c r="K52" i="22"/>
  <c r="J52" i="22"/>
  <c r="I52" i="22"/>
  <c r="G52" i="22"/>
  <c r="F52" i="22"/>
  <c r="E52" i="22"/>
  <c r="D52" i="22"/>
  <c r="L51" i="22"/>
  <c r="K51" i="22"/>
  <c r="J51" i="22"/>
  <c r="I51" i="22"/>
  <c r="G51" i="22"/>
  <c r="F51" i="22"/>
  <c r="E51" i="22"/>
  <c r="D51" i="22"/>
  <c r="L50" i="22"/>
  <c r="K50" i="22"/>
  <c r="J50" i="22"/>
  <c r="I50" i="22"/>
  <c r="G50" i="22"/>
  <c r="F50" i="22"/>
  <c r="E50" i="22"/>
  <c r="D50" i="22"/>
  <c r="L49" i="22"/>
  <c r="K49" i="22"/>
  <c r="J49" i="22"/>
  <c r="I49" i="22"/>
  <c r="G49" i="22"/>
  <c r="F49" i="22"/>
  <c r="E49" i="22"/>
  <c r="D49" i="22"/>
  <c r="L48" i="22"/>
  <c r="K48" i="22"/>
  <c r="J48" i="22"/>
  <c r="I48" i="22"/>
  <c r="G48" i="22"/>
  <c r="F48" i="22"/>
  <c r="E48" i="22"/>
  <c r="D48" i="22"/>
  <c r="L47" i="22"/>
  <c r="K47" i="22"/>
  <c r="J47" i="22"/>
  <c r="I47" i="22"/>
  <c r="G47" i="22"/>
  <c r="F47" i="22"/>
  <c r="E47" i="22"/>
  <c r="D47" i="22"/>
  <c r="L46" i="22"/>
  <c r="K46" i="22"/>
  <c r="J46" i="22"/>
  <c r="I46" i="22"/>
  <c r="G46" i="22"/>
  <c r="F46" i="22"/>
  <c r="E46" i="22"/>
  <c r="D46" i="22"/>
  <c r="L45" i="22"/>
  <c r="K45" i="22"/>
  <c r="J45" i="22"/>
  <c r="I45" i="22"/>
  <c r="G45" i="22"/>
  <c r="F45" i="22"/>
  <c r="E45" i="22"/>
  <c r="D45" i="22"/>
  <c r="L44" i="22"/>
  <c r="K44" i="22"/>
  <c r="J44" i="22"/>
  <c r="I44" i="22"/>
  <c r="G44" i="22"/>
  <c r="F44" i="22"/>
  <c r="E44" i="22"/>
  <c r="D44" i="22"/>
  <c r="L43" i="22"/>
  <c r="K43" i="22"/>
  <c r="J43" i="22"/>
  <c r="I43" i="22"/>
  <c r="G43" i="22"/>
  <c r="F43" i="22"/>
  <c r="E43" i="22"/>
  <c r="D43" i="22"/>
  <c r="L42" i="22"/>
  <c r="K42" i="22"/>
  <c r="J42" i="22"/>
  <c r="I42" i="22"/>
  <c r="G42" i="22"/>
  <c r="F42" i="22"/>
  <c r="E42" i="22"/>
  <c r="D42" i="22"/>
  <c r="L41" i="22"/>
  <c r="K41" i="22"/>
  <c r="J41" i="22"/>
  <c r="I41" i="22"/>
  <c r="G41" i="22"/>
  <c r="F41" i="22"/>
  <c r="E41" i="22"/>
  <c r="D41" i="22"/>
  <c r="L40" i="22"/>
  <c r="K40" i="22"/>
  <c r="J40" i="22"/>
  <c r="I40" i="22"/>
  <c r="G40" i="22"/>
  <c r="F40" i="22"/>
  <c r="E40" i="22"/>
  <c r="D40" i="22"/>
  <c r="L39" i="22"/>
  <c r="K39" i="22"/>
  <c r="J39" i="22"/>
  <c r="I39" i="22"/>
  <c r="G39" i="22"/>
  <c r="F39" i="22"/>
  <c r="E39" i="22"/>
  <c r="D39" i="22"/>
  <c r="L38" i="22"/>
  <c r="K38" i="22"/>
  <c r="J38" i="22"/>
  <c r="I38" i="22"/>
  <c r="G38" i="22"/>
  <c r="F38" i="22"/>
  <c r="E38" i="22"/>
  <c r="D38" i="22"/>
  <c r="L37" i="22"/>
  <c r="K37" i="22"/>
  <c r="J37" i="22"/>
  <c r="I37" i="22"/>
  <c r="G37" i="22"/>
  <c r="F37" i="22"/>
  <c r="E37" i="22"/>
  <c r="D37" i="22"/>
  <c r="L36" i="22"/>
  <c r="K36" i="22"/>
  <c r="J36" i="22"/>
  <c r="I36" i="22"/>
  <c r="G36" i="22"/>
  <c r="F36" i="22"/>
  <c r="E36" i="22"/>
  <c r="D36" i="22"/>
  <c r="L35" i="22"/>
  <c r="K35" i="22"/>
  <c r="J35" i="22"/>
  <c r="I35" i="22"/>
  <c r="G35" i="22"/>
  <c r="F35" i="22"/>
  <c r="E35" i="22"/>
  <c r="D35" i="22"/>
  <c r="L34" i="22"/>
  <c r="K34" i="22"/>
  <c r="J34" i="22"/>
  <c r="I34" i="22"/>
  <c r="G34" i="22"/>
  <c r="F34" i="22"/>
  <c r="E34" i="22"/>
  <c r="D34" i="22"/>
  <c r="L33" i="22"/>
  <c r="K33" i="22"/>
  <c r="J33" i="22"/>
  <c r="I33" i="22"/>
  <c r="G33" i="22"/>
  <c r="F33" i="22"/>
  <c r="E33" i="22"/>
  <c r="D33" i="22"/>
  <c r="L32" i="22"/>
  <c r="K32" i="22"/>
  <c r="J32" i="22"/>
  <c r="I32" i="22"/>
  <c r="G32" i="22"/>
  <c r="F32" i="22"/>
  <c r="E32" i="22"/>
  <c r="D32" i="22"/>
  <c r="L31" i="22"/>
  <c r="K31" i="22"/>
  <c r="J31" i="22"/>
  <c r="I31" i="22"/>
  <c r="G31" i="22"/>
  <c r="F31" i="22"/>
  <c r="E31" i="22"/>
  <c r="D31" i="22"/>
  <c r="L30" i="22"/>
  <c r="K30" i="22"/>
  <c r="J30" i="22"/>
  <c r="I30" i="22"/>
  <c r="G30" i="22"/>
  <c r="F30" i="22"/>
  <c r="E30" i="22"/>
  <c r="D30" i="22"/>
  <c r="L29" i="22"/>
  <c r="K29" i="22"/>
  <c r="J29" i="22"/>
  <c r="I29" i="22"/>
  <c r="G29" i="22"/>
  <c r="F29" i="22"/>
  <c r="E29" i="22"/>
  <c r="D29" i="22"/>
  <c r="L28" i="22"/>
  <c r="K28" i="22"/>
  <c r="J28" i="22"/>
  <c r="I28" i="22"/>
  <c r="G28" i="22"/>
  <c r="F28" i="22"/>
  <c r="E28" i="22"/>
  <c r="D28" i="22"/>
  <c r="L27" i="22"/>
  <c r="K27" i="22"/>
  <c r="J27" i="22"/>
  <c r="I27" i="22"/>
  <c r="G27" i="22"/>
  <c r="F27" i="22"/>
  <c r="E27" i="22"/>
  <c r="D27" i="22"/>
  <c r="L26" i="22"/>
  <c r="K26" i="22"/>
  <c r="J26" i="22"/>
  <c r="I26" i="22"/>
  <c r="G26" i="22"/>
  <c r="F26" i="22"/>
  <c r="E26" i="22"/>
  <c r="D26" i="22"/>
  <c r="L25" i="22"/>
  <c r="K25" i="22"/>
  <c r="J25" i="22"/>
  <c r="I25" i="22"/>
  <c r="G25" i="22"/>
  <c r="F25" i="22"/>
  <c r="E25" i="22"/>
  <c r="D25" i="22"/>
  <c r="L24" i="22"/>
  <c r="K24" i="22"/>
  <c r="J24" i="22"/>
  <c r="I24" i="22"/>
  <c r="G24" i="22"/>
  <c r="F24" i="22"/>
  <c r="E24" i="22"/>
  <c r="D24" i="22"/>
  <c r="L23" i="22"/>
  <c r="K23" i="22"/>
  <c r="J23" i="22"/>
  <c r="I23" i="22"/>
  <c r="G23" i="22"/>
  <c r="F23" i="22"/>
  <c r="E23" i="22"/>
  <c r="D23" i="22"/>
  <c r="L22" i="22"/>
  <c r="K22" i="22"/>
  <c r="J22" i="22"/>
  <c r="I22" i="22"/>
  <c r="G22" i="22"/>
  <c r="F22" i="22"/>
  <c r="E22" i="22"/>
  <c r="D22" i="22"/>
  <c r="L21" i="22"/>
  <c r="K21" i="22"/>
  <c r="J21" i="22"/>
  <c r="I21" i="22"/>
  <c r="G21" i="22"/>
  <c r="F21" i="22"/>
  <c r="E21" i="22"/>
  <c r="D21" i="22"/>
  <c r="L20" i="22"/>
  <c r="K20" i="22"/>
  <c r="J20" i="22"/>
  <c r="I20" i="22"/>
  <c r="G20" i="22"/>
  <c r="F20" i="22"/>
  <c r="E20" i="22"/>
  <c r="D20" i="22"/>
  <c r="L19" i="22"/>
  <c r="K19" i="22"/>
  <c r="J19" i="22"/>
  <c r="I19" i="22"/>
  <c r="G19" i="22"/>
  <c r="F19" i="22"/>
  <c r="E19" i="22"/>
  <c r="D19" i="22"/>
  <c r="L18" i="22"/>
  <c r="K18" i="22"/>
  <c r="J18" i="22"/>
  <c r="I18" i="22"/>
  <c r="G18" i="22"/>
  <c r="F18" i="22"/>
  <c r="E18" i="22"/>
  <c r="D18" i="22"/>
  <c r="L17" i="22"/>
  <c r="K17" i="22"/>
  <c r="J17" i="22"/>
  <c r="I17" i="22"/>
  <c r="G17" i="22"/>
  <c r="F17" i="22"/>
  <c r="E17" i="22"/>
  <c r="D17" i="22"/>
  <c r="L16" i="22"/>
  <c r="K16" i="22"/>
  <c r="J16" i="22"/>
  <c r="I16" i="22"/>
  <c r="G16" i="22"/>
  <c r="F16" i="22"/>
  <c r="E16" i="22"/>
  <c r="D16" i="22"/>
  <c r="L15" i="22"/>
  <c r="K15" i="22"/>
  <c r="J15" i="22"/>
  <c r="I15" i="22"/>
  <c r="G15" i="22"/>
  <c r="F15" i="22"/>
  <c r="E15" i="22"/>
  <c r="D15" i="22"/>
  <c r="L14" i="22"/>
  <c r="K14" i="22"/>
  <c r="J14" i="22"/>
  <c r="I14" i="22"/>
  <c r="G14" i="22"/>
  <c r="F14" i="22"/>
  <c r="E14" i="22"/>
  <c r="D14" i="22"/>
  <c r="L13" i="22"/>
  <c r="K13" i="22"/>
  <c r="J13" i="22"/>
  <c r="I13" i="22"/>
  <c r="G13" i="22"/>
  <c r="F13" i="22"/>
  <c r="E13" i="22"/>
  <c r="D13" i="22"/>
  <c r="L12" i="22"/>
  <c r="K12" i="22"/>
  <c r="J12" i="22"/>
  <c r="I12" i="22"/>
  <c r="G12" i="22"/>
  <c r="F12" i="22"/>
  <c r="E12" i="22"/>
  <c r="D12" i="22"/>
  <c r="L11" i="22"/>
  <c r="K11" i="22"/>
  <c r="J11" i="22"/>
  <c r="I11" i="22"/>
  <c r="G11" i="22"/>
  <c r="F11" i="22"/>
  <c r="E11" i="22"/>
  <c r="D11" i="22"/>
  <c r="L10" i="22"/>
  <c r="K10" i="22"/>
  <c r="J10" i="22"/>
  <c r="I10" i="22"/>
  <c r="G10" i="22"/>
  <c r="F10" i="22"/>
  <c r="E10" i="22"/>
  <c r="D10" i="22"/>
  <c r="L67" i="19"/>
  <c r="K67" i="19"/>
  <c r="J67" i="19"/>
  <c r="I67" i="19"/>
  <c r="G67" i="19"/>
  <c r="F67" i="19"/>
  <c r="E67" i="19"/>
  <c r="D67" i="19"/>
  <c r="L66" i="19"/>
  <c r="K66" i="19"/>
  <c r="J66" i="19"/>
  <c r="I66" i="19"/>
  <c r="G66" i="19"/>
  <c r="F66" i="19"/>
  <c r="E66" i="19"/>
  <c r="D66" i="19"/>
  <c r="L65" i="19"/>
  <c r="K65" i="19"/>
  <c r="J65" i="19"/>
  <c r="I65" i="19"/>
  <c r="G65" i="19"/>
  <c r="F65" i="19"/>
  <c r="E65" i="19"/>
  <c r="D65" i="19"/>
  <c r="L64" i="19"/>
  <c r="K64" i="19"/>
  <c r="J64" i="19"/>
  <c r="I64" i="19"/>
  <c r="G64" i="19"/>
  <c r="F64" i="19"/>
  <c r="E64" i="19"/>
  <c r="D64" i="19"/>
  <c r="L63" i="19"/>
  <c r="K63" i="19"/>
  <c r="J63" i="19"/>
  <c r="I63" i="19"/>
  <c r="G63" i="19"/>
  <c r="F63" i="19"/>
  <c r="E63" i="19"/>
  <c r="D63" i="19"/>
  <c r="L62" i="19"/>
  <c r="K62" i="19"/>
  <c r="J62" i="19"/>
  <c r="I62" i="19"/>
  <c r="G62" i="19"/>
  <c r="F62" i="19"/>
  <c r="E62" i="19"/>
  <c r="D62" i="19"/>
  <c r="L61" i="19"/>
  <c r="K61" i="19"/>
  <c r="J61" i="19"/>
  <c r="I61" i="19"/>
  <c r="G61" i="19"/>
  <c r="F61" i="19"/>
  <c r="E61" i="19"/>
  <c r="D61" i="19"/>
  <c r="L60" i="19"/>
  <c r="K60" i="19"/>
  <c r="J60" i="19"/>
  <c r="I60" i="19"/>
  <c r="G60" i="19"/>
  <c r="F60" i="19"/>
  <c r="E60" i="19"/>
  <c r="D60" i="19"/>
  <c r="L59" i="19"/>
  <c r="K59" i="19"/>
  <c r="J59" i="19"/>
  <c r="I59" i="19"/>
  <c r="G59" i="19"/>
  <c r="F59" i="19"/>
  <c r="E59" i="19"/>
  <c r="D59" i="19"/>
  <c r="L58" i="19"/>
  <c r="K58" i="19"/>
  <c r="J58" i="19"/>
  <c r="I58" i="19"/>
  <c r="G58" i="19"/>
  <c r="F58" i="19"/>
  <c r="E58" i="19"/>
  <c r="D58" i="19"/>
  <c r="L57" i="19"/>
  <c r="K57" i="19"/>
  <c r="J57" i="19"/>
  <c r="I57" i="19"/>
  <c r="G57" i="19"/>
  <c r="F57" i="19"/>
  <c r="E57" i="19"/>
  <c r="D57" i="19"/>
  <c r="L56" i="19"/>
  <c r="K56" i="19"/>
  <c r="J56" i="19"/>
  <c r="I56" i="19"/>
  <c r="G56" i="19"/>
  <c r="F56" i="19"/>
  <c r="E56" i="19"/>
  <c r="D56" i="19"/>
  <c r="L55" i="19"/>
  <c r="K55" i="19"/>
  <c r="J55" i="19"/>
  <c r="I55" i="19"/>
  <c r="G55" i="19"/>
  <c r="F55" i="19"/>
  <c r="E55" i="19"/>
  <c r="D55" i="19"/>
  <c r="L54" i="19"/>
  <c r="K54" i="19"/>
  <c r="J54" i="19"/>
  <c r="I54" i="19"/>
  <c r="G54" i="19"/>
  <c r="F54" i="19"/>
  <c r="E54" i="19"/>
  <c r="D54" i="19"/>
  <c r="L53" i="19"/>
  <c r="K53" i="19"/>
  <c r="J53" i="19"/>
  <c r="I53" i="19"/>
  <c r="G53" i="19"/>
  <c r="F53" i="19"/>
  <c r="E53" i="19"/>
  <c r="D53" i="19"/>
  <c r="L52" i="19"/>
  <c r="K52" i="19"/>
  <c r="J52" i="19"/>
  <c r="I52" i="19"/>
  <c r="G52" i="19"/>
  <c r="F52" i="19"/>
  <c r="E52" i="19"/>
  <c r="D52" i="19"/>
  <c r="L51" i="19"/>
  <c r="K51" i="19"/>
  <c r="J51" i="19"/>
  <c r="I51" i="19"/>
  <c r="G51" i="19"/>
  <c r="F51" i="19"/>
  <c r="E51" i="19"/>
  <c r="D51" i="19"/>
  <c r="L50" i="19"/>
  <c r="K50" i="19"/>
  <c r="J50" i="19"/>
  <c r="I50" i="19"/>
  <c r="G50" i="19"/>
  <c r="F50" i="19"/>
  <c r="E50" i="19"/>
  <c r="D50" i="19"/>
  <c r="L49" i="19"/>
  <c r="K49" i="19"/>
  <c r="J49" i="19"/>
  <c r="I49" i="19"/>
  <c r="G49" i="19"/>
  <c r="F49" i="19"/>
  <c r="E49" i="19"/>
  <c r="D49" i="19"/>
  <c r="L48" i="19"/>
  <c r="K48" i="19"/>
  <c r="J48" i="19"/>
  <c r="I48" i="19"/>
  <c r="G48" i="19"/>
  <c r="F48" i="19"/>
  <c r="E48" i="19"/>
  <c r="D48" i="19"/>
  <c r="L47" i="19"/>
  <c r="K47" i="19"/>
  <c r="J47" i="19"/>
  <c r="I47" i="19"/>
  <c r="G47" i="19"/>
  <c r="F47" i="19"/>
  <c r="E47" i="19"/>
  <c r="D47" i="19"/>
  <c r="L46" i="19"/>
  <c r="K46" i="19"/>
  <c r="J46" i="19"/>
  <c r="I46" i="19"/>
  <c r="G46" i="19"/>
  <c r="F46" i="19"/>
  <c r="E46" i="19"/>
  <c r="D46" i="19"/>
  <c r="L45" i="19"/>
  <c r="K45" i="19"/>
  <c r="J45" i="19"/>
  <c r="I45" i="19"/>
  <c r="G45" i="19"/>
  <c r="F45" i="19"/>
  <c r="E45" i="19"/>
  <c r="D45" i="19"/>
  <c r="L44" i="19"/>
  <c r="K44" i="19"/>
  <c r="J44" i="19"/>
  <c r="I44" i="19"/>
  <c r="G44" i="19"/>
  <c r="F44" i="19"/>
  <c r="E44" i="19"/>
  <c r="D44" i="19"/>
  <c r="L43" i="19"/>
  <c r="K43" i="19"/>
  <c r="J43" i="19"/>
  <c r="I43" i="19"/>
  <c r="G43" i="19"/>
  <c r="F43" i="19"/>
  <c r="E43" i="19"/>
  <c r="D43" i="19"/>
  <c r="L42" i="19"/>
  <c r="K42" i="19"/>
  <c r="J42" i="19"/>
  <c r="I42" i="19"/>
  <c r="G42" i="19"/>
  <c r="F42" i="19"/>
  <c r="E42" i="19"/>
  <c r="D42" i="19"/>
  <c r="L41" i="19"/>
  <c r="K41" i="19"/>
  <c r="J41" i="19"/>
  <c r="I41" i="19"/>
  <c r="G41" i="19"/>
  <c r="F41" i="19"/>
  <c r="E41" i="19"/>
  <c r="D41" i="19"/>
  <c r="L40" i="19"/>
  <c r="K40" i="19"/>
  <c r="J40" i="19"/>
  <c r="I40" i="19"/>
  <c r="G40" i="19"/>
  <c r="F40" i="19"/>
  <c r="E40" i="19"/>
  <c r="D40" i="19"/>
  <c r="L39" i="19"/>
  <c r="K39" i="19"/>
  <c r="J39" i="19"/>
  <c r="I39" i="19"/>
  <c r="G39" i="19"/>
  <c r="F39" i="19"/>
  <c r="E39" i="19"/>
  <c r="D39" i="19"/>
  <c r="L38" i="19"/>
  <c r="K38" i="19"/>
  <c r="J38" i="19"/>
  <c r="I38" i="19"/>
  <c r="G38" i="19"/>
  <c r="F38" i="19"/>
  <c r="E38" i="19"/>
  <c r="D38" i="19"/>
  <c r="L37" i="19"/>
  <c r="K37" i="19"/>
  <c r="J37" i="19"/>
  <c r="I37" i="19"/>
  <c r="G37" i="19"/>
  <c r="F37" i="19"/>
  <c r="E37" i="19"/>
  <c r="D37" i="19"/>
  <c r="L36" i="19"/>
  <c r="K36" i="19"/>
  <c r="J36" i="19"/>
  <c r="I36" i="19"/>
  <c r="G36" i="19"/>
  <c r="F36" i="19"/>
  <c r="E36" i="19"/>
  <c r="D36" i="19"/>
  <c r="L35" i="19"/>
  <c r="K35" i="19"/>
  <c r="J35" i="19"/>
  <c r="I35" i="19"/>
  <c r="G35" i="19"/>
  <c r="F35" i="19"/>
  <c r="E35" i="19"/>
  <c r="D35" i="19"/>
  <c r="L34" i="19"/>
  <c r="K34" i="19"/>
  <c r="J34" i="19"/>
  <c r="I34" i="19"/>
  <c r="G34" i="19"/>
  <c r="F34" i="19"/>
  <c r="E34" i="19"/>
  <c r="D34" i="19"/>
  <c r="L33" i="19"/>
  <c r="K33" i="19"/>
  <c r="J33" i="19"/>
  <c r="I33" i="19"/>
  <c r="G33" i="19"/>
  <c r="F33" i="19"/>
  <c r="E33" i="19"/>
  <c r="D33" i="19"/>
  <c r="L32" i="19"/>
  <c r="K32" i="19"/>
  <c r="J32" i="19"/>
  <c r="I32" i="19"/>
  <c r="G32" i="19"/>
  <c r="F32" i="19"/>
  <c r="E32" i="19"/>
  <c r="D32" i="19"/>
  <c r="L31" i="19"/>
  <c r="K31" i="19"/>
  <c r="J31" i="19"/>
  <c r="I31" i="19"/>
  <c r="G31" i="19"/>
  <c r="F31" i="19"/>
  <c r="E31" i="19"/>
  <c r="D31" i="19"/>
  <c r="L30" i="19"/>
  <c r="K30" i="19"/>
  <c r="J30" i="19"/>
  <c r="I30" i="19"/>
  <c r="G30" i="19"/>
  <c r="F30" i="19"/>
  <c r="E30" i="19"/>
  <c r="D30" i="19"/>
  <c r="L29" i="19"/>
  <c r="K29" i="19"/>
  <c r="J29" i="19"/>
  <c r="I29" i="19"/>
  <c r="G29" i="19"/>
  <c r="F29" i="19"/>
  <c r="E29" i="19"/>
  <c r="D29" i="19"/>
  <c r="L28" i="19"/>
  <c r="K28" i="19"/>
  <c r="J28" i="19"/>
  <c r="I28" i="19"/>
  <c r="G28" i="19"/>
  <c r="F28" i="19"/>
  <c r="E28" i="19"/>
  <c r="D28" i="19"/>
  <c r="L27" i="19"/>
  <c r="K27" i="19"/>
  <c r="J27" i="19"/>
  <c r="I27" i="19"/>
  <c r="G27" i="19"/>
  <c r="F27" i="19"/>
  <c r="E27" i="19"/>
  <c r="D27" i="19"/>
  <c r="L26" i="19"/>
  <c r="K26" i="19"/>
  <c r="J26" i="19"/>
  <c r="I26" i="19"/>
  <c r="G26" i="19"/>
  <c r="F26" i="19"/>
  <c r="E26" i="19"/>
  <c r="D26" i="19"/>
  <c r="L25" i="19"/>
  <c r="K25" i="19"/>
  <c r="J25" i="19"/>
  <c r="I25" i="19"/>
  <c r="G25" i="19"/>
  <c r="F25" i="19"/>
  <c r="E25" i="19"/>
  <c r="D25" i="19"/>
  <c r="L24" i="19"/>
  <c r="K24" i="19"/>
  <c r="J24" i="19"/>
  <c r="I24" i="19"/>
  <c r="G24" i="19"/>
  <c r="F24" i="19"/>
  <c r="E24" i="19"/>
  <c r="D24" i="19"/>
  <c r="L23" i="19"/>
  <c r="K23" i="19"/>
  <c r="J23" i="19"/>
  <c r="I23" i="19"/>
  <c r="G23" i="19"/>
  <c r="F23" i="19"/>
  <c r="E23" i="19"/>
  <c r="D23" i="19"/>
  <c r="L22" i="19"/>
  <c r="K22" i="19"/>
  <c r="J22" i="19"/>
  <c r="I22" i="19"/>
  <c r="G22" i="19"/>
  <c r="F22" i="19"/>
  <c r="E22" i="19"/>
  <c r="D22" i="19"/>
  <c r="L21" i="19"/>
  <c r="K21" i="19"/>
  <c r="J21" i="19"/>
  <c r="I21" i="19"/>
  <c r="G21" i="19"/>
  <c r="F21" i="19"/>
  <c r="E21" i="19"/>
  <c r="D21" i="19"/>
  <c r="L20" i="19"/>
  <c r="K20" i="19"/>
  <c r="J20" i="19"/>
  <c r="I20" i="19"/>
  <c r="G20" i="19"/>
  <c r="F20" i="19"/>
  <c r="E20" i="19"/>
  <c r="D20" i="19"/>
  <c r="L19" i="19"/>
  <c r="K19" i="19"/>
  <c r="J19" i="19"/>
  <c r="I19" i="19"/>
  <c r="G19" i="19"/>
  <c r="F19" i="19"/>
  <c r="E19" i="19"/>
  <c r="D19" i="19"/>
  <c r="L18" i="19"/>
  <c r="K18" i="19"/>
  <c r="J18" i="19"/>
  <c r="I18" i="19"/>
  <c r="G18" i="19"/>
  <c r="F18" i="19"/>
  <c r="E18" i="19"/>
  <c r="D18" i="19"/>
  <c r="L17" i="19"/>
  <c r="K17" i="19"/>
  <c r="J17" i="19"/>
  <c r="I17" i="19"/>
  <c r="G17" i="19"/>
  <c r="F17" i="19"/>
  <c r="E17" i="19"/>
  <c r="D17" i="19"/>
  <c r="L16" i="19"/>
  <c r="K16" i="19"/>
  <c r="J16" i="19"/>
  <c r="I16" i="19"/>
  <c r="G16" i="19"/>
  <c r="F16" i="19"/>
  <c r="E16" i="19"/>
  <c r="D16" i="19"/>
  <c r="L15" i="19"/>
  <c r="K15" i="19"/>
  <c r="J15" i="19"/>
  <c r="I15" i="19"/>
  <c r="G15" i="19"/>
  <c r="F15" i="19"/>
  <c r="E15" i="19"/>
  <c r="D15" i="19"/>
  <c r="L14" i="19"/>
  <c r="K14" i="19"/>
  <c r="J14" i="19"/>
  <c r="I14" i="19"/>
  <c r="G14" i="19"/>
  <c r="F14" i="19"/>
  <c r="E14" i="19"/>
  <c r="D14" i="19"/>
  <c r="L13" i="19"/>
  <c r="K13" i="19"/>
  <c r="J13" i="19"/>
  <c r="I13" i="19"/>
  <c r="G13" i="19"/>
  <c r="F13" i="19"/>
  <c r="E13" i="19"/>
  <c r="D13" i="19"/>
  <c r="L12" i="19"/>
  <c r="K12" i="19"/>
  <c r="J12" i="19"/>
  <c r="I12" i="19"/>
  <c r="G12" i="19"/>
  <c r="F12" i="19"/>
  <c r="E12" i="19"/>
  <c r="D12" i="19"/>
  <c r="L11" i="19"/>
  <c r="K11" i="19"/>
  <c r="J11" i="19"/>
  <c r="I11" i="19"/>
  <c r="G11" i="19"/>
  <c r="F11" i="19"/>
  <c r="E11" i="19"/>
  <c r="D11" i="19"/>
  <c r="L10" i="19"/>
  <c r="K10" i="19"/>
  <c r="J10" i="19"/>
  <c r="I10" i="19"/>
  <c r="G10" i="19"/>
  <c r="F10" i="19"/>
  <c r="E10" i="19"/>
  <c r="D10" i="19"/>
  <c r="L67" i="17"/>
  <c r="K67" i="17"/>
  <c r="J67" i="17"/>
  <c r="I67" i="17"/>
  <c r="G67" i="17"/>
  <c r="F67" i="17"/>
  <c r="E67" i="17"/>
  <c r="D67" i="17"/>
  <c r="L66" i="17"/>
  <c r="K66" i="17"/>
  <c r="J66" i="17"/>
  <c r="I66" i="17"/>
  <c r="G66" i="17"/>
  <c r="F66" i="17"/>
  <c r="E66" i="17"/>
  <c r="D66" i="17"/>
  <c r="L65" i="17"/>
  <c r="K65" i="17"/>
  <c r="J65" i="17"/>
  <c r="I65" i="17"/>
  <c r="G65" i="17"/>
  <c r="F65" i="17"/>
  <c r="E65" i="17"/>
  <c r="D65" i="17"/>
  <c r="L64" i="17"/>
  <c r="K64" i="17"/>
  <c r="J64" i="17"/>
  <c r="I64" i="17"/>
  <c r="G64" i="17"/>
  <c r="F64" i="17"/>
  <c r="E64" i="17"/>
  <c r="D64" i="17"/>
  <c r="L63" i="17"/>
  <c r="K63" i="17"/>
  <c r="J63" i="17"/>
  <c r="I63" i="17"/>
  <c r="G63" i="17"/>
  <c r="F63" i="17"/>
  <c r="E63" i="17"/>
  <c r="D63" i="17"/>
  <c r="L62" i="17"/>
  <c r="K62" i="17"/>
  <c r="J62" i="17"/>
  <c r="I62" i="17"/>
  <c r="G62" i="17"/>
  <c r="F62" i="17"/>
  <c r="E62" i="17"/>
  <c r="D62" i="17"/>
  <c r="L61" i="17"/>
  <c r="K61" i="17"/>
  <c r="J61" i="17"/>
  <c r="I61" i="17"/>
  <c r="G61" i="17"/>
  <c r="F61" i="17"/>
  <c r="E61" i="17"/>
  <c r="D61" i="17"/>
  <c r="L60" i="17"/>
  <c r="K60" i="17"/>
  <c r="J60" i="17"/>
  <c r="I60" i="17"/>
  <c r="G60" i="17"/>
  <c r="F60" i="17"/>
  <c r="E60" i="17"/>
  <c r="D60" i="17"/>
  <c r="L59" i="17"/>
  <c r="K59" i="17"/>
  <c r="J59" i="17"/>
  <c r="I59" i="17"/>
  <c r="G59" i="17"/>
  <c r="F59" i="17"/>
  <c r="E59" i="17"/>
  <c r="D59" i="17"/>
  <c r="L58" i="17"/>
  <c r="K58" i="17"/>
  <c r="J58" i="17"/>
  <c r="I58" i="17"/>
  <c r="G58" i="17"/>
  <c r="F58" i="17"/>
  <c r="E58" i="17"/>
  <c r="D58" i="17"/>
  <c r="L57" i="17"/>
  <c r="K57" i="17"/>
  <c r="J57" i="17"/>
  <c r="I57" i="17"/>
  <c r="G57" i="17"/>
  <c r="F57" i="17"/>
  <c r="E57" i="17"/>
  <c r="D57" i="17"/>
  <c r="L56" i="17"/>
  <c r="K56" i="17"/>
  <c r="J56" i="17"/>
  <c r="I56" i="17"/>
  <c r="G56" i="17"/>
  <c r="F56" i="17"/>
  <c r="E56" i="17"/>
  <c r="D56" i="17"/>
  <c r="L55" i="17"/>
  <c r="K55" i="17"/>
  <c r="J55" i="17"/>
  <c r="I55" i="17"/>
  <c r="G55" i="17"/>
  <c r="F55" i="17"/>
  <c r="E55" i="17"/>
  <c r="D55" i="17"/>
  <c r="L54" i="17"/>
  <c r="K54" i="17"/>
  <c r="J54" i="17"/>
  <c r="I54" i="17"/>
  <c r="G54" i="17"/>
  <c r="F54" i="17"/>
  <c r="E54" i="17"/>
  <c r="D54" i="17"/>
  <c r="L53" i="17"/>
  <c r="K53" i="17"/>
  <c r="J53" i="17"/>
  <c r="I53" i="17"/>
  <c r="G53" i="17"/>
  <c r="F53" i="17"/>
  <c r="E53" i="17"/>
  <c r="D53" i="17"/>
  <c r="L52" i="17"/>
  <c r="K52" i="17"/>
  <c r="J52" i="17"/>
  <c r="I52" i="17"/>
  <c r="G52" i="17"/>
  <c r="F52" i="17"/>
  <c r="E52" i="17"/>
  <c r="D52" i="17"/>
  <c r="L51" i="17"/>
  <c r="K51" i="17"/>
  <c r="J51" i="17"/>
  <c r="I51" i="17"/>
  <c r="G51" i="17"/>
  <c r="F51" i="17"/>
  <c r="E51" i="17"/>
  <c r="D51" i="17"/>
  <c r="L50" i="17"/>
  <c r="K50" i="17"/>
  <c r="J50" i="17"/>
  <c r="I50" i="17"/>
  <c r="G50" i="17"/>
  <c r="F50" i="17"/>
  <c r="E50" i="17"/>
  <c r="D50" i="17"/>
  <c r="L49" i="17"/>
  <c r="K49" i="17"/>
  <c r="J49" i="17"/>
  <c r="I49" i="17"/>
  <c r="G49" i="17"/>
  <c r="F49" i="17"/>
  <c r="E49" i="17"/>
  <c r="D49" i="17"/>
  <c r="L48" i="17"/>
  <c r="K48" i="17"/>
  <c r="J48" i="17"/>
  <c r="I48" i="17"/>
  <c r="G48" i="17"/>
  <c r="F48" i="17"/>
  <c r="E48" i="17"/>
  <c r="D48" i="17"/>
  <c r="L47" i="17"/>
  <c r="K47" i="17"/>
  <c r="J47" i="17"/>
  <c r="I47" i="17"/>
  <c r="G47" i="17"/>
  <c r="F47" i="17"/>
  <c r="E47" i="17"/>
  <c r="D47" i="17"/>
  <c r="L46" i="17"/>
  <c r="K46" i="17"/>
  <c r="J46" i="17"/>
  <c r="I46" i="17"/>
  <c r="G46" i="17"/>
  <c r="F46" i="17"/>
  <c r="E46" i="17"/>
  <c r="D46" i="17"/>
  <c r="L45" i="17"/>
  <c r="K45" i="17"/>
  <c r="J45" i="17"/>
  <c r="I45" i="17"/>
  <c r="G45" i="17"/>
  <c r="F45" i="17"/>
  <c r="E45" i="17"/>
  <c r="D45" i="17"/>
  <c r="L44" i="17"/>
  <c r="K44" i="17"/>
  <c r="J44" i="17"/>
  <c r="I44" i="17"/>
  <c r="G44" i="17"/>
  <c r="F44" i="17"/>
  <c r="E44" i="17"/>
  <c r="D44" i="17"/>
  <c r="L43" i="17"/>
  <c r="K43" i="17"/>
  <c r="J43" i="17"/>
  <c r="I43" i="17"/>
  <c r="G43" i="17"/>
  <c r="F43" i="17"/>
  <c r="E43" i="17"/>
  <c r="D43" i="17"/>
  <c r="L42" i="17"/>
  <c r="K42" i="17"/>
  <c r="J42" i="17"/>
  <c r="I42" i="17"/>
  <c r="G42" i="17"/>
  <c r="F42" i="17"/>
  <c r="E42" i="17"/>
  <c r="D42" i="17"/>
  <c r="L41" i="17"/>
  <c r="K41" i="17"/>
  <c r="J41" i="17"/>
  <c r="I41" i="17"/>
  <c r="G41" i="17"/>
  <c r="F41" i="17"/>
  <c r="E41" i="17"/>
  <c r="D41" i="17"/>
  <c r="L40" i="17"/>
  <c r="K40" i="17"/>
  <c r="J40" i="17"/>
  <c r="I40" i="17"/>
  <c r="G40" i="17"/>
  <c r="F40" i="17"/>
  <c r="E40" i="17"/>
  <c r="D40" i="17"/>
  <c r="L39" i="17"/>
  <c r="K39" i="17"/>
  <c r="J39" i="17"/>
  <c r="I39" i="17"/>
  <c r="G39" i="17"/>
  <c r="F39" i="17"/>
  <c r="E39" i="17"/>
  <c r="D39" i="17"/>
  <c r="L38" i="17"/>
  <c r="K38" i="17"/>
  <c r="J38" i="17"/>
  <c r="I38" i="17"/>
  <c r="G38" i="17"/>
  <c r="F38" i="17"/>
  <c r="E38" i="17"/>
  <c r="D38" i="17"/>
  <c r="L37" i="17"/>
  <c r="K37" i="17"/>
  <c r="J37" i="17"/>
  <c r="I37" i="17"/>
  <c r="G37" i="17"/>
  <c r="F37" i="17"/>
  <c r="E37" i="17"/>
  <c r="D37" i="17"/>
  <c r="L36" i="17"/>
  <c r="K36" i="17"/>
  <c r="J36" i="17"/>
  <c r="I36" i="17"/>
  <c r="G36" i="17"/>
  <c r="F36" i="17"/>
  <c r="E36" i="17"/>
  <c r="D36" i="17"/>
  <c r="L35" i="17"/>
  <c r="K35" i="17"/>
  <c r="J35" i="17"/>
  <c r="I35" i="17"/>
  <c r="G35" i="17"/>
  <c r="F35" i="17"/>
  <c r="E35" i="17"/>
  <c r="D35" i="17"/>
  <c r="L34" i="17"/>
  <c r="K34" i="17"/>
  <c r="J34" i="17"/>
  <c r="I34" i="17"/>
  <c r="G34" i="17"/>
  <c r="F34" i="17"/>
  <c r="E34" i="17"/>
  <c r="D34" i="17"/>
  <c r="L33" i="17"/>
  <c r="K33" i="17"/>
  <c r="J33" i="17"/>
  <c r="I33" i="17"/>
  <c r="G33" i="17"/>
  <c r="F33" i="17"/>
  <c r="E33" i="17"/>
  <c r="D33" i="17"/>
  <c r="L32" i="17"/>
  <c r="K32" i="17"/>
  <c r="J32" i="17"/>
  <c r="I32" i="17"/>
  <c r="G32" i="17"/>
  <c r="F32" i="17"/>
  <c r="E32" i="17"/>
  <c r="D32" i="17"/>
  <c r="L31" i="17"/>
  <c r="K31" i="17"/>
  <c r="J31" i="17"/>
  <c r="I31" i="17"/>
  <c r="G31" i="17"/>
  <c r="F31" i="17"/>
  <c r="E31" i="17"/>
  <c r="D31" i="17"/>
  <c r="L30" i="17"/>
  <c r="K30" i="17"/>
  <c r="J30" i="17"/>
  <c r="I30" i="17"/>
  <c r="G30" i="17"/>
  <c r="F30" i="17"/>
  <c r="E30" i="17"/>
  <c r="D30" i="17"/>
  <c r="L29" i="17"/>
  <c r="K29" i="17"/>
  <c r="J29" i="17"/>
  <c r="I29" i="17"/>
  <c r="G29" i="17"/>
  <c r="F29" i="17"/>
  <c r="E29" i="17"/>
  <c r="D29" i="17"/>
  <c r="L28" i="17"/>
  <c r="K28" i="17"/>
  <c r="J28" i="17"/>
  <c r="I28" i="17"/>
  <c r="G28" i="17"/>
  <c r="F28" i="17"/>
  <c r="E28" i="17"/>
  <c r="D28" i="17"/>
  <c r="L27" i="17"/>
  <c r="K27" i="17"/>
  <c r="J27" i="17"/>
  <c r="I27" i="17"/>
  <c r="G27" i="17"/>
  <c r="F27" i="17"/>
  <c r="E27" i="17"/>
  <c r="D27" i="17"/>
  <c r="L26" i="17"/>
  <c r="K26" i="17"/>
  <c r="J26" i="17"/>
  <c r="I26" i="17"/>
  <c r="G26" i="17"/>
  <c r="F26" i="17"/>
  <c r="E26" i="17"/>
  <c r="D26" i="17"/>
  <c r="L25" i="17"/>
  <c r="K25" i="17"/>
  <c r="J25" i="17"/>
  <c r="I25" i="17"/>
  <c r="G25" i="17"/>
  <c r="F25" i="17"/>
  <c r="E25" i="17"/>
  <c r="D25" i="17"/>
  <c r="L24" i="17"/>
  <c r="K24" i="17"/>
  <c r="J24" i="17"/>
  <c r="I24" i="17"/>
  <c r="G24" i="17"/>
  <c r="F24" i="17"/>
  <c r="E24" i="17"/>
  <c r="D24" i="17"/>
  <c r="L23" i="17"/>
  <c r="K23" i="17"/>
  <c r="J23" i="17"/>
  <c r="I23" i="17"/>
  <c r="G23" i="17"/>
  <c r="F23" i="17"/>
  <c r="E23" i="17"/>
  <c r="D23" i="17"/>
  <c r="L22" i="17"/>
  <c r="K22" i="17"/>
  <c r="J22" i="17"/>
  <c r="I22" i="17"/>
  <c r="G22" i="17"/>
  <c r="F22" i="17"/>
  <c r="E22" i="17"/>
  <c r="D22" i="17"/>
  <c r="L21" i="17"/>
  <c r="K21" i="17"/>
  <c r="J21" i="17"/>
  <c r="I21" i="17"/>
  <c r="G21" i="17"/>
  <c r="F21" i="17"/>
  <c r="E21" i="17"/>
  <c r="D21" i="17"/>
  <c r="L20" i="17"/>
  <c r="K20" i="17"/>
  <c r="J20" i="17"/>
  <c r="I20" i="17"/>
  <c r="G20" i="17"/>
  <c r="F20" i="17"/>
  <c r="E20" i="17"/>
  <c r="D20" i="17"/>
  <c r="L19" i="17"/>
  <c r="K19" i="17"/>
  <c r="J19" i="17"/>
  <c r="I19" i="17"/>
  <c r="G19" i="17"/>
  <c r="F19" i="17"/>
  <c r="E19" i="17"/>
  <c r="D19" i="17"/>
  <c r="L18" i="17"/>
  <c r="K18" i="17"/>
  <c r="J18" i="17"/>
  <c r="I18" i="17"/>
  <c r="G18" i="17"/>
  <c r="F18" i="17"/>
  <c r="E18" i="17"/>
  <c r="D18" i="17"/>
  <c r="L17" i="17"/>
  <c r="K17" i="17"/>
  <c r="J17" i="17"/>
  <c r="I17" i="17"/>
  <c r="G17" i="17"/>
  <c r="F17" i="17"/>
  <c r="E17" i="17"/>
  <c r="D17" i="17"/>
  <c r="L16" i="17"/>
  <c r="K16" i="17"/>
  <c r="J16" i="17"/>
  <c r="I16" i="17"/>
  <c r="G16" i="17"/>
  <c r="F16" i="17"/>
  <c r="E16" i="17"/>
  <c r="D16" i="17"/>
  <c r="L15" i="17"/>
  <c r="K15" i="17"/>
  <c r="J15" i="17"/>
  <c r="I15" i="17"/>
  <c r="G15" i="17"/>
  <c r="F15" i="17"/>
  <c r="E15" i="17"/>
  <c r="D15" i="17"/>
  <c r="L14" i="17"/>
  <c r="K14" i="17"/>
  <c r="J14" i="17"/>
  <c r="I14" i="17"/>
  <c r="G14" i="17"/>
  <c r="F14" i="17"/>
  <c r="E14" i="17"/>
  <c r="D14" i="17"/>
  <c r="L13" i="17"/>
  <c r="K13" i="17"/>
  <c r="J13" i="17"/>
  <c r="I13" i="17"/>
  <c r="G13" i="17"/>
  <c r="F13" i="17"/>
  <c r="E13" i="17"/>
  <c r="D13" i="17"/>
  <c r="L12" i="17"/>
  <c r="K12" i="17"/>
  <c r="J12" i="17"/>
  <c r="I12" i="17"/>
  <c r="G12" i="17"/>
  <c r="F12" i="17"/>
  <c r="E12" i="17"/>
  <c r="D12" i="17"/>
  <c r="L11" i="17"/>
  <c r="K11" i="17"/>
  <c r="J11" i="17"/>
  <c r="I11" i="17"/>
  <c r="G11" i="17"/>
  <c r="F11" i="17"/>
  <c r="E11" i="17"/>
  <c r="D11" i="17"/>
  <c r="L10" i="17"/>
  <c r="K10" i="17"/>
  <c r="J10" i="17"/>
  <c r="I10" i="17"/>
  <c r="G10" i="17"/>
  <c r="F10" i="17"/>
  <c r="E10" i="17"/>
  <c r="D10" i="17"/>
  <c r="L67" i="18"/>
  <c r="K67" i="18"/>
  <c r="J67" i="18"/>
  <c r="I67" i="18"/>
  <c r="G67" i="18"/>
  <c r="F67" i="18"/>
  <c r="E67" i="18"/>
  <c r="D67" i="18"/>
  <c r="L66" i="18"/>
  <c r="K66" i="18"/>
  <c r="J66" i="18"/>
  <c r="I66" i="18"/>
  <c r="G66" i="18"/>
  <c r="F66" i="18"/>
  <c r="E66" i="18"/>
  <c r="D66" i="18"/>
  <c r="L65" i="18"/>
  <c r="K65" i="18"/>
  <c r="J65" i="18"/>
  <c r="I65" i="18"/>
  <c r="G65" i="18"/>
  <c r="F65" i="18"/>
  <c r="E65" i="18"/>
  <c r="D65" i="18"/>
  <c r="L64" i="18"/>
  <c r="K64" i="18"/>
  <c r="J64" i="18"/>
  <c r="I64" i="18"/>
  <c r="G64" i="18"/>
  <c r="F64" i="18"/>
  <c r="E64" i="18"/>
  <c r="D64" i="18"/>
  <c r="L63" i="18"/>
  <c r="K63" i="18"/>
  <c r="J63" i="18"/>
  <c r="I63" i="18"/>
  <c r="G63" i="18"/>
  <c r="F63" i="18"/>
  <c r="E63" i="18"/>
  <c r="D63" i="18"/>
  <c r="L62" i="18"/>
  <c r="K62" i="18"/>
  <c r="J62" i="18"/>
  <c r="I62" i="18"/>
  <c r="G62" i="18"/>
  <c r="F62" i="18"/>
  <c r="E62" i="18"/>
  <c r="D62" i="18"/>
  <c r="L61" i="18"/>
  <c r="K61" i="18"/>
  <c r="J61" i="18"/>
  <c r="I61" i="18"/>
  <c r="G61" i="18"/>
  <c r="F61" i="18"/>
  <c r="E61" i="18"/>
  <c r="D61" i="18"/>
  <c r="L60" i="18"/>
  <c r="K60" i="18"/>
  <c r="J60" i="18"/>
  <c r="I60" i="18"/>
  <c r="G60" i="18"/>
  <c r="F60" i="18"/>
  <c r="E60" i="18"/>
  <c r="D60" i="18"/>
  <c r="L59" i="18"/>
  <c r="K59" i="18"/>
  <c r="J59" i="18"/>
  <c r="I59" i="18"/>
  <c r="G59" i="18"/>
  <c r="F59" i="18"/>
  <c r="E59" i="18"/>
  <c r="D59" i="18"/>
  <c r="L58" i="18"/>
  <c r="K58" i="18"/>
  <c r="J58" i="18"/>
  <c r="I58" i="18"/>
  <c r="G58" i="18"/>
  <c r="F58" i="18"/>
  <c r="E58" i="18"/>
  <c r="D58" i="18"/>
  <c r="L57" i="18"/>
  <c r="K57" i="18"/>
  <c r="J57" i="18"/>
  <c r="I57" i="18"/>
  <c r="G57" i="18"/>
  <c r="F57" i="18"/>
  <c r="E57" i="18"/>
  <c r="D57" i="18"/>
  <c r="L56" i="18"/>
  <c r="K56" i="18"/>
  <c r="J56" i="18"/>
  <c r="I56" i="18"/>
  <c r="G56" i="18"/>
  <c r="F56" i="18"/>
  <c r="E56" i="18"/>
  <c r="D56" i="18"/>
  <c r="L55" i="18"/>
  <c r="K55" i="18"/>
  <c r="J55" i="18"/>
  <c r="I55" i="18"/>
  <c r="G55" i="18"/>
  <c r="F55" i="18"/>
  <c r="E55" i="18"/>
  <c r="D55" i="18"/>
  <c r="L54" i="18"/>
  <c r="K54" i="18"/>
  <c r="J54" i="18"/>
  <c r="I54" i="18"/>
  <c r="G54" i="18"/>
  <c r="F54" i="18"/>
  <c r="E54" i="18"/>
  <c r="D54" i="18"/>
  <c r="L53" i="18"/>
  <c r="K53" i="18"/>
  <c r="J53" i="18"/>
  <c r="I53" i="18"/>
  <c r="G53" i="18"/>
  <c r="F53" i="18"/>
  <c r="E53" i="18"/>
  <c r="D53" i="18"/>
  <c r="L52" i="18"/>
  <c r="K52" i="18"/>
  <c r="J52" i="18"/>
  <c r="I52" i="18"/>
  <c r="G52" i="18"/>
  <c r="F52" i="18"/>
  <c r="E52" i="18"/>
  <c r="D52" i="18"/>
  <c r="L51" i="18"/>
  <c r="K51" i="18"/>
  <c r="J51" i="18"/>
  <c r="I51" i="18"/>
  <c r="G51" i="18"/>
  <c r="F51" i="18"/>
  <c r="E51" i="18"/>
  <c r="D51" i="18"/>
  <c r="L50" i="18"/>
  <c r="K50" i="18"/>
  <c r="J50" i="18"/>
  <c r="I50" i="18"/>
  <c r="G50" i="18"/>
  <c r="F50" i="18"/>
  <c r="E50" i="18"/>
  <c r="D50" i="18"/>
  <c r="L49" i="18"/>
  <c r="K49" i="18"/>
  <c r="J49" i="18"/>
  <c r="I49" i="18"/>
  <c r="G49" i="18"/>
  <c r="F49" i="18"/>
  <c r="E49" i="18"/>
  <c r="D49" i="18"/>
  <c r="L48" i="18"/>
  <c r="K48" i="18"/>
  <c r="J48" i="18"/>
  <c r="I48" i="18"/>
  <c r="G48" i="18"/>
  <c r="F48" i="18"/>
  <c r="E48" i="18"/>
  <c r="D48" i="18"/>
  <c r="L47" i="18"/>
  <c r="K47" i="18"/>
  <c r="J47" i="18"/>
  <c r="I47" i="18"/>
  <c r="G47" i="18"/>
  <c r="F47" i="18"/>
  <c r="E47" i="18"/>
  <c r="D47" i="18"/>
  <c r="L46" i="18"/>
  <c r="K46" i="18"/>
  <c r="J46" i="18"/>
  <c r="I46" i="18"/>
  <c r="G46" i="18"/>
  <c r="F46" i="18"/>
  <c r="E46" i="18"/>
  <c r="D46" i="18"/>
  <c r="L45" i="18"/>
  <c r="K45" i="18"/>
  <c r="J45" i="18"/>
  <c r="I45" i="18"/>
  <c r="G45" i="18"/>
  <c r="F45" i="18"/>
  <c r="E45" i="18"/>
  <c r="D45" i="18"/>
  <c r="L44" i="18"/>
  <c r="K44" i="18"/>
  <c r="J44" i="18"/>
  <c r="I44" i="18"/>
  <c r="G44" i="18"/>
  <c r="F44" i="18"/>
  <c r="E44" i="18"/>
  <c r="D44" i="18"/>
  <c r="L43" i="18"/>
  <c r="K43" i="18"/>
  <c r="J43" i="18"/>
  <c r="I43" i="18"/>
  <c r="G43" i="18"/>
  <c r="F43" i="18"/>
  <c r="E43" i="18"/>
  <c r="D43" i="18"/>
  <c r="L42" i="18"/>
  <c r="K42" i="18"/>
  <c r="J42" i="18"/>
  <c r="I42" i="18"/>
  <c r="G42" i="18"/>
  <c r="F42" i="18"/>
  <c r="E42" i="18"/>
  <c r="D42" i="18"/>
  <c r="L41" i="18"/>
  <c r="K41" i="18"/>
  <c r="J41" i="18"/>
  <c r="I41" i="18"/>
  <c r="G41" i="18"/>
  <c r="F41" i="18"/>
  <c r="E41" i="18"/>
  <c r="D41" i="18"/>
  <c r="L40" i="18"/>
  <c r="K40" i="18"/>
  <c r="J40" i="18"/>
  <c r="I40" i="18"/>
  <c r="G40" i="18"/>
  <c r="F40" i="18"/>
  <c r="E40" i="18"/>
  <c r="D40" i="18"/>
  <c r="L39" i="18"/>
  <c r="K39" i="18"/>
  <c r="J39" i="18"/>
  <c r="I39" i="18"/>
  <c r="G39" i="18"/>
  <c r="F39" i="18"/>
  <c r="E39" i="18"/>
  <c r="D39" i="18"/>
  <c r="L38" i="18"/>
  <c r="K38" i="18"/>
  <c r="J38" i="18"/>
  <c r="I38" i="18"/>
  <c r="G38" i="18"/>
  <c r="F38" i="18"/>
  <c r="E38" i="18"/>
  <c r="D38" i="18"/>
  <c r="L37" i="18"/>
  <c r="K37" i="18"/>
  <c r="J37" i="18"/>
  <c r="I37" i="18"/>
  <c r="G37" i="18"/>
  <c r="F37" i="18"/>
  <c r="E37" i="18"/>
  <c r="D37" i="18"/>
  <c r="L36" i="18"/>
  <c r="K36" i="18"/>
  <c r="J36" i="18"/>
  <c r="I36" i="18"/>
  <c r="G36" i="18"/>
  <c r="F36" i="18"/>
  <c r="E36" i="18"/>
  <c r="D36" i="18"/>
  <c r="L35" i="18"/>
  <c r="K35" i="18"/>
  <c r="J35" i="18"/>
  <c r="I35" i="18"/>
  <c r="G35" i="18"/>
  <c r="F35" i="18"/>
  <c r="E35" i="18"/>
  <c r="D35" i="18"/>
  <c r="L34" i="18"/>
  <c r="K34" i="18"/>
  <c r="J34" i="18"/>
  <c r="I34" i="18"/>
  <c r="G34" i="18"/>
  <c r="F34" i="18"/>
  <c r="E34" i="18"/>
  <c r="D34" i="18"/>
  <c r="L33" i="18"/>
  <c r="K33" i="18"/>
  <c r="J33" i="18"/>
  <c r="I33" i="18"/>
  <c r="G33" i="18"/>
  <c r="F33" i="18"/>
  <c r="E33" i="18"/>
  <c r="D33" i="18"/>
  <c r="L32" i="18"/>
  <c r="K32" i="18"/>
  <c r="J32" i="18"/>
  <c r="I32" i="18"/>
  <c r="G32" i="18"/>
  <c r="F32" i="18"/>
  <c r="E32" i="18"/>
  <c r="D32" i="18"/>
  <c r="L31" i="18"/>
  <c r="K31" i="18"/>
  <c r="J31" i="18"/>
  <c r="I31" i="18"/>
  <c r="G31" i="18"/>
  <c r="F31" i="18"/>
  <c r="E31" i="18"/>
  <c r="D31" i="18"/>
  <c r="L30" i="18"/>
  <c r="K30" i="18"/>
  <c r="J30" i="18"/>
  <c r="I30" i="18"/>
  <c r="G30" i="18"/>
  <c r="F30" i="18"/>
  <c r="E30" i="18"/>
  <c r="D30" i="18"/>
  <c r="L29" i="18"/>
  <c r="K29" i="18"/>
  <c r="J29" i="18"/>
  <c r="I29" i="18"/>
  <c r="G29" i="18"/>
  <c r="F29" i="18"/>
  <c r="E29" i="18"/>
  <c r="D29" i="18"/>
  <c r="L28" i="18"/>
  <c r="K28" i="18"/>
  <c r="J28" i="18"/>
  <c r="I28" i="18"/>
  <c r="G28" i="18"/>
  <c r="F28" i="18"/>
  <c r="E28" i="18"/>
  <c r="D28" i="18"/>
  <c r="L27" i="18"/>
  <c r="K27" i="18"/>
  <c r="J27" i="18"/>
  <c r="I27" i="18"/>
  <c r="G27" i="18"/>
  <c r="F27" i="18"/>
  <c r="E27" i="18"/>
  <c r="D27" i="18"/>
  <c r="L26" i="18"/>
  <c r="K26" i="18"/>
  <c r="J26" i="18"/>
  <c r="I26" i="18"/>
  <c r="G26" i="18"/>
  <c r="F26" i="18"/>
  <c r="E26" i="18"/>
  <c r="D26" i="18"/>
  <c r="L25" i="18"/>
  <c r="K25" i="18"/>
  <c r="J25" i="18"/>
  <c r="I25" i="18"/>
  <c r="G25" i="18"/>
  <c r="F25" i="18"/>
  <c r="E25" i="18"/>
  <c r="D25" i="18"/>
  <c r="L24" i="18"/>
  <c r="K24" i="18"/>
  <c r="J24" i="18"/>
  <c r="I24" i="18"/>
  <c r="G24" i="18"/>
  <c r="F24" i="18"/>
  <c r="E24" i="18"/>
  <c r="D24" i="18"/>
  <c r="L23" i="18"/>
  <c r="K23" i="18"/>
  <c r="J23" i="18"/>
  <c r="I23" i="18"/>
  <c r="G23" i="18"/>
  <c r="F23" i="18"/>
  <c r="E23" i="18"/>
  <c r="D23" i="18"/>
  <c r="L22" i="18"/>
  <c r="K22" i="18"/>
  <c r="J22" i="18"/>
  <c r="I22" i="18"/>
  <c r="G22" i="18"/>
  <c r="F22" i="18"/>
  <c r="E22" i="18"/>
  <c r="D22" i="18"/>
  <c r="L21" i="18"/>
  <c r="K21" i="18"/>
  <c r="J21" i="18"/>
  <c r="I21" i="18"/>
  <c r="G21" i="18"/>
  <c r="F21" i="18"/>
  <c r="E21" i="18"/>
  <c r="D21" i="18"/>
  <c r="L20" i="18"/>
  <c r="K20" i="18"/>
  <c r="J20" i="18"/>
  <c r="I20" i="18"/>
  <c r="G20" i="18"/>
  <c r="F20" i="18"/>
  <c r="E20" i="18"/>
  <c r="D20" i="18"/>
  <c r="L19" i="18"/>
  <c r="K19" i="18"/>
  <c r="J19" i="18"/>
  <c r="I19" i="18"/>
  <c r="G19" i="18"/>
  <c r="F19" i="18"/>
  <c r="E19" i="18"/>
  <c r="D19" i="18"/>
  <c r="L18" i="18"/>
  <c r="K18" i="18"/>
  <c r="J18" i="18"/>
  <c r="I18" i="18"/>
  <c r="G18" i="18"/>
  <c r="F18" i="18"/>
  <c r="E18" i="18"/>
  <c r="D18" i="18"/>
  <c r="L17" i="18"/>
  <c r="K17" i="18"/>
  <c r="J17" i="18"/>
  <c r="I17" i="18"/>
  <c r="G17" i="18"/>
  <c r="F17" i="18"/>
  <c r="E17" i="18"/>
  <c r="D17" i="18"/>
  <c r="L16" i="18"/>
  <c r="K16" i="18"/>
  <c r="J16" i="18"/>
  <c r="I16" i="18"/>
  <c r="G16" i="18"/>
  <c r="F16" i="18"/>
  <c r="E16" i="18"/>
  <c r="D16" i="18"/>
  <c r="L15" i="18"/>
  <c r="K15" i="18"/>
  <c r="J15" i="18"/>
  <c r="I15" i="18"/>
  <c r="G15" i="18"/>
  <c r="F15" i="18"/>
  <c r="E15" i="18"/>
  <c r="D15" i="18"/>
  <c r="L14" i="18"/>
  <c r="K14" i="18"/>
  <c r="J14" i="18"/>
  <c r="I14" i="18"/>
  <c r="G14" i="18"/>
  <c r="F14" i="18"/>
  <c r="E14" i="18"/>
  <c r="D14" i="18"/>
  <c r="L13" i="18"/>
  <c r="K13" i="18"/>
  <c r="J13" i="18"/>
  <c r="I13" i="18"/>
  <c r="G13" i="18"/>
  <c r="F13" i="18"/>
  <c r="E13" i="18"/>
  <c r="D13" i="18"/>
  <c r="L12" i="18"/>
  <c r="K12" i="18"/>
  <c r="J12" i="18"/>
  <c r="I12" i="18"/>
  <c r="G12" i="18"/>
  <c r="F12" i="18"/>
  <c r="E12" i="18"/>
  <c r="D12" i="18"/>
  <c r="L11" i="18"/>
  <c r="K11" i="18"/>
  <c r="J11" i="18"/>
  <c r="I11" i="18"/>
  <c r="G11" i="18"/>
  <c r="F11" i="18"/>
  <c r="E11" i="18"/>
  <c r="D11" i="18"/>
  <c r="L10" i="18"/>
  <c r="K10" i="18"/>
  <c r="J10" i="18"/>
  <c r="I10" i="18"/>
  <c r="G10" i="18"/>
  <c r="F10" i="18"/>
  <c r="E10" i="18"/>
  <c r="D10" i="18"/>
  <c r="L67" i="26"/>
  <c r="K67" i="26"/>
  <c r="J67" i="26"/>
  <c r="I67" i="26"/>
  <c r="G67" i="26"/>
  <c r="F67" i="26"/>
  <c r="E67" i="26"/>
  <c r="D67" i="26"/>
  <c r="L66" i="26"/>
  <c r="K66" i="26"/>
  <c r="J66" i="26"/>
  <c r="I66" i="26"/>
  <c r="G66" i="26"/>
  <c r="F66" i="26"/>
  <c r="E66" i="26"/>
  <c r="D66" i="26"/>
  <c r="L65" i="26"/>
  <c r="K65" i="26"/>
  <c r="J65" i="26"/>
  <c r="I65" i="26"/>
  <c r="G65" i="26"/>
  <c r="F65" i="26"/>
  <c r="E65" i="26"/>
  <c r="D65" i="26"/>
  <c r="L64" i="26"/>
  <c r="K64" i="26"/>
  <c r="J64" i="26"/>
  <c r="I64" i="26"/>
  <c r="G64" i="26"/>
  <c r="F64" i="26"/>
  <c r="E64" i="26"/>
  <c r="D64" i="26"/>
  <c r="L63" i="26"/>
  <c r="K63" i="26"/>
  <c r="J63" i="26"/>
  <c r="I63" i="26"/>
  <c r="G63" i="26"/>
  <c r="F63" i="26"/>
  <c r="E63" i="26"/>
  <c r="D63" i="26"/>
  <c r="L62" i="26"/>
  <c r="K62" i="26"/>
  <c r="J62" i="26"/>
  <c r="I62" i="26"/>
  <c r="G62" i="26"/>
  <c r="F62" i="26"/>
  <c r="E62" i="26"/>
  <c r="D62" i="26"/>
  <c r="L61" i="26"/>
  <c r="K61" i="26"/>
  <c r="J61" i="26"/>
  <c r="I61" i="26"/>
  <c r="G61" i="26"/>
  <c r="F61" i="26"/>
  <c r="E61" i="26"/>
  <c r="D61" i="26"/>
  <c r="L60" i="26"/>
  <c r="K60" i="26"/>
  <c r="J60" i="26"/>
  <c r="I60" i="26"/>
  <c r="G60" i="26"/>
  <c r="F60" i="26"/>
  <c r="E60" i="26"/>
  <c r="D60" i="26"/>
  <c r="L59" i="26"/>
  <c r="K59" i="26"/>
  <c r="J59" i="26"/>
  <c r="I59" i="26"/>
  <c r="G59" i="26"/>
  <c r="F59" i="26"/>
  <c r="E59" i="26"/>
  <c r="D59" i="26"/>
  <c r="L58" i="26"/>
  <c r="K58" i="26"/>
  <c r="J58" i="26"/>
  <c r="I58" i="26"/>
  <c r="G58" i="26"/>
  <c r="F58" i="26"/>
  <c r="E58" i="26"/>
  <c r="D58" i="26"/>
  <c r="L57" i="26"/>
  <c r="K57" i="26"/>
  <c r="J57" i="26"/>
  <c r="I57" i="26"/>
  <c r="G57" i="26"/>
  <c r="F57" i="26"/>
  <c r="E57" i="26"/>
  <c r="D57" i="26"/>
  <c r="L56" i="26"/>
  <c r="K56" i="26"/>
  <c r="J56" i="26"/>
  <c r="I56" i="26"/>
  <c r="G56" i="26"/>
  <c r="F56" i="26"/>
  <c r="E56" i="26"/>
  <c r="D56" i="26"/>
  <c r="L55" i="26"/>
  <c r="K55" i="26"/>
  <c r="J55" i="26"/>
  <c r="I55" i="26"/>
  <c r="G55" i="26"/>
  <c r="F55" i="26"/>
  <c r="E55" i="26"/>
  <c r="D55" i="26"/>
  <c r="L54" i="26"/>
  <c r="K54" i="26"/>
  <c r="J54" i="26"/>
  <c r="I54" i="26"/>
  <c r="G54" i="26"/>
  <c r="F54" i="26"/>
  <c r="E54" i="26"/>
  <c r="D54" i="26"/>
  <c r="L53" i="26"/>
  <c r="K53" i="26"/>
  <c r="J53" i="26"/>
  <c r="I53" i="26"/>
  <c r="G53" i="26"/>
  <c r="F53" i="26"/>
  <c r="E53" i="26"/>
  <c r="D53" i="26"/>
  <c r="L52" i="26"/>
  <c r="K52" i="26"/>
  <c r="J52" i="26"/>
  <c r="I52" i="26"/>
  <c r="G52" i="26"/>
  <c r="F52" i="26"/>
  <c r="E52" i="26"/>
  <c r="D52" i="26"/>
  <c r="L51" i="26"/>
  <c r="K51" i="26"/>
  <c r="J51" i="26"/>
  <c r="I51" i="26"/>
  <c r="G51" i="26"/>
  <c r="F51" i="26"/>
  <c r="E51" i="26"/>
  <c r="D51" i="26"/>
  <c r="L50" i="26"/>
  <c r="K50" i="26"/>
  <c r="J50" i="26"/>
  <c r="I50" i="26"/>
  <c r="G50" i="26"/>
  <c r="F50" i="26"/>
  <c r="E50" i="26"/>
  <c r="D50" i="26"/>
  <c r="L49" i="26"/>
  <c r="K49" i="26"/>
  <c r="J49" i="26"/>
  <c r="I49" i="26"/>
  <c r="G49" i="26"/>
  <c r="F49" i="26"/>
  <c r="E49" i="26"/>
  <c r="D49" i="26"/>
  <c r="L48" i="26"/>
  <c r="K48" i="26"/>
  <c r="J48" i="26"/>
  <c r="I48" i="26"/>
  <c r="G48" i="26"/>
  <c r="F48" i="26"/>
  <c r="E48" i="26"/>
  <c r="D48" i="26"/>
  <c r="L47" i="26"/>
  <c r="K47" i="26"/>
  <c r="J47" i="26"/>
  <c r="I47" i="26"/>
  <c r="G47" i="26"/>
  <c r="F47" i="26"/>
  <c r="E47" i="26"/>
  <c r="D47" i="26"/>
  <c r="L46" i="26"/>
  <c r="K46" i="26"/>
  <c r="J46" i="26"/>
  <c r="I46" i="26"/>
  <c r="G46" i="26"/>
  <c r="F46" i="26"/>
  <c r="E46" i="26"/>
  <c r="D46" i="26"/>
  <c r="L45" i="26"/>
  <c r="K45" i="26"/>
  <c r="J45" i="26"/>
  <c r="I45" i="26"/>
  <c r="G45" i="26"/>
  <c r="F45" i="26"/>
  <c r="E45" i="26"/>
  <c r="D45" i="26"/>
  <c r="L44" i="26"/>
  <c r="K44" i="26"/>
  <c r="J44" i="26"/>
  <c r="I44" i="26"/>
  <c r="G44" i="26"/>
  <c r="F44" i="26"/>
  <c r="E44" i="26"/>
  <c r="D44" i="26"/>
  <c r="L43" i="26"/>
  <c r="K43" i="26"/>
  <c r="J43" i="26"/>
  <c r="I43" i="26"/>
  <c r="G43" i="26"/>
  <c r="F43" i="26"/>
  <c r="E43" i="26"/>
  <c r="D43" i="26"/>
  <c r="L42" i="26"/>
  <c r="K42" i="26"/>
  <c r="J42" i="26"/>
  <c r="I42" i="26"/>
  <c r="G42" i="26"/>
  <c r="F42" i="26"/>
  <c r="E42" i="26"/>
  <c r="D42" i="26"/>
  <c r="L41" i="26"/>
  <c r="K41" i="26"/>
  <c r="J41" i="26"/>
  <c r="I41" i="26"/>
  <c r="G41" i="26"/>
  <c r="F41" i="26"/>
  <c r="E41" i="26"/>
  <c r="D41" i="26"/>
  <c r="L40" i="26"/>
  <c r="K40" i="26"/>
  <c r="J40" i="26"/>
  <c r="I40" i="26"/>
  <c r="G40" i="26"/>
  <c r="F40" i="26"/>
  <c r="E40" i="26"/>
  <c r="D40" i="26"/>
  <c r="L39" i="26"/>
  <c r="K39" i="26"/>
  <c r="J39" i="26"/>
  <c r="I39" i="26"/>
  <c r="G39" i="26"/>
  <c r="F39" i="26"/>
  <c r="E39" i="26"/>
  <c r="D39" i="26"/>
  <c r="L38" i="26"/>
  <c r="K38" i="26"/>
  <c r="J38" i="26"/>
  <c r="I38" i="26"/>
  <c r="G38" i="26"/>
  <c r="F38" i="26"/>
  <c r="E38" i="26"/>
  <c r="D38" i="26"/>
  <c r="L37" i="26"/>
  <c r="K37" i="26"/>
  <c r="J37" i="26"/>
  <c r="I37" i="26"/>
  <c r="G37" i="26"/>
  <c r="F37" i="26"/>
  <c r="E37" i="26"/>
  <c r="D37" i="26"/>
  <c r="L36" i="26"/>
  <c r="K36" i="26"/>
  <c r="J36" i="26"/>
  <c r="I36" i="26"/>
  <c r="G36" i="26"/>
  <c r="F36" i="26"/>
  <c r="E36" i="26"/>
  <c r="D36" i="26"/>
  <c r="L35" i="26"/>
  <c r="K35" i="26"/>
  <c r="J35" i="26"/>
  <c r="I35" i="26"/>
  <c r="G35" i="26"/>
  <c r="F35" i="26"/>
  <c r="E35" i="26"/>
  <c r="D35" i="26"/>
  <c r="L34" i="26"/>
  <c r="K34" i="26"/>
  <c r="J34" i="26"/>
  <c r="I34" i="26"/>
  <c r="G34" i="26"/>
  <c r="F34" i="26"/>
  <c r="E34" i="26"/>
  <c r="D34" i="26"/>
  <c r="L33" i="26"/>
  <c r="K33" i="26"/>
  <c r="J33" i="26"/>
  <c r="I33" i="26"/>
  <c r="G33" i="26"/>
  <c r="F33" i="26"/>
  <c r="E33" i="26"/>
  <c r="D33" i="26"/>
  <c r="L32" i="26"/>
  <c r="K32" i="26"/>
  <c r="J32" i="26"/>
  <c r="I32" i="26"/>
  <c r="G32" i="26"/>
  <c r="F32" i="26"/>
  <c r="E32" i="26"/>
  <c r="D32" i="26"/>
  <c r="L31" i="26"/>
  <c r="K31" i="26"/>
  <c r="J31" i="26"/>
  <c r="I31" i="26"/>
  <c r="G31" i="26"/>
  <c r="F31" i="26"/>
  <c r="E31" i="26"/>
  <c r="D31" i="26"/>
  <c r="L30" i="26"/>
  <c r="K30" i="26"/>
  <c r="J30" i="26"/>
  <c r="I30" i="26"/>
  <c r="G30" i="26"/>
  <c r="F30" i="26"/>
  <c r="E30" i="26"/>
  <c r="D30" i="26"/>
  <c r="L29" i="26"/>
  <c r="K29" i="26"/>
  <c r="J29" i="26"/>
  <c r="I29" i="26"/>
  <c r="G29" i="26"/>
  <c r="F29" i="26"/>
  <c r="E29" i="26"/>
  <c r="D29" i="26"/>
  <c r="L28" i="26"/>
  <c r="K28" i="26"/>
  <c r="J28" i="26"/>
  <c r="I28" i="26"/>
  <c r="G28" i="26"/>
  <c r="F28" i="26"/>
  <c r="E28" i="26"/>
  <c r="D28" i="26"/>
  <c r="L27" i="26"/>
  <c r="K27" i="26"/>
  <c r="J27" i="26"/>
  <c r="I27" i="26"/>
  <c r="G27" i="26"/>
  <c r="F27" i="26"/>
  <c r="E27" i="26"/>
  <c r="D27" i="26"/>
  <c r="L26" i="26"/>
  <c r="K26" i="26"/>
  <c r="J26" i="26"/>
  <c r="I26" i="26"/>
  <c r="G26" i="26"/>
  <c r="F26" i="26"/>
  <c r="E26" i="26"/>
  <c r="D26" i="26"/>
  <c r="L25" i="26"/>
  <c r="K25" i="26"/>
  <c r="J25" i="26"/>
  <c r="I25" i="26"/>
  <c r="G25" i="26"/>
  <c r="F25" i="26"/>
  <c r="E25" i="26"/>
  <c r="D25" i="26"/>
  <c r="L24" i="26"/>
  <c r="K24" i="26"/>
  <c r="J24" i="26"/>
  <c r="I24" i="26"/>
  <c r="G24" i="26"/>
  <c r="F24" i="26"/>
  <c r="E24" i="26"/>
  <c r="D24" i="26"/>
  <c r="L23" i="26"/>
  <c r="K23" i="26"/>
  <c r="J23" i="26"/>
  <c r="I23" i="26"/>
  <c r="G23" i="26"/>
  <c r="F23" i="26"/>
  <c r="E23" i="26"/>
  <c r="D23" i="26"/>
  <c r="L22" i="26"/>
  <c r="K22" i="26"/>
  <c r="J22" i="26"/>
  <c r="I22" i="26"/>
  <c r="G22" i="26"/>
  <c r="F22" i="26"/>
  <c r="E22" i="26"/>
  <c r="D22" i="26"/>
  <c r="L21" i="26"/>
  <c r="K21" i="26"/>
  <c r="J21" i="26"/>
  <c r="I21" i="26"/>
  <c r="G21" i="26"/>
  <c r="F21" i="26"/>
  <c r="E21" i="26"/>
  <c r="D21" i="26"/>
  <c r="L20" i="26"/>
  <c r="K20" i="26"/>
  <c r="J20" i="26"/>
  <c r="I20" i="26"/>
  <c r="G20" i="26"/>
  <c r="F20" i="26"/>
  <c r="E20" i="26"/>
  <c r="D20" i="26"/>
  <c r="L19" i="26"/>
  <c r="K19" i="26"/>
  <c r="J19" i="26"/>
  <c r="I19" i="26"/>
  <c r="G19" i="26"/>
  <c r="F19" i="26"/>
  <c r="E19" i="26"/>
  <c r="D19" i="26"/>
  <c r="L18" i="26"/>
  <c r="K18" i="26"/>
  <c r="J18" i="26"/>
  <c r="I18" i="26"/>
  <c r="G18" i="26"/>
  <c r="F18" i="26"/>
  <c r="E18" i="26"/>
  <c r="D18" i="26"/>
  <c r="L17" i="26"/>
  <c r="K17" i="26"/>
  <c r="J17" i="26"/>
  <c r="I17" i="26"/>
  <c r="G17" i="26"/>
  <c r="F17" i="26"/>
  <c r="E17" i="26"/>
  <c r="D17" i="26"/>
  <c r="L16" i="26"/>
  <c r="K16" i="26"/>
  <c r="J16" i="26"/>
  <c r="I16" i="26"/>
  <c r="G16" i="26"/>
  <c r="F16" i="26"/>
  <c r="E16" i="26"/>
  <c r="D16" i="26"/>
  <c r="L15" i="26"/>
  <c r="K15" i="26"/>
  <c r="J15" i="26"/>
  <c r="I15" i="26"/>
  <c r="G15" i="26"/>
  <c r="F15" i="26"/>
  <c r="E15" i="26"/>
  <c r="D15" i="26"/>
  <c r="L14" i="26"/>
  <c r="K14" i="26"/>
  <c r="J14" i="26"/>
  <c r="I14" i="26"/>
  <c r="G14" i="26"/>
  <c r="F14" i="26"/>
  <c r="E14" i="26"/>
  <c r="D14" i="26"/>
  <c r="L13" i="26"/>
  <c r="K13" i="26"/>
  <c r="J13" i="26"/>
  <c r="I13" i="26"/>
  <c r="G13" i="26"/>
  <c r="F13" i="26"/>
  <c r="E13" i="26"/>
  <c r="D13" i="26"/>
  <c r="L12" i="26"/>
  <c r="K12" i="26"/>
  <c r="J12" i="26"/>
  <c r="I12" i="26"/>
  <c r="G12" i="26"/>
  <c r="F12" i="26"/>
  <c r="E12" i="26"/>
  <c r="D12" i="26"/>
  <c r="L11" i="26"/>
  <c r="K11" i="26"/>
  <c r="J11" i="26"/>
  <c r="I11" i="26"/>
  <c r="G11" i="26"/>
  <c r="F11" i="26"/>
  <c r="E11" i="26"/>
  <c r="D11" i="26"/>
  <c r="L10" i="26"/>
  <c r="K10" i="26"/>
  <c r="J10" i="26"/>
  <c r="I10" i="26"/>
  <c r="G10" i="26"/>
  <c r="F10" i="26"/>
  <c r="E10" i="26"/>
  <c r="D10" i="26"/>
  <c r="L67" i="20"/>
  <c r="K67" i="20"/>
  <c r="J67" i="20"/>
  <c r="I67" i="20"/>
  <c r="G67" i="20"/>
  <c r="F67" i="20"/>
  <c r="E67" i="20"/>
  <c r="D67" i="20"/>
  <c r="L66" i="20"/>
  <c r="K66" i="20"/>
  <c r="J66" i="20"/>
  <c r="I66" i="20"/>
  <c r="G66" i="20"/>
  <c r="F66" i="20"/>
  <c r="E66" i="20"/>
  <c r="D66" i="20"/>
  <c r="L65" i="20"/>
  <c r="K65" i="20"/>
  <c r="J65" i="20"/>
  <c r="I65" i="20"/>
  <c r="G65" i="20"/>
  <c r="F65" i="20"/>
  <c r="E65" i="20"/>
  <c r="D65" i="20"/>
  <c r="L64" i="20"/>
  <c r="K64" i="20"/>
  <c r="J64" i="20"/>
  <c r="I64" i="20"/>
  <c r="G64" i="20"/>
  <c r="F64" i="20"/>
  <c r="E64" i="20"/>
  <c r="D64" i="20"/>
  <c r="L63" i="20"/>
  <c r="K63" i="20"/>
  <c r="J63" i="20"/>
  <c r="I63" i="20"/>
  <c r="G63" i="20"/>
  <c r="F63" i="20"/>
  <c r="E63" i="20"/>
  <c r="D63" i="20"/>
  <c r="L62" i="20"/>
  <c r="K62" i="20"/>
  <c r="J62" i="20"/>
  <c r="I62" i="20"/>
  <c r="G62" i="20"/>
  <c r="F62" i="20"/>
  <c r="E62" i="20"/>
  <c r="D62" i="20"/>
  <c r="L61" i="20"/>
  <c r="K61" i="20"/>
  <c r="J61" i="20"/>
  <c r="I61" i="20"/>
  <c r="G61" i="20"/>
  <c r="F61" i="20"/>
  <c r="E61" i="20"/>
  <c r="D61" i="20"/>
  <c r="L60" i="20"/>
  <c r="K60" i="20"/>
  <c r="J60" i="20"/>
  <c r="I60" i="20"/>
  <c r="G60" i="20"/>
  <c r="F60" i="20"/>
  <c r="E60" i="20"/>
  <c r="D60" i="20"/>
  <c r="L59" i="20"/>
  <c r="K59" i="20"/>
  <c r="J59" i="20"/>
  <c r="I59" i="20"/>
  <c r="G59" i="20"/>
  <c r="F59" i="20"/>
  <c r="E59" i="20"/>
  <c r="D59" i="20"/>
  <c r="L58" i="20"/>
  <c r="K58" i="20"/>
  <c r="J58" i="20"/>
  <c r="I58" i="20"/>
  <c r="G58" i="20"/>
  <c r="F58" i="20"/>
  <c r="E58" i="20"/>
  <c r="D58" i="20"/>
  <c r="L57" i="20"/>
  <c r="K57" i="20"/>
  <c r="J57" i="20"/>
  <c r="I57" i="20"/>
  <c r="G57" i="20"/>
  <c r="F57" i="20"/>
  <c r="E57" i="20"/>
  <c r="D57" i="20"/>
  <c r="L56" i="20"/>
  <c r="K56" i="20"/>
  <c r="J56" i="20"/>
  <c r="I56" i="20"/>
  <c r="G56" i="20"/>
  <c r="F56" i="20"/>
  <c r="E56" i="20"/>
  <c r="D56" i="20"/>
  <c r="L55" i="20"/>
  <c r="K55" i="20"/>
  <c r="J55" i="20"/>
  <c r="I55" i="20"/>
  <c r="G55" i="20"/>
  <c r="F55" i="20"/>
  <c r="E55" i="20"/>
  <c r="D55" i="20"/>
  <c r="L54" i="20"/>
  <c r="K54" i="20"/>
  <c r="J54" i="20"/>
  <c r="I54" i="20"/>
  <c r="G54" i="20"/>
  <c r="F54" i="20"/>
  <c r="E54" i="20"/>
  <c r="D54" i="20"/>
  <c r="L53" i="20"/>
  <c r="K53" i="20"/>
  <c r="J53" i="20"/>
  <c r="I53" i="20"/>
  <c r="G53" i="20"/>
  <c r="F53" i="20"/>
  <c r="E53" i="20"/>
  <c r="D53" i="20"/>
  <c r="L52" i="20"/>
  <c r="K52" i="20"/>
  <c r="J52" i="20"/>
  <c r="I52" i="20"/>
  <c r="G52" i="20"/>
  <c r="F52" i="20"/>
  <c r="E52" i="20"/>
  <c r="D52" i="20"/>
  <c r="L51" i="20"/>
  <c r="K51" i="20"/>
  <c r="J51" i="20"/>
  <c r="I51" i="20"/>
  <c r="G51" i="20"/>
  <c r="F51" i="20"/>
  <c r="E51" i="20"/>
  <c r="D51" i="20"/>
  <c r="L50" i="20"/>
  <c r="K50" i="20"/>
  <c r="J50" i="20"/>
  <c r="I50" i="20"/>
  <c r="G50" i="20"/>
  <c r="F50" i="20"/>
  <c r="E50" i="20"/>
  <c r="D50" i="20"/>
  <c r="L49" i="20"/>
  <c r="K49" i="20"/>
  <c r="J49" i="20"/>
  <c r="I49" i="20"/>
  <c r="G49" i="20"/>
  <c r="F49" i="20"/>
  <c r="E49" i="20"/>
  <c r="D49" i="20"/>
  <c r="L48" i="20"/>
  <c r="K48" i="20"/>
  <c r="J48" i="20"/>
  <c r="I48" i="20"/>
  <c r="G48" i="20"/>
  <c r="F48" i="20"/>
  <c r="E48" i="20"/>
  <c r="D48" i="20"/>
  <c r="L47" i="20"/>
  <c r="K47" i="20"/>
  <c r="J47" i="20"/>
  <c r="I47" i="20"/>
  <c r="G47" i="20"/>
  <c r="F47" i="20"/>
  <c r="E47" i="20"/>
  <c r="D47" i="20"/>
  <c r="L46" i="20"/>
  <c r="K46" i="20"/>
  <c r="J46" i="20"/>
  <c r="I46" i="20"/>
  <c r="G46" i="20"/>
  <c r="F46" i="20"/>
  <c r="E46" i="20"/>
  <c r="D46" i="20"/>
  <c r="L45" i="20"/>
  <c r="K45" i="20"/>
  <c r="J45" i="20"/>
  <c r="I45" i="20"/>
  <c r="G45" i="20"/>
  <c r="F45" i="20"/>
  <c r="E45" i="20"/>
  <c r="D45" i="20"/>
  <c r="L44" i="20"/>
  <c r="K44" i="20"/>
  <c r="J44" i="20"/>
  <c r="I44" i="20"/>
  <c r="G44" i="20"/>
  <c r="F44" i="20"/>
  <c r="E44" i="20"/>
  <c r="D44" i="20"/>
  <c r="L43" i="20"/>
  <c r="K43" i="20"/>
  <c r="J43" i="20"/>
  <c r="I43" i="20"/>
  <c r="G43" i="20"/>
  <c r="F43" i="20"/>
  <c r="E43" i="20"/>
  <c r="D43" i="20"/>
  <c r="L42" i="20"/>
  <c r="K42" i="20"/>
  <c r="J42" i="20"/>
  <c r="I42" i="20"/>
  <c r="G42" i="20"/>
  <c r="F42" i="20"/>
  <c r="E42" i="20"/>
  <c r="D42" i="20"/>
  <c r="L41" i="20"/>
  <c r="K41" i="20"/>
  <c r="J41" i="20"/>
  <c r="I41" i="20"/>
  <c r="G41" i="20"/>
  <c r="F41" i="20"/>
  <c r="E41" i="20"/>
  <c r="D41" i="20"/>
  <c r="L40" i="20"/>
  <c r="K40" i="20"/>
  <c r="J40" i="20"/>
  <c r="I40" i="20"/>
  <c r="G40" i="20"/>
  <c r="F40" i="20"/>
  <c r="E40" i="20"/>
  <c r="D40" i="20"/>
  <c r="L39" i="20"/>
  <c r="K39" i="20"/>
  <c r="J39" i="20"/>
  <c r="I39" i="20"/>
  <c r="G39" i="20"/>
  <c r="F39" i="20"/>
  <c r="E39" i="20"/>
  <c r="D39" i="20"/>
  <c r="L38" i="20"/>
  <c r="K38" i="20"/>
  <c r="J38" i="20"/>
  <c r="I38" i="20"/>
  <c r="G38" i="20"/>
  <c r="F38" i="20"/>
  <c r="E38" i="20"/>
  <c r="D38" i="20"/>
  <c r="L37" i="20"/>
  <c r="K37" i="20"/>
  <c r="J37" i="20"/>
  <c r="I37" i="20"/>
  <c r="G37" i="20"/>
  <c r="F37" i="20"/>
  <c r="E37" i="20"/>
  <c r="D37" i="20"/>
  <c r="L36" i="20"/>
  <c r="K36" i="20"/>
  <c r="J36" i="20"/>
  <c r="I36" i="20"/>
  <c r="G36" i="20"/>
  <c r="F36" i="20"/>
  <c r="E36" i="20"/>
  <c r="D36" i="20"/>
  <c r="L35" i="20"/>
  <c r="K35" i="20"/>
  <c r="J35" i="20"/>
  <c r="I35" i="20"/>
  <c r="G35" i="20"/>
  <c r="F35" i="20"/>
  <c r="E35" i="20"/>
  <c r="D35" i="20"/>
  <c r="L34" i="20"/>
  <c r="K34" i="20"/>
  <c r="J34" i="20"/>
  <c r="I34" i="20"/>
  <c r="G34" i="20"/>
  <c r="F34" i="20"/>
  <c r="E34" i="20"/>
  <c r="D34" i="20"/>
  <c r="L33" i="20"/>
  <c r="K33" i="20"/>
  <c r="J33" i="20"/>
  <c r="I33" i="20"/>
  <c r="G33" i="20"/>
  <c r="F33" i="20"/>
  <c r="E33" i="20"/>
  <c r="D33" i="20"/>
  <c r="L32" i="20"/>
  <c r="K32" i="20"/>
  <c r="J32" i="20"/>
  <c r="I32" i="20"/>
  <c r="G32" i="20"/>
  <c r="F32" i="20"/>
  <c r="E32" i="20"/>
  <c r="D32" i="20"/>
  <c r="L31" i="20"/>
  <c r="K31" i="20"/>
  <c r="J31" i="20"/>
  <c r="I31" i="20"/>
  <c r="G31" i="20"/>
  <c r="F31" i="20"/>
  <c r="E31" i="20"/>
  <c r="D31" i="20"/>
  <c r="L30" i="20"/>
  <c r="K30" i="20"/>
  <c r="J30" i="20"/>
  <c r="I30" i="20"/>
  <c r="G30" i="20"/>
  <c r="F30" i="20"/>
  <c r="E30" i="20"/>
  <c r="D30" i="20"/>
  <c r="L29" i="20"/>
  <c r="K29" i="20"/>
  <c r="J29" i="20"/>
  <c r="I29" i="20"/>
  <c r="G29" i="20"/>
  <c r="F29" i="20"/>
  <c r="E29" i="20"/>
  <c r="D29" i="20"/>
  <c r="L28" i="20"/>
  <c r="K28" i="20"/>
  <c r="J28" i="20"/>
  <c r="I28" i="20"/>
  <c r="G28" i="20"/>
  <c r="F28" i="20"/>
  <c r="E28" i="20"/>
  <c r="D28" i="20"/>
  <c r="L27" i="20"/>
  <c r="K27" i="20"/>
  <c r="J27" i="20"/>
  <c r="I27" i="20"/>
  <c r="G27" i="20"/>
  <c r="F27" i="20"/>
  <c r="E27" i="20"/>
  <c r="D27" i="20"/>
  <c r="L26" i="20"/>
  <c r="K26" i="20"/>
  <c r="J26" i="20"/>
  <c r="I26" i="20"/>
  <c r="G26" i="20"/>
  <c r="F26" i="20"/>
  <c r="E26" i="20"/>
  <c r="D26" i="20"/>
  <c r="L25" i="20"/>
  <c r="K25" i="20"/>
  <c r="J25" i="20"/>
  <c r="I25" i="20"/>
  <c r="G25" i="20"/>
  <c r="F25" i="20"/>
  <c r="E25" i="20"/>
  <c r="D25" i="20"/>
  <c r="L24" i="20"/>
  <c r="K24" i="20"/>
  <c r="J24" i="20"/>
  <c r="I24" i="20"/>
  <c r="G24" i="20"/>
  <c r="F24" i="20"/>
  <c r="E24" i="20"/>
  <c r="D24" i="20"/>
  <c r="L23" i="20"/>
  <c r="K23" i="20"/>
  <c r="J23" i="20"/>
  <c r="I23" i="20"/>
  <c r="G23" i="20"/>
  <c r="F23" i="20"/>
  <c r="E23" i="20"/>
  <c r="D23" i="20"/>
  <c r="L22" i="20"/>
  <c r="K22" i="20"/>
  <c r="J22" i="20"/>
  <c r="I22" i="20"/>
  <c r="G22" i="20"/>
  <c r="F22" i="20"/>
  <c r="E22" i="20"/>
  <c r="D22" i="20"/>
  <c r="L21" i="20"/>
  <c r="K21" i="20"/>
  <c r="J21" i="20"/>
  <c r="I21" i="20"/>
  <c r="G21" i="20"/>
  <c r="F21" i="20"/>
  <c r="E21" i="20"/>
  <c r="D21" i="20"/>
  <c r="L20" i="20"/>
  <c r="K20" i="20"/>
  <c r="J20" i="20"/>
  <c r="I20" i="20"/>
  <c r="G20" i="20"/>
  <c r="F20" i="20"/>
  <c r="E20" i="20"/>
  <c r="D20" i="20"/>
  <c r="L19" i="20"/>
  <c r="K19" i="20"/>
  <c r="J19" i="20"/>
  <c r="I19" i="20"/>
  <c r="G19" i="20"/>
  <c r="F19" i="20"/>
  <c r="E19" i="20"/>
  <c r="D19" i="20"/>
  <c r="L18" i="20"/>
  <c r="K18" i="20"/>
  <c r="J18" i="20"/>
  <c r="I18" i="20"/>
  <c r="G18" i="20"/>
  <c r="F18" i="20"/>
  <c r="E18" i="20"/>
  <c r="D18" i="20"/>
  <c r="L17" i="20"/>
  <c r="K17" i="20"/>
  <c r="J17" i="20"/>
  <c r="I17" i="20"/>
  <c r="G17" i="20"/>
  <c r="F17" i="20"/>
  <c r="E17" i="20"/>
  <c r="D17" i="20"/>
  <c r="L16" i="20"/>
  <c r="K16" i="20"/>
  <c r="J16" i="20"/>
  <c r="I16" i="20"/>
  <c r="G16" i="20"/>
  <c r="F16" i="20"/>
  <c r="E16" i="20"/>
  <c r="D16" i="20"/>
  <c r="L15" i="20"/>
  <c r="K15" i="20"/>
  <c r="J15" i="20"/>
  <c r="I15" i="20"/>
  <c r="G15" i="20"/>
  <c r="F15" i="20"/>
  <c r="E15" i="20"/>
  <c r="D15" i="20"/>
  <c r="L14" i="20"/>
  <c r="K14" i="20"/>
  <c r="J14" i="20"/>
  <c r="I14" i="20"/>
  <c r="G14" i="20"/>
  <c r="F14" i="20"/>
  <c r="E14" i="20"/>
  <c r="D14" i="20"/>
  <c r="L13" i="20"/>
  <c r="K13" i="20"/>
  <c r="J13" i="20"/>
  <c r="I13" i="20"/>
  <c r="G13" i="20"/>
  <c r="F13" i="20"/>
  <c r="E13" i="20"/>
  <c r="D13" i="20"/>
  <c r="L12" i="20"/>
  <c r="K12" i="20"/>
  <c r="J12" i="20"/>
  <c r="I12" i="20"/>
  <c r="G12" i="20"/>
  <c r="F12" i="20"/>
  <c r="E12" i="20"/>
  <c r="D12" i="20"/>
  <c r="L11" i="20"/>
  <c r="K11" i="20"/>
  <c r="J11" i="20"/>
  <c r="I11" i="20"/>
  <c r="G11" i="20"/>
  <c r="F11" i="20"/>
  <c r="E11" i="20"/>
  <c r="D11" i="20"/>
  <c r="L10" i="20"/>
  <c r="K10" i="20"/>
  <c r="J10" i="20"/>
  <c r="I10" i="20"/>
  <c r="G10" i="20"/>
  <c r="F10" i="20"/>
  <c r="E10" i="20"/>
  <c r="D10" i="20"/>
  <c r="L79" i="10"/>
  <c r="K79" i="10"/>
  <c r="J79" i="10"/>
  <c r="I79" i="10"/>
  <c r="G79" i="10"/>
  <c r="F79" i="10"/>
  <c r="E79" i="10"/>
  <c r="D79" i="10"/>
  <c r="L69" i="10"/>
  <c r="K69" i="10"/>
  <c r="J69" i="10"/>
  <c r="I69" i="10"/>
  <c r="G69" i="10"/>
  <c r="F69" i="10"/>
  <c r="E69" i="10"/>
  <c r="D69" i="10"/>
  <c r="L68" i="10"/>
  <c r="K68" i="10"/>
  <c r="J68" i="10"/>
  <c r="I68" i="10"/>
  <c r="G68" i="10"/>
  <c r="F68" i="10"/>
  <c r="E68" i="10"/>
  <c r="D68" i="10"/>
  <c r="L67" i="10"/>
  <c r="K67" i="10"/>
  <c r="J67" i="10"/>
  <c r="I67" i="10"/>
  <c r="G67" i="10"/>
  <c r="F67" i="10"/>
  <c r="E67" i="10"/>
  <c r="D67" i="10"/>
  <c r="L66" i="10"/>
  <c r="K66" i="10"/>
  <c r="J66" i="10"/>
  <c r="I66" i="10"/>
  <c r="G66" i="10"/>
  <c r="F66" i="10"/>
  <c r="E66" i="10"/>
  <c r="D66" i="10"/>
  <c r="L65" i="10"/>
  <c r="K65" i="10"/>
  <c r="J65" i="10"/>
  <c r="I65" i="10"/>
  <c r="G65" i="10"/>
  <c r="F65" i="10"/>
  <c r="E65" i="10"/>
  <c r="D65" i="10"/>
  <c r="L64" i="10"/>
  <c r="K64" i="10"/>
  <c r="J64" i="10"/>
  <c r="I64" i="10"/>
  <c r="G64" i="10"/>
  <c r="F64" i="10"/>
  <c r="E64" i="10"/>
  <c r="D64" i="10"/>
  <c r="L63" i="10"/>
  <c r="K63" i="10"/>
  <c r="J63" i="10"/>
  <c r="I63" i="10"/>
  <c r="G63" i="10"/>
  <c r="F63" i="10"/>
  <c r="E63" i="10"/>
  <c r="D63" i="10"/>
  <c r="L62" i="10"/>
  <c r="K62" i="10"/>
  <c r="J62" i="10"/>
  <c r="I62" i="10"/>
  <c r="G62" i="10"/>
  <c r="F62" i="10"/>
  <c r="E62" i="10"/>
  <c r="D62" i="10"/>
  <c r="L61" i="10"/>
  <c r="K61" i="10"/>
  <c r="J61" i="10"/>
  <c r="I61" i="10"/>
  <c r="G61" i="10"/>
  <c r="F61" i="10"/>
  <c r="E61" i="10"/>
  <c r="D61" i="10"/>
  <c r="L60" i="10"/>
  <c r="K60" i="10"/>
  <c r="J60" i="10"/>
  <c r="I60" i="10"/>
  <c r="G60" i="10"/>
  <c r="F60" i="10"/>
  <c r="E60" i="10"/>
  <c r="D60" i="10"/>
  <c r="L59" i="10"/>
  <c r="K59" i="10"/>
  <c r="J59" i="10"/>
  <c r="I59" i="10"/>
  <c r="G59" i="10"/>
  <c r="F59" i="10"/>
  <c r="E59" i="10"/>
  <c r="D59" i="10"/>
  <c r="L58" i="10"/>
  <c r="K58" i="10"/>
  <c r="J58" i="10"/>
  <c r="I58" i="10"/>
  <c r="G58" i="10"/>
  <c r="F58" i="10"/>
  <c r="E58" i="10"/>
  <c r="D58" i="10"/>
  <c r="L57" i="10"/>
  <c r="K57" i="10"/>
  <c r="J57" i="10"/>
  <c r="I57" i="10"/>
  <c r="G57" i="10"/>
  <c r="F57" i="10"/>
  <c r="E57" i="10"/>
  <c r="D57" i="10"/>
  <c r="L56" i="10"/>
  <c r="K56" i="10"/>
  <c r="J56" i="10"/>
  <c r="I56" i="10"/>
  <c r="G56" i="10"/>
  <c r="F56" i="10"/>
  <c r="E56" i="10"/>
  <c r="D56" i="10"/>
  <c r="L55" i="10"/>
  <c r="K55" i="10"/>
  <c r="J55" i="10"/>
  <c r="I55" i="10"/>
  <c r="G55" i="10"/>
  <c r="F55" i="10"/>
  <c r="E55" i="10"/>
  <c r="D55" i="10"/>
  <c r="L54" i="10"/>
  <c r="K54" i="10"/>
  <c r="J54" i="10"/>
  <c r="I54" i="10"/>
  <c r="G54" i="10"/>
  <c r="F54" i="10"/>
  <c r="E54" i="10"/>
  <c r="D54" i="10"/>
  <c r="L53" i="10"/>
  <c r="K53" i="10"/>
  <c r="J53" i="10"/>
  <c r="I53" i="10"/>
  <c r="G53" i="10"/>
  <c r="F53" i="10"/>
  <c r="E53" i="10"/>
  <c r="D53" i="10"/>
  <c r="L52" i="10"/>
  <c r="K52" i="10"/>
  <c r="J52" i="10"/>
  <c r="I52" i="10"/>
  <c r="G52" i="10"/>
  <c r="F52" i="10"/>
  <c r="E52" i="10"/>
  <c r="D52" i="10"/>
  <c r="L51" i="10"/>
  <c r="K51" i="10"/>
  <c r="J51" i="10"/>
  <c r="I51" i="10"/>
  <c r="G51" i="10"/>
  <c r="F51" i="10"/>
  <c r="E51" i="10"/>
  <c r="D51" i="10"/>
  <c r="L50" i="10"/>
  <c r="K50" i="10"/>
  <c r="J50" i="10"/>
  <c r="I50" i="10"/>
  <c r="G50" i="10"/>
  <c r="F50" i="10"/>
  <c r="E50" i="10"/>
  <c r="D50" i="10"/>
  <c r="L49" i="10"/>
  <c r="K49" i="10"/>
  <c r="J49" i="10"/>
  <c r="I49" i="10"/>
  <c r="G49" i="10"/>
  <c r="F49" i="10"/>
  <c r="E49" i="10"/>
  <c r="D49" i="10"/>
  <c r="L48" i="10"/>
  <c r="K48" i="10"/>
  <c r="J48" i="10"/>
  <c r="I48" i="10"/>
  <c r="G48" i="10"/>
  <c r="F48" i="10"/>
  <c r="E48" i="10"/>
  <c r="D48" i="10"/>
  <c r="L47" i="10"/>
  <c r="K47" i="10"/>
  <c r="J47" i="10"/>
  <c r="I47" i="10"/>
  <c r="G47" i="10"/>
  <c r="F47" i="10"/>
  <c r="E47" i="10"/>
  <c r="D47" i="10"/>
  <c r="L46" i="10"/>
  <c r="K46" i="10"/>
  <c r="J46" i="10"/>
  <c r="I46" i="10"/>
  <c r="G46" i="10"/>
  <c r="F46" i="10"/>
  <c r="E46" i="10"/>
  <c r="D46" i="10"/>
  <c r="L45" i="10"/>
  <c r="K45" i="10"/>
  <c r="J45" i="10"/>
  <c r="I45" i="10"/>
  <c r="G45" i="10"/>
  <c r="F45" i="10"/>
  <c r="E45" i="10"/>
  <c r="D45" i="10"/>
  <c r="L44" i="10"/>
  <c r="K44" i="10"/>
  <c r="J44" i="10"/>
  <c r="I44" i="10"/>
  <c r="G44" i="10"/>
  <c r="F44" i="10"/>
  <c r="E44" i="10"/>
  <c r="D44" i="10"/>
  <c r="L43" i="10"/>
  <c r="K43" i="10"/>
  <c r="J43" i="10"/>
  <c r="I43" i="10"/>
  <c r="G43" i="10"/>
  <c r="F43" i="10"/>
  <c r="E43" i="10"/>
  <c r="D43" i="10"/>
  <c r="L42" i="10"/>
  <c r="K42" i="10"/>
  <c r="J42" i="10"/>
  <c r="I42" i="10"/>
  <c r="G42" i="10"/>
  <c r="F42" i="10"/>
  <c r="E42" i="10"/>
  <c r="D42" i="10"/>
  <c r="L41" i="10"/>
  <c r="K41" i="10"/>
  <c r="J41" i="10"/>
  <c r="I41" i="10"/>
  <c r="G41" i="10"/>
  <c r="F41" i="10"/>
  <c r="E41" i="10"/>
  <c r="D41" i="10"/>
  <c r="L40" i="10"/>
  <c r="K40" i="10"/>
  <c r="J40" i="10"/>
  <c r="I40" i="10"/>
  <c r="G40" i="10"/>
  <c r="F40" i="10"/>
  <c r="E40" i="10"/>
  <c r="D40" i="10"/>
  <c r="L39" i="10"/>
  <c r="K39" i="10"/>
  <c r="J39" i="10"/>
  <c r="I39" i="10"/>
  <c r="G39" i="10"/>
  <c r="F39" i="10"/>
  <c r="E39" i="10"/>
  <c r="D39" i="10"/>
  <c r="L38" i="10"/>
  <c r="K38" i="10"/>
  <c r="J38" i="10"/>
  <c r="I38" i="10"/>
  <c r="G38" i="10"/>
  <c r="F38" i="10"/>
  <c r="E38" i="10"/>
  <c r="D38" i="10"/>
  <c r="L37" i="10"/>
  <c r="K37" i="10"/>
  <c r="J37" i="10"/>
  <c r="I37" i="10"/>
  <c r="G37" i="10"/>
  <c r="F37" i="10"/>
  <c r="E37" i="10"/>
  <c r="D37" i="10"/>
  <c r="L36" i="10"/>
  <c r="K36" i="10"/>
  <c r="J36" i="10"/>
  <c r="I36" i="10"/>
  <c r="G36" i="10"/>
  <c r="F36" i="10"/>
  <c r="E36" i="10"/>
  <c r="D36" i="10"/>
  <c r="L35" i="10"/>
  <c r="K35" i="10"/>
  <c r="J35" i="10"/>
  <c r="I35" i="10"/>
  <c r="G35" i="10"/>
  <c r="F35" i="10"/>
  <c r="E35" i="10"/>
  <c r="D35" i="10"/>
  <c r="L34" i="10"/>
  <c r="K34" i="10"/>
  <c r="J34" i="10"/>
  <c r="I34" i="10"/>
  <c r="G34" i="10"/>
  <c r="F34" i="10"/>
  <c r="E34" i="10"/>
  <c r="D34" i="10"/>
  <c r="L33" i="10"/>
  <c r="K33" i="10"/>
  <c r="J33" i="10"/>
  <c r="I33" i="10"/>
  <c r="G33" i="10"/>
  <c r="F33" i="10"/>
  <c r="E33" i="10"/>
  <c r="D33" i="10"/>
  <c r="L32" i="10"/>
  <c r="K32" i="10"/>
  <c r="J32" i="10"/>
  <c r="I32" i="10"/>
  <c r="G32" i="10"/>
  <c r="F32" i="10"/>
  <c r="E32" i="10"/>
  <c r="D32" i="10"/>
  <c r="L31" i="10"/>
  <c r="K31" i="10"/>
  <c r="J31" i="10"/>
  <c r="I31" i="10"/>
  <c r="G31" i="10"/>
  <c r="F31" i="10"/>
  <c r="E31" i="10"/>
  <c r="D31" i="10"/>
  <c r="L30" i="10"/>
  <c r="K30" i="10"/>
  <c r="J30" i="10"/>
  <c r="I30" i="10"/>
  <c r="G30" i="10"/>
  <c r="F30" i="10"/>
  <c r="E30" i="10"/>
  <c r="D30" i="10"/>
  <c r="L29" i="10"/>
  <c r="K29" i="10"/>
  <c r="J29" i="10"/>
  <c r="I29" i="10"/>
  <c r="G29" i="10"/>
  <c r="F29" i="10"/>
  <c r="E29" i="10"/>
  <c r="D29" i="10"/>
  <c r="L28" i="10"/>
  <c r="K28" i="10"/>
  <c r="J28" i="10"/>
  <c r="I28" i="10"/>
  <c r="G28" i="10"/>
  <c r="F28" i="10"/>
  <c r="E28" i="10"/>
  <c r="D28" i="10"/>
  <c r="L27" i="10"/>
  <c r="K27" i="10"/>
  <c r="J27" i="10"/>
  <c r="I27" i="10"/>
  <c r="G27" i="10"/>
  <c r="F27" i="10"/>
  <c r="E27" i="10"/>
  <c r="D27" i="10"/>
  <c r="L26" i="10"/>
  <c r="K26" i="10"/>
  <c r="J26" i="10"/>
  <c r="I26" i="10"/>
  <c r="G26" i="10"/>
  <c r="F26" i="10"/>
  <c r="E26" i="10"/>
  <c r="D26" i="10"/>
  <c r="L25" i="10"/>
  <c r="K25" i="10"/>
  <c r="J25" i="10"/>
  <c r="I25" i="10"/>
  <c r="G25" i="10"/>
  <c r="F25" i="10"/>
  <c r="E25" i="10"/>
  <c r="D25" i="10"/>
  <c r="L24" i="10"/>
  <c r="K24" i="10"/>
  <c r="J24" i="10"/>
  <c r="I24" i="10"/>
  <c r="G24" i="10"/>
  <c r="F24" i="10"/>
  <c r="E24" i="10"/>
  <c r="D24" i="10"/>
  <c r="L23" i="10"/>
  <c r="K23" i="10"/>
  <c r="J23" i="10"/>
  <c r="I23" i="10"/>
  <c r="G23" i="10"/>
  <c r="F23" i="10"/>
  <c r="E23" i="10"/>
  <c r="D23" i="10"/>
  <c r="L22" i="10"/>
  <c r="K22" i="10"/>
  <c r="J22" i="10"/>
  <c r="I22" i="10"/>
  <c r="G22" i="10"/>
  <c r="F22" i="10"/>
  <c r="E22" i="10"/>
  <c r="D22" i="10"/>
  <c r="L21" i="10"/>
  <c r="K21" i="10"/>
  <c r="J21" i="10"/>
  <c r="I21" i="10"/>
  <c r="G21" i="10"/>
  <c r="F21" i="10"/>
  <c r="E21" i="10"/>
  <c r="D21" i="10"/>
  <c r="L20" i="10"/>
  <c r="K20" i="10"/>
  <c r="J20" i="10"/>
  <c r="I20" i="10"/>
  <c r="G20" i="10"/>
  <c r="F20" i="10"/>
  <c r="E20" i="10"/>
  <c r="D20" i="10"/>
  <c r="L19" i="10"/>
  <c r="K19" i="10"/>
  <c r="J19" i="10"/>
  <c r="I19" i="10"/>
  <c r="G19" i="10"/>
  <c r="F19" i="10"/>
  <c r="E19" i="10"/>
  <c r="D19" i="10"/>
  <c r="L18" i="10"/>
  <c r="K18" i="10"/>
  <c r="J18" i="10"/>
  <c r="I18" i="10"/>
  <c r="G18" i="10"/>
  <c r="F18" i="10"/>
  <c r="E18" i="10"/>
  <c r="D18" i="10"/>
  <c r="L17" i="10"/>
  <c r="K17" i="10"/>
  <c r="J17" i="10"/>
  <c r="I17" i="10"/>
  <c r="G17" i="10"/>
  <c r="F17" i="10"/>
  <c r="E17" i="10"/>
  <c r="D17" i="10"/>
  <c r="L16" i="10"/>
  <c r="K16" i="10"/>
  <c r="J16" i="10"/>
  <c r="I16" i="10"/>
  <c r="G16" i="10"/>
  <c r="F16" i="10"/>
  <c r="E16" i="10"/>
  <c r="D16" i="10"/>
  <c r="L15" i="10"/>
  <c r="K15" i="10"/>
  <c r="J15" i="10"/>
  <c r="I15" i="10"/>
  <c r="G15" i="10"/>
  <c r="F15" i="10"/>
  <c r="E15" i="10"/>
  <c r="D15" i="10"/>
  <c r="L14" i="10"/>
  <c r="K14" i="10"/>
  <c r="J14" i="10"/>
  <c r="I14" i="10"/>
  <c r="G14" i="10"/>
  <c r="F14" i="10"/>
  <c r="E14" i="10"/>
  <c r="D14" i="10"/>
  <c r="L13" i="10"/>
  <c r="K13" i="10"/>
  <c r="J13" i="10"/>
  <c r="I13" i="10"/>
  <c r="G13" i="10"/>
  <c r="F13" i="10"/>
  <c r="E13" i="10"/>
  <c r="D13" i="10"/>
  <c r="L12" i="10"/>
  <c r="K12" i="10"/>
  <c r="J12" i="10"/>
  <c r="I12" i="10"/>
  <c r="G12" i="10"/>
  <c r="F12" i="10"/>
  <c r="E12" i="10"/>
  <c r="D12" i="10"/>
  <c r="L11" i="10"/>
  <c r="K11" i="10"/>
  <c r="J11" i="10"/>
  <c r="I11" i="10"/>
  <c r="G11" i="10"/>
  <c r="F11" i="10"/>
  <c r="E11" i="10"/>
  <c r="D11" i="10"/>
  <c r="L10" i="10"/>
  <c r="K10" i="10"/>
  <c r="J10" i="10"/>
  <c r="I10" i="10"/>
  <c r="G10" i="10"/>
  <c r="F10" i="10"/>
  <c r="E10" i="10"/>
  <c r="D10" i="10"/>
  <c r="D33" i="25"/>
  <c r="D32" i="25"/>
  <c r="D31" i="25"/>
  <c r="D30" i="25"/>
  <c r="D29" i="25"/>
  <c r="D28" i="25"/>
  <c r="D27" i="25"/>
  <c r="D26" i="25"/>
  <c r="D9" i="25"/>
  <c r="M7" i="8"/>
  <c r="L7" i="8"/>
  <c r="K7" i="8"/>
  <c r="J7" i="8"/>
  <c r="I7" i="8"/>
  <c r="H7" i="8"/>
  <c r="G7" i="8"/>
  <c r="F7" i="8"/>
  <c r="E7" i="8"/>
  <c r="H180" i="37" l="1"/>
  <c r="H178" i="37"/>
  <c r="H177" i="37"/>
  <c r="C176" i="25"/>
  <c r="C174" i="25"/>
  <c r="G179" i="37"/>
  <c r="H179" i="37"/>
  <c r="G176" i="37"/>
  <c r="H176" i="37"/>
  <c r="G174" i="37"/>
  <c r="H174" i="37"/>
  <c r="G175" i="37"/>
  <c r="H175" i="37"/>
  <c r="G181" i="37"/>
  <c r="H181" i="37"/>
  <c r="E30" i="25"/>
  <c r="O30" i="25" s="1"/>
  <c r="E18" i="35"/>
  <c r="O18" i="35" s="1"/>
  <c r="E13" i="35"/>
  <c r="O13" i="35" s="1"/>
  <c r="E26" i="35"/>
  <c r="O26" i="35" s="1"/>
  <c r="C190" i="35"/>
  <c r="E10" i="35"/>
  <c r="O10" i="35" s="1"/>
  <c r="E17" i="35"/>
  <c r="O17" i="35" s="1"/>
  <c r="C187" i="35"/>
  <c r="C183" i="35"/>
  <c r="C178" i="35"/>
  <c r="D178" i="35" s="1"/>
  <c r="C185" i="35"/>
  <c r="C179" i="35"/>
  <c r="D179" i="35" s="1"/>
  <c r="C186" i="35"/>
  <c r="C188" i="35"/>
  <c r="E22" i="35"/>
  <c r="O22" i="35" s="1"/>
  <c r="C189" i="35"/>
  <c r="C177" i="35"/>
  <c r="D177" i="35" s="1"/>
  <c r="C182" i="35"/>
  <c r="K26" i="25"/>
  <c r="K30" i="25"/>
  <c r="M32" i="25"/>
  <c r="K32" i="25"/>
  <c r="E32" i="25"/>
  <c r="O32" i="25" s="1"/>
  <c r="E28" i="25"/>
  <c r="O28" i="25" s="1"/>
  <c r="M28" i="25"/>
  <c r="E26" i="25"/>
  <c r="O26" i="25" s="1"/>
  <c r="E29" i="25"/>
  <c r="O29" i="25" s="1"/>
  <c r="Q34" i="25"/>
  <c r="J34" i="25"/>
  <c r="P34" i="25"/>
  <c r="R34" i="25"/>
  <c r="I34" i="25"/>
  <c r="L34" i="25"/>
  <c r="E31" i="25"/>
  <c r="O31" i="25" s="1"/>
  <c r="C187" i="25"/>
  <c r="C178" i="25"/>
  <c r="C171" i="25"/>
  <c r="C177" i="25"/>
  <c r="C190" i="25"/>
  <c r="C172" i="25"/>
  <c r="C186" i="25"/>
  <c r="C170" i="25"/>
  <c r="C185" i="25"/>
  <c r="C169" i="25"/>
  <c r="C179" i="25"/>
  <c r="C184" i="25"/>
  <c r="C175" i="25"/>
  <c r="C183" i="25"/>
  <c r="C173" i="25"/>
  <c r="C182" i="25"/>
  <c r="C189" i="25"/>
  <c r="C188" i="25"/>
  <c r="M31" i="25"/>
  <c r="K27" i="25"/>
  <c r="K31" i="25"/>
  <c r="M33" i="25"/>
  <c r="K29" i="25"/>
  <c r="M29" i="25"/>
  <c r="M9" i="25"/>
  <c r="E33" i="25"/>
  <c r="O33" i="25" s="1"/>
  <c r="E9" i="25"/>
  <c r="O9" i="25" s="1"/>
  <c r="E27" i="25"/>
  <c r="O27" i="25" s="1"/>
  <c r="M27" i="25"/>
  <c r="K33" i="25"/>
  <c r="K9" i="25"/>
  <c r="M26" i="25"/>
  <c r="K28" i="25"/>
  <c r="M30" i="25"/>
  <c r="G174" i="25" l="1"/>
  <c r="F174" i="25"/>
  <c r="G176" i="25"/>
  <c r="F176" i="25"/>
  <c r="G170" i="25"/>
  <c r="F170" i="25"/>
  <c r="G172" i="25"/>
  <c r="F172" i="25"/>
  <c r="G175" i="25"/>
  <c r="F175" i="25"/>
  <c r="G173" i="25"/>
  <c r="F173" i="25"/>
  <c r="G177" i="25"/>
  <c r="F177" i="25"/>
  <c r="F179" i="25"/>
  <c r="G179" i="25"/>
  <c r="G171" i="25"/>
  <c r="F171" i="25"/>
  <c r="F169" i="25"/>
  <c r="G169" i="25"/>
  <c r="F178" i="25"/>
  <c r="G178" i="25"/>
  <c r="M34" i="25"/>
  <c r="K34" i="25"/>
  <c r="O34" i="25"/>
  <c r="B4" i="26"/>
  <c r="B4" i="10"/>
  <c r="C34" i="25"/>
  <c r="D34" i="25"/>
  <c r="B4" i="19"/>
  <c r="B4" i="20"/>
  <c r="B4" i="18"/>
  <c r="B4" i="23"/>
  <c r="B4" i="22"/>
  <c r="B4" i="21" l="1"/>
  <c r="B4" i="17" l="1"/>
  <c r="B4" i="16"/>
  <c r="B4" i="15"/>
  <c r="B4" i="13" l="1"/>
  <c r="B4" i="12"/>
  <c r="B4" i="6"/>
  <c r="B4" i="11"/>
  <c r="E9" i="35" l="1"/>
  <c r="O9" i="35" s="1"/>
  <c r="C184" i="35" l="1"/>
  <c r="C180" i="35" l="1"/>
  <c r="D180" i="35" s="1"/>
  <c r="E28" i="35" l="1"/>
  <c r="O28" i="35" s="1"/>
  <c r="E29" i="35"/>
  <c r="O29" i="35" s="1"/>
  <c r="E30" i="35"/>
  <c r="O30" i="35" s="1"/>
  <c r="E31" i="35"/>
  <c r="O31" i="35" s="1"/>
  <c r="E32" i="35"/>
  <c r="O32" i="35" s="1"/>
  <c r="E33" i="35"/>
  <c r="O33" i="35" s="1"/>
  <c r="D34" i="35"/>
  <c r="C10" i="35" l="1"/>
  <c r="C18" i="35"/>
  <c r="C26" i="35"/>
  <c r="C9" i="35"/>
  <c r="C19" i="35"/>
  <c r="C11" i="35"/>
  <c r="C12" i="35"/>
  <c r="C20" i="35"/>
  <c r="C13" i="35"/>
  <c r="C21" i="35"/>
  <c r="C14" i="35"/>
  <c r="C22" i="35"/>
  <c r="C15" i="35"/>
  <c r="C23" i="35"/>
  <c r="C25" i="35"/>
  <c r="C16" i="35"/>
  <c r="C24" i="35"/>
  <c r="C17" i="35"/>
  <c r="C176" i="35"/>
  <c r="D176" i="35" s="1"/>
  <c r="O34" i="35"/>
  <c r="C172" i="35" l="1"/>
  <c r="D172" i="35" s="1"/>
  <c r="C173" i="35"/>
  <c r="D173" i="35" s="1"/>
  <c r="C174" i="35"/>
  <c r="D174" i="35" s="1"/>
  <c r="C169" i="35"/>
  <c r="D169" i="35" s="1"/>
  <c r="C175" i="35"/>
  <c r="D175" i="35" s="1"/>
  <c r="C170" i="35"/>
  <c r="D170" i="35" s="1"/>
  <c r="R34" i="35"/>
  <c r="C171" i="35"/>
  <c r="D171" i="35" s="1"/>
  <c r="Q34" i="35"/>
  <c r="C34" i="35"/>
  <c r="P34" i="35"/>
  <c r="K34" i="35"/>
  <c r="I34" i="35"/>
  <c r="L34" i="35"/>
  <c r="M34" i="35"/>
  <c r="J34" i="35"/>
  <c r="C185" i="37"/>
  <c r="H185" i="37" s="1"/>
  <c r="C180" i="25"/>
  <c r="G180" i="25" s="1"/>
  <c r="F185" i="37" l="1"/>
  <c r="F180" i="25"/>
</calcChain>
</file>

<file path=xl/sharedStrings.xml><?xml version="1.0" encoding="utf-8"?>
<sst xmlns="http://schemas.openxmlformats.org/spreadsheetml/2006/main" count="4069" uniqueCount="810">
  <si>
    <t>Retorno</t>
  </si>
  <si>
    <t xml:space="preserve">Características </t>
  </si>
  <si>
    <t>Part. IFIX</t>
  </si>
  <si>
    <t>Fechamento</t>
  </si>
  <si>
    <t>Máximo</t>
  </si>
  <si>
    <t>Valor de Mercado</t>
  </si>
  <si>
    <t>Valor Patrimonial</t>
  </si>
  <si>
    <t>P/VPA</t>
  </si>
  <si>
    <t>Dividend Yield (% ao ano)</t>
  </si>
  <si>
    <t>No Mês</t>
  </si>
  <si>
    <t>No Ano</t>
  </si>
  <si>
    <t>Código</t>
  </si>
  <si>
    <t>Nome</t>
  </si>
  <si>
    <t>Gestor</t>
  </si>
  <si>
    <t>Segmento</t>
  </si>
  <si>
    <t>%</t>
  </si>
  <si>
    <t xml:space="preserve">R$ </t>
  </si>
  <si>
    <t>R$</t>
  </si>
  <si>
    <t>Atual</t>
  </si>
  <si>
    <t>Híbrido</t>
  </si>
  <si>
    <t>Educacional</t>
  </si>
  <si>
    <t>Outros</t>
  </si>
  <si>
    <t>BRCR11</t>
  </si>
  <si>
    <t>BRCO11</t>
  </si>
  <si>
    <t>BTLG11</t>
  </si>
  <si>
    <t>Hospital</t>
  </si>
  <si>
    <t>HGRU11</t>
  </si>
  <si>
    <t>HGBS11</t>
  </si>
  <si>
    <t>Hotel</t>
  </si>
  <si>
    <t>KNIP11</t>
  </si>
  <si>
    <t>Residencial</t>
  </si>
  <si>
    <t>KNCR11</t>
  </si>
  <si>
    <t>RBRR11</t>
  </si>
  <si>
    <t>RBRY11</t>
  </si>
  <si>
    <t>VILG11</t>
  </si>
  <si>
    <t>Disclaimer:</t>
  </si>
  <si>
    <t>Retorno no Mês</t>
  </si>
  <si>
    <t>Daniel Marinelli</t>
  </si>
  <si>
    <t>Análise Segmentos</t>
  </si>
  <si>
    <t>Administrador</t>
  </si>
  <si>
    <t>LTM</t>
  </si>
  <si>
    <t>Dividend Yield LTM</t>
  </si>
  <si>
    <t>Retorno LTM</t>
  </si>
  <si>
    <t>Fundo de Fundos</t>
  </si>
  <si>
    <t>-</t>
  </si>
  <si>
    <t>Retorno no Ano</t>
  </si>
  <si>
    <t>(%)</t>
  </si>
  <si>
    <t>Volume de Negociação</t>
  </si>
  <si>
    <t>Média - 3 Meses (R$)</t>
  </si>
  <si>
    <t>Média Diária (R$)</t>
  </si>
  <si>
    <t>Total (R$)</t>
  </si>
  <si>
    <t>Média</t>
  </si>
  <si>
    <t>Média (% ao ano)</t>
  </si>
  <si>
    <t>Média (%)</t>
  </si>
  <si>
    <t>Fundo</t>
  </si>
  <si>
    <t>Média (R$)</t>
  </si>
  <si>
    <t>(% ao ano)</t>
  </si>
  <si>
    <t>Menu</t>
  </si>
  <si>
    <t>Valor mercado vs. valor patrimonial</t>
  </si>
  <si>
    <t>Total (%)</t>
  </si>
  <si>
    <t>P/VPA Atual</t>
  </si>
  <si>
    <t>Shopping Center</t>
  </si>
  <si>
    <t>Agência Bancária</t>
  </si>
  <si>
    <t>Laje Corporativa</t>
  </si>
  <si>
    <t>Recebível</t>
  </si>
  <si>
    <t>Galpão Logístico</t>
  </si>
  <si>
    <t>Desenvolvimento</t>
  </si>
  <si>
    <t>Varejo</t>
  </si>
  <si>
    <t>Stock Guide</t>
  </si>
  <si>
    <t>Disclaimer</t>
  </si>
  <si>
    <t>Glossário:</t>
  </si>
  <si>
    <t>Participação do fundo no Índice de Fundos Imobiliários (IFIX)</t>
  </si>
  <si>
    <t>Volume de negociação do fundo no mercado secundário</t>
  </si>
  <si>
    <t>Valor do fundo negociado no mercado secundário</t>
  </si>
  <si>
    <t>Valor do fundo segundo uma análise feita por uma empresa terceira</t>
  </si>
  <si>
    <t>Desconto ou prêmio de negociação entre o valor de mercado e o patrimônio líquido atual</t>
  </si>
  <si>
    <t>Dividend Yield LTM (Last Twelve Months)</t>
  </si>
  <si>
    <t>Retorno LTM (Last Twelve Months)</t>
  </si>
  <si>
    <t>Desempenho do fundo (valorização|desvalorização + rendimento) no mês</t>
  </si>
  <si>
    <t>Desempenho do fundo (valorização|desvalorização + rendimento) no ano</t>
  </si>
  <si>
    <t>Desempenho do fundo (valorização|desvalorização + rendimento) nos últimos 12 meses</t>
  </si>
  <si>
    <t>Código de negociação do fundo no mercado secundário</t>
  </si>
  <si>
    <t>Nome do fundo registrado na Anbima</t>
  </si>
  <si>
    <t xml:space="preserve">Gestor do fundo </t>
  </si>
  <si>
    <t>Administrador do fundo</t>
  </si>
  <si>
    <t>Segmento de atuação do fundo</t>
  </si>
  <si>
    <t>Preço por cota do último fechamento do fundo no mercado secundário</t>
  </si>
  <si>
    <t>Preço máximo por cota que o fundo já negociou no mercado secundário desde sua criação</t>
  </si>
  <si>
    <t>Fórmulas:</t>
  </si>
  <si>
    <t>Dividend Yield</t>
  </si>
  <si>
    <t>V/VPA</t>
  </si>
  <si>
    <t>= 100 * (1 - (fechamento[h] / fechamento[h-1]))</t>
  </si>
  <si>
    <t>= Valor de mercado por cota / valor patrimonial por cota</t>
  </si>
  <si>
    <t>= Provento pago por cota / valor de mercado por cota</t>
  </si>
  <si>
    <t>PVBI11</t>
  </si>
  <si>
    <t>Matheus Oliveira</t>
  </si>
  <si>
    <t>P/VPA 2020</t>
  </si>
  <si>
    <t>Peso</t>
  </si>
  <si>
    <t>Características</t>
  </si>
  <si>
    <t>Preço</t>
  </si>
  <si>
    <t>Liquidez</t>
  </si>
  <si>
    <t>Performance</t>
  </si>
  <si>
    <t>Ticker</t>
  </si>
  <si>
    <t>R$/Cota</t>
  </si>
  <si>
    <t>Anualizado</t>
  </si>
  <si>
    <t>Dividend Yield Anualizado</t>
  </si>
  <si>
    <t>Desconto ou prêmio de negociação entre o valor de mercado e o patrimônio líquido em 2020</t>
  </si>
  <si>
    <t>Rendimento anual de um FII, calculado pela divisão entre os últimos 12 meses de proventos pelo preço de mercado</t>
  </si>
  <si>
    <t>Rendimento anual de um FII, calculado pela divisão entre o último provento pago (anualizado) pelo preço de mercado</t>
  </si>
  <si>
    <t>Glossário</t>
  </si>
  <si>
    <t>Div. do Mês (R$)</t>
  </si>
  <si>
    <t/>
  </si>
  <si>
    <t xml:space="preserve">BTG Pactual - Equity Research </t>
  </si>
  <si>
    <t>Agronegócio</t>
  </si>
  <si>
    <t>Distribuição P/VPA</t>
  </si>
  <si>
    <t>Distribuição Dividendos LTM</t>
  </si>
  <si>
    <t>Dividendos Mensais</t>
  </si>
  <si>
    <t>BTCI11</t>
  </si>
  <si>
    <t>FI-Infra</t>
  </si>
  <si>
    <t>BTG Pactual</t>
  </si>
  <si>
    <t>Recebíveis</t>
  </si>
  <si>
    <t>Galpões Logísticos</t>
  </si>
  <si>
    <t>Lajes Corporativas</t>
  </si>
  <si>
    <t>Shopping Centers</t>
  </si>
  <si>
    <t>Híbridos</t>
  </si>
  <si>
    <t>Stock Guide de
Fundos Listados</t>
  </si>
  <si>
    <t>FIAgro - FII</t>
  </si>
  <si>
    <t>FIAgro - FIDC</t>
  </si>
  <si>
    <t>Comparativo Setorial</t>
  </si>
  <si>
    <t>Tipo</t>
  </si>
  <si>
    <t>Última Dist. (%)</t>
  </si>
  <si>
    <t>Cotas</t>
  </si>
  <si>
    <t>Composição da Carteira</t>
  </si>
  <si>
    <r>
      <t xml:space="preserve">*Ressaltamos que só será possível simular carteiras cujos fundos possuam liquidez acima de R$ 50 mil/dia. **Não deixe de acessar nossos conteúdos no site </t>
    </r>
    <r>
      <rPr>
        <b/>
        <sz val="8"/>
        <color rgb="FF3587FF"/>
        <rFont val="Arial"/>
        <family val="2"/>
      </rPr>
      <t>https://content.btgpactual.com/research/home</t>
    </r>
  </si>
  <si>
    <t>Dividendos¹</t>
  </si>
  <si>
    <t>1- Corresponde ao último dividendo anunciado. O total leva em consideração a quantidade de cotas detidas para cada fundo.</t>
  </si>
  <si>
    <t>Acesse nosso site</t>
  </si>
  <si>
    <t>Montante</t>
  </si>
  <si>
    <r>
      <t>-</t>
    </r>
    <r>
      <rPr>
        <b/>
        <sz val="8"/>
        <color theme="1"/>
        <rFont val="Arial"/>
        <family val="2"/>
      </rPr>
      <t xml:space="preserve">Para adicionar mais linhas pressionar: (i) SHIFT + Espaço para selecionar a linha; (ii) CTRL + (Sinal de adição </t>
    </r>
    <r>
      <rPr>
        <b/>
        <sz val="8"/>
        <color rgb="FF3587FF"/>
        <rFont val="Arial"/>
        <family val="2"/>
      </rPr>
      <t>+</t>
    </r>
    <r>
      <rPr>
        <b/>
        <sz val="8"/>
        <color theme="1"/>
        <rFont val="Arial"/>
        <family val="2"/>
      </rPr>
      <t>); e (iii) arastar as formulas das colunas em branco.</t>
    </r>
  </si>
  <si>
    <t>No ano 
(%)</t>
  </si>
  <si>
    <t>LTM 
(%)</t>
  </si>
  <si>
    <t>1M 
(%)</t>
  </si>
  <si>
    <t>Financeiro</t>
  </si>
  <si>
    <t>Qtde.</t>
  </si>
  <si>
    <t>Média 
(R$ milhares 3M)</t>
  </si>
  <si>
    <t>Mês 
(%)</t>
  </si>
  <si>
    <t>12M 
(%)</t>
  </si>
  <si>
    <t>Anualizado 
(%)</t>
  </si>
  <si>
    <t xml:space="preserve">BTG Pactual - Credit Research </t>
  </si>
  <si>
    <t>Frederico Khouri</t>
  </si>
  <si>
    <t>Luis Gonçalves</t>
  </si>
  <si>
    <t>BDIF11</t>
  </si>
  <si>
    <t>BTG Pactual Dívida Infra FIC FI-Infra</t>
  </si>
  <si>
    <t>BODB11</t>
  </si>
  <si>
    <t>Bocaina FIC FI-Infra</t>
  </si>
  <si>
    <t>CPTI11</t>
  </si>
  <si>
    <t>Capitânia Infra FIC FIRF</t>
  </si>
  <si>
    <t>KDIF11</t>
  </si>
  <si>
    <t>Kinea Infra FIC FIRF</t>
  </si>
  <si>
    <t>OGIN11</t>
  </si>
  <si>
    <t>Pagamentos</t>
  </si>
  <si>
    <t>R$/cota</t>
  </si>
  <si>
    <t>Simulação de Carteira</t>
  </si>
  <si>
    <t>Último Dividendo</t>
  </si>
  <si>
    <t>TRXF11</t>
  </si>
  <si>
    <t>XPID11</t>
  </si>
  <si>
    <t>XP FIC FI-Infra</t>
  </si>
  <si>
    <t>Banco Daycoval</t>
  </si>
  <si>
    <t>CLIN11</t>
  </si>
  <si>
    <t>Nome do Fundo</t>
  </si>
  <si>
    <t>Oliveira Trust</t>
  </si>
  <si>
    <t>Simulador de Carteira (R$)</t>
  </si>
  <si>
    <t>Simulador de Carteira (%)</t>
  </si>
  <si>
    <t>SNID11</t>
  </si>
  <si>
    <t>Suno Infra Dividendos</t>
  </si>
  <si>
    <t>CDII11</t>
  </si>
  <si>
    <t>Sparta Infra CDI FIC FI-Infra</t>
  </si>
  <si>
    <r>
      <t xml:space="preserve">Este relatório foi elaborado pelo Banco BTG Pactual S.A. Os números contidos nos gráficos de desempenho referem-se ao passado; desempenho passado não é um indicador confiável de resultados futuros.
</t>
    </r>
    <r>
      <rPr>
        <b/>
        <sz val="8"/>
        <color rgb="FF0B2859"/>
        <rFont val="Arial"/>
        <family val="2"/>
      </rPr>
      <t>Certificado do Analista</t>
    </r>
    <r>
      <rPr>
        <sz val="8"/>
        <color theme="1" tint="0.499984740745262"/>
        <rFont val="Arial"/>
        <family val="2"/>
      </rPr>
      <t xml:space="preserve">
Cada analista de pesquisa responsável pelo conteúdo deste relatório de pesquisa de investimento, no todo ou em parte, certifica que:
(i) Nos termos do Artigo 21º, da Resolução CVM nº 20, de 25 de fevereiro de 2021, todas as opiniões expressas refletem com precisão suas opiniões pessoais sobre esses valores mobiliários ou emissores, e tais recomendações foram elaboradas de forma independente, inclusive em relação ao Banco BTG Pactual S.A. e/ou suas afiliadas, conforme o caso;
(ii) nenhuma parte de sua remuneração foi, é ou será, direta ou indiretamente, relacionada a quaisquer recomendações ou opiniões específicas contidas aqui ou vinculados ao preço de qualquer um dos valores mobiliários aqui discutidos.
Parte da remuneração do analista provém dos lucros do Banco BTG Pactual S.A. como um todo e/ou de suas afiliadas e, consequentemente, das receitas decorrentes de transações detidas pelo Banco BTG Pactual S.A. e/ou suas afiliadas. Quando aplicável, o analista responsável por este relatório, certificado de acordo com a regulamentação brasileira, será identificado em negrito na primeira página deste relatório e será o primeiro nome na lista de assinaturas.
</t>
    </r>
    <r>
      <rPr>
        <b/>
        <sz val="8"/>
        <color rgb="FF0B2859"/>
        <rFont val="Arial"/>
        <family val="2"/>
      </rPr>
      <t>Disclaimer Global</t>
    </r>
    <r>
      <rPr>
        <sz val="8"/>
        <color theme="1" tint="0.499984740745262"/>
        <rFont val="Arial"/>
        <family val="2"/>
      </rPr>
      <t xml:space="preserve">
Este relatório foi preparado pelo Banco BTG Pactual S.A. (“BTG Pactual S.A.”) para distribuição apenas sob as circunstâncias permitidas pela lei aplicável. Este relatório não é direcionado a você se o BTG Pactual estiver proibido ou restrito por qualquer legislação ou regulamentação em qualquer jurisdição de disponibilizá-lo a você. Antes de lê-lo, você deve se certificar de que o BTG Pactual tem permissão para fornecer material de pesquisa sobre investimentos a você de acordo com a legislação e os regulamentos relevantes. Nada neste relatório constitui uma representação de que qualquer estratégia de investimento ou recomendação aqui contida é adequada ou apropriada às circunstâncias individuais de um destinatário ou, de outra forma, constitui uma recomendação pessoal. É publicado apenas para fins informativos, não constitui um anúncio e não deve ser interpretado como uma solicitação, oferta, convite ou incentivo para comprar ou vender quaisquer valores mobiliários ou instrumentos financeiros relacionados em qualquer jurisdição.
Os preços neste relatório são considerados confiáveis na data em que este relatório foi emitido e são derivados de um ou mais dos seguintes:
(i) fontes conforme expressamente especificadas ao lado dos dados relevantes;
(ii) o preço cotado no principal mercado regulamentado para o valor mobiliário em questão;
(iii) outras fontes públicas consideradas confiáveis;
(iv) dados proprietários do BTG Pactual ou dados disponíveis ao BTG Pactual.
Todas as outras informações aqui contidas são consideradas confiáveis na data em que este relatório foi emitido e foram obtidas de fontes públicas consideradas confiáveis. Nenhuma representação ou garantia, expressa ou implícita, é fornecida em relação à precisão, integridade ou confiabilidade das informações aqui contidas, exceto com relação às informações relativas ao Banco BTG Pactual S.A., suas subsidiárias e afiliadas, nem pretende ser uma declaração completa ou resumo dos valores mobiliários, mercados ou desenvolvimentos referidos no relatório.
Em todos os casos, os investidores devem conduzir sua própria investigação e análise de tais informações antes de tomar ou deixar de tomar qualquer ação em relação aos valores mobiliários ou mercados analisados neste relatório. O BTG Pactual não assume que os investidores obterão lucros, nem compartilhará com os investidores quaisquer lucros de investimentos nem aceitará qualquer responsabilidade por quaisquer perdas de investimentos. Os investimentos envolvem riscos e os investidores devem exercer prudência ao tomar suas decisões de investimento. O BTG Pactual não aceita obrigações fiduciárias para com os destinatários deste relatório e, ao comunicá-lo, não está agindo na qualidade de fiduciário. O relatório não deve ser considerado pelos destinatários como um substituto para o exercício de seu próprio julgamento. As opiniões, estimativas e projeções aqui expressas constituem o julgamento atual do analista responsável pelo conteúdo deste relatório na data em que o relatório foi emitido e, portanto, estão sujeitas a alterações sem aviso prévio e podem divergir ou ser contrárias às opiniões expressas por outras áreas de negócios ou grupos do BTG Pactual em decorrência da utilização de diferentes premissas e critérios. Como as opiniões pessoais dos analistas podem diferir umas das outras, o Banco BTG Pactual S.A., suas subsidiárias e afiliadas podem ter emitido ou emitir relatórios inconsistentes e/ou chegar a conclusões diferentes das informações aqui apresentadas. Quaisquer opiniões, estimativas e projeções não devem ser interpretadas como uma representação de que os assuntos ali referidos ocorrerão.
Os preços e a disponibilidade dos instrumentos financeiros são apenas indicativos e estão sujeitos a alterações sem aviso prévio. A pesquisa iniciará, atualizará e encerrará a cobertura exclusivamente a critério da Gerência de Pesquisa do Banco de Investimentos do BTG Pactual. A análise contida neste documento é baseada em numerosas suposições. Suposições diferentes podem resultar em resultados substancialmente diferentes. O(s) analista(s) responsável(is) pela elaboração deste relatório pode(m) interagir com o pessoal da mesa de operações, pessoal de vendas e outros públicos com a finalidade de coletar, sintetizar e interpretar informações de mercado. O BTG Pactual não tem obrigação de atualizar ou manter atualizadas as informações aqui contidas, exceto quando encerrar a cobertura das empresas abordadas no relatório. O BTG Pactual conta com barreiras de informação para controlar o fluxo de informações contidas em uma ou mais áreas dentro do BTG Pactual, para outras áreas, unidades, grupos ou afiliadas do BTG Pactual.
A remuneração do analista que preparou este relatório é determinada pela gerência de pesquisa e pela alta administração (não incluindo banco de investimento). A remuneração dos analistas não se baseia nas receitas de banco de investimento, no entanto, a remuneração pode estar relacionada às receitas do BTG Pactual Investment Bank como um todo, do qual fazem parte os bancos de investimento, vendas e negociação.
Os valores mobiliários aqui descritos podem não ser elegíveis para venda em todas as jurisdições ou para determinadas categorias de investidores. Opções, produtos derivativos e futuros não são adequados para todos os investidores, e a negociação desses instrumentos é considerada arriscada. Títulos garantidos por hipotecas e ativos podem envolver um alto grau de risco e podem ser altamente voláteis em resposta a flutuações nas taxas de juros e outras condições de mercado. O desempenho passado não é necessariamente indicativo de resultados futuros. Se um instrumento financeiro for denominado em uma moeda diferente da moeda de um investidor, uma alteração nas taxas de câmbio pode afetar adversamente o valor ou preço ou a receita derivada de qualquer título ou instrumento relacionado mencionado neste relatório, e o leitor deste relatório assume qualquer risco cambial.
Este relatório não leva em consideração os objetivos de investimento, situação financeira ou necessidades particulares de qualquer investidor em particular. Os investidores devem obter aconselhamento financeiro independente com base em suas próprias circunstâncias particulares antes de tomar uma decisão de investimento com base nas informações aqui contidas. Para aconselhamento sobre investimentos, execução de negócios ou outras questões, os clientes devem entrar em contato com seu representante de vendas local. Nem o BTG Pactual nem qualquer de suas afiliadas, nem qualquer um de seus respectivos diretores, funcionários ou agentes aceitam qualquer responsabilidade por qualquer perda ou dano decorrente do uso de todo ou parte deste relatório.
Quaisquer preços declarados neste relatório são apenas para fins informativos e não representam avaliações de títulos individuais ou outros instrumentos. Não há representação de que qualquer transação possa ou possa ter sido afetada a esses preços e quaisquer preços não refletem necessariamente os livros e registros internos do BTG Pactual ou avaliações baseadas em modelos teóricos e podem ser baseados em certas suposições. Este relatório não pode ser reproduzido ou redistribuído a qualquer outra pessoa, no todo ou em parte, para qualquer finalidade, sem o consentimento prévio por escrito do BTG Pactual e o BTG Pactual não aceita qualquer responsabilidade pelas ações de terceiros a esse respeito. Informações adicionais relacionadas aos instrumentos financeiros discutidos neste relatório estão disponíveis mediante solicitação.
O BTG Pactual e suas afiliadas mantêm acordos para administrar conflitos de interesse que possam surgir entre eles e seus respectivos clientes e entre seus diferentes clientes. O BTG Pactual e suas afiliadas estão envolvidos em uma gama completa de serviços financeiros e relacionados, incluindo serviços bancários, bancos de investimento e prestação de serviços de investimento. Dessa forma, qualquer membro do BTG Pactual ou de suas afiliadas pode ter interesse relevante ou conflito de interesses em quaisquer serviços prestados a clientes pelo BTG Pactual ou por tal afiliada. As áreas de negócios dentro do BTG Pactual e entre suas afiliadas operam independentemente umas das outras e restringem o acesso do(s) indivíduo(s) específico(s) responsável(is) por lidar com os assuntos do cliente a determinadas áreas de informações quando isso é necessário para administrar conflitos de interesse ou interesses materiais.
Para obter um conjunto completo de disclosures associadas às empresas discutidas neste relatório, incluindo informações sobre valuation e riscos, acesse: www.btgpactual.com/research/Disclaimers/Overview.aspx</t>
    </r>
  </si>
  <si>
    <t>Órama FIC FI-Infra</t>
  </si>
  <si>
    <t>Hedge Fund</t>
  </si>
  <si>
    <t>Renda Urbana</t>
  </si>
  <si>
    <t>Hedge Funds</t>
  </si>
  <si>
    <t>GZIT11</t>
  </si>
  <si>
    <t>Carteira Atual</t>
  </si>
  <si>
    <t>Aporte</t>
  </si>
  <si>
    <t>Simulação de Aporte</t>
  </si>
  <si>
    <t>Após Aporte</t>
  </si>
  <si>
    <t>Dividendos</t>
  </si>
  <si>
    <t>Simulador de Aporte (R$)</t>
  </si>
  <si>
    <t>Indicadores de Fiagros</t>
  </si>
  <si>
    <t>Indicadores de FI-Infras</t>
  </si>
  <si>
    <t>Indicadores de
Fundos Listados
(FIIs, Fiagros e 
FI-Infras)</t>
  </si>
  <si>
    <t>Atual
(%)</t>
  </si>
  <si>
    <t>Atual
R$</t>
  </si>
  <si>
    <t>Atuais
(%)</t>
  </si>
  <si>
    <t>Pós Aporte
R$</t>
  </si>
  <si>
    <t>Pós Aporte
(%)</t>
  </si>
  <si>
    <t>Segmento1</t>
  </si>
  <si>
    <t>Lajes</t>
  </si>
  <si>
    <t>Shoppings</t>
  </si>
  <si>
    <t>Galpões</t>
  </si>
  <si>
    <t>FOFs</t>
  </si>
  <si>
    <t>Fiagro FII</t>
  </si>
  <si>
    <t>FI-Infras</t>
  </si>
  <si>
    <t>Fiagro FIDC</t>
  </si>
  <si>
    <t>Carteira Pós Aporte</t>
  </si>
  <si>
    <t>Mudanças</t>
  </si>
  <si>
    <t>Delta</t>
  </si>
  <si>
    <t>Indicadores</t>
  </si>
  <si>
    <t>Nº de Ativos</t>
  </si>
  <si>
    <t>DY Anualizado</t>
  </si>
  <si>
    <t>DY 12 meses</t>
  </si>
  <si>
    <t>Rendimentos</t>
  </si>
  <si>
    <t>Comparativo de Indicadores</t>
  </si>
  <si>
    <t>R$/Cota¹</t>
  </si>
  <si>
    <t>Financeiro²</t>
  </si>
  <si>
    <r>
      <t xml:space="preserve">1- Corresponde ao último dividendo anunciado. O total leva em consideração a quantidade de cotas detidas para cada fundo. 2- A simulação </t>
    </r>
    <r>
      <rPr>
        <b/>
        <u/>
        <sz val="8"/>
        <color theme="1"/>
        <rFont val="Arial"/>
        <family val="2"/>
      </rPr>
      <t>não</t>
    </r>
    <r>
      <rPr>
        <b/>
        <sz val="8"/>
        <color theme="1"/>
        <rFont val="Arial"/>
        <family val="2"/>
      </rPr>
      <t xml:space="preserve"> leva em consideração o pagamento de IR em caso de ganho de capital.</t>
    </r>
  </si>
  <si>
    <t>• Filtramos os fundos que possuem um volume de negociação, em média, acima de R$ 30 mil por dia.</t>
  </si>
  <si>
    <t>BINC11</t>
  </si>
  <si>
    <t>Bradesco FIC FI Renda Fixa Infra CDI</t>
  </si>
  <si>
    <t>Bradesco Asset Management</t>
  </si>
  <si>
    <t>Banco Bradesco</t>
  </si>
  <si>
    <t>Iridium</t>
  </si>
  <si>
    <t>IRIF11</t>
  </si>
  <si>
    <t>Iridium Infra</t>
  </si>
  <si>
    <t>Genial</t>
  </si>
  <si>
    <t>Bocaina Capital</t>
  </si>
  <si>
    <t>Sparta</t>
  </si>
  <si>
    <t>Capitânia</t>
  </si>
  <si>
    <t>Singulare</t>
  </si>
  <si>
    <t>Itaú Unibanco</t>
  </si>
  <si>
    <t>Intrag</t>
  </si>
  <si>
    <t>Kinea</t>
  </si>
  <si>
    <t>Órama</t>
  </si>
  <si>
    <t>Suno</t>
  </si>
  <si>
    <t>XP</t>
  </si>
  <si>
    <t>CNPJ</t>
  </si>
  <si>
    <t xml:space="preserve">Análises </t>
  </si>
  <si>
    <t>IFRI11</t>
  </si>
  <si>
    <t>Itaú FIC FI de Infraestrutura CDI</t>
  </si>
  <si>
    <t>JMBI11</t>
  </si>
  <si>
    <t>Jive Mauá Bossanova FIC FI-Infra</t>
  </si>
  <si>
    <t>Jive</t>
  </si>
  <si>
    <t>BIDB11</t>
  </si>
  <si>
    <t>Inter Infra FIC FI - Infra listado</t>
  </si>
  <si>
    <t>Inter</t>
  </si>
  <si>
    <t>BTHF11</t>
  </si>
  <si>
    <t>GCRA11</t>
  </si>
  <si>
    <t>Galapagos Recebiveis do Agronegocio Fiagro-FII</t>
  </si>
  <si>
    <t>Galapagos Capital</t>
  </si>
  <si>
    <t>HSML11</t>
  </si>
  <si>
    <t>IFRA11</t>
  </si>
  <si>
    <t>Itaú FIC FI de Infraestrutura</t>
  </si>
  <si>
    <t>JURO11</t>
  </si>
  <si>
    <t>Sparta Infra FIC FI-Infra</t>
  </si>
  <si>
    <t>MCCI11</t>
  </si>
  <si>
    <t>Paramis</t>
  </si>
  <si>
    <t>Rio Bravo</t>
  </si>
  <si>
    <t>RBIF11</t>
  </si>
  <si>
    <t>Rio Bravo ESG IS FIC FI Infra RF CP</t>
  </si>
  <si>
    <t>RIFF11</t>
  </si>
  <si>
    <t>Riff Infraestrutura</t>
  </si>
  <si>
    <t>Santander Caceis</t>
  </si>
  <si>
    <t>BRFT11</t>
  </si>
  <si>
    <t>Bradesco Farmtech Fiagro-FIDC</t>
  </si>
  <si>
    <t>AAZQ11</t>
  </si>
  <si>
    <t>Az Quest Sole Fiagro-FII</t>
  </si>
  <si>
    <t>AZ Quest</t>
  </si>
  <si>
    <t xml:space="preserve">XP Investimentos </t>
  </si>
  <si>
    <t>AGRX11</t>
  </si>
  <si>
    <t>Exes Araguaia Fiagro-FII</t>
  </si>
  <si>
    <t xml:space="preserve">Éxes Gestora de Recursos </t>
  </si>
  <si>
    <t>BB Asset Management</t>
  </si>
  <si>
    <t>BBGO11</t>
  </si>
  <si>
    <t>BB Fundo de Investimento de Crédito Fiagro-FII</t>
  </si>
  <si>
    <t>BRL Trust</t>
  </si>
  <si>
    <t xml:space="preserve">Vórtx </t>
  </si>
  <si>
    <t>BTAG11</t>
  </si>
  <si>
    <t>BTG Pactual Crédito Agrícola Fiagro FIDC</t>
  </si>
  <si>
    <t>CPTR11</t>
  </si>
  <si>
    <t>Capitania Agro Strategies - Fiagro-FII</t>
  </si>
  <si>
    <t>CRAA11</t>
  </si>
  <si>
    <t>Sparta Fiagro-FII</t>
  </si>
  <si>
    <t>DCRA11</t>
  </si>
  <si>
    <t>Devant Fiagro-FII</t>
  </si>
  <si>
    <t>Devant Asset</t>
  </si>
  <si>
    <t>EGAF11</t>
  </si>
  <si>
    <t>Ecoagro I Fiagro-FII</t>
  </si>
  <si>
    <t xml:space="preserve">Eco Gestão de Ativos </t>
  </si>
  <si>
    <t>FGAA11</t>
  </si>
  <si>
    <t>Fg/Agro Fiagro-FII</t>
  </si>
  <si>
    <t>FG/A Gestora de Recursos</t>
  </si>
  <si>
    <t>FTCA11</t>
  </si>
  <si>
    <t>Fyto Recebíveis do Agro Fiagro-FII</t>
  </si>
  <si>
    <t>Fyto Capital</t>
  </si>
  <si>
    <t>IAAG11</t>
  </si>
  <si>
    <t>Inter Amerra - Fiagro-FII</t>
  </si>
  <si>
    <t>JGPX11</t>
  </si>
  <si>
    <t>JGP Fiagro-FII</t>
  </si>
  <si>
    <t xml:space="preserve">JGP Gestão de Crédito </t>
  </si>
  <si>
    <t>KDOL11</t>
  </si>
  <si>
    <t>Kinea Agro Income USD Fiagro-FII</t>
  </si>
  <si>
    <t>KNCA11</t>
  </si>
  <si>
    <t>Kinea Crédito Agro Fiagro-FII</t>
  </si>
  <si>
    <t>KOPA11</t>
  </si>
  <si>
    <t>Kinea Oportunidades Agro I Fiagro-FII</t>
  </si>
  <si>
    <t>LSAG11</t>
  </si>
  <si>
    <t>Leste Fiagro</t>
  </si>
  <si>
    <t xml:space="preserve">Leste Credit Gestão de Recursos </t>
  </si>
  <si>
    <t>OIAG11</t>
  </si>
  <si>
    <t>Ourinvest Innovation Fiagro-FII</t>
  </si>
  <si>
    <t>Fator ORE</t>
  </si>
  <si>
    <t>PLCA11</t>
  </si>
  <si>
    <t>Plural BRB Crédito Agro Fiagro-FII</t>
  </si>
  <si>
    <t xml:space="preserve">Plural Gestão de Recursos </t>
  </si>
  <si>
    <t>RURA11</t>
  </si>
  <si>
    <t>Itaú Asset Rural Fiagro-FII</t>
  </si>
  <si>
    <t>RZAG11</t>
  </si>
  <si>
    <t>Riza Fiagro-FII</t>
  </si>
  <si>
    <t>Riza</t>
  </si>
  <si>
    <t>SNAG11</t>
  </si>
  <si>
    <t>Suno Agro Fiagro-FII</t>
  </si>
  <si>
    <t>SNFZ11</t>
  </si>
  <si>
    <t>Suno Fazendas Fiagro-FII</t>
  </si>
  <si>
    <t>Vectis</t>
  </si>
  <si>
    <t>VCRA11</t>
  </si>
  <si>
    <t>Vectis Datagro Crédito Agronegócio Fiagro-FII</t>
  </si>
  <si>
    <t>Valora</t>
  </si>
  <si>
    <t>VGIA11</t>
  </si>
  <si>
    <t>Valora CRA Fiagro-FII</t>
  </si>
  <si>
    <t>XPCA11</t>
  </si>
  <si>
    <t>XP Crédito Agrícola Fiagro-FII</t>
  </si>
  <si>
    <t>NEXG11</t>
  </si>
  <si>
    <t>NEX Crédito Agro Fiagro-FII</t>
  </si>
  <si>
    <t>NEX Gestão de Recursos</t>
  </si>
  <si>
    <t>P/VPA 2025</t>
  </si>
  <si>
    <t>ABCP11</t>
  </si>
  <si>
    <t>Grand Plaza Shopping FII</t>
  </si>
  <si>
    <t>AFHF11</t>
  </si>
  <si>
    <t>AFHI11</t>
  </si>
  <si>
    <t>AF Invest CRI Recebíveis FII</t>
  </si>
  <si>
    <t>AIEC11</t>
  </si>
  <si>
    <t>Autonomy Edifícios Corporativos FII</t>
  </si>
  <si>
    <t xml:space="preserve">MAF </t>
  </si>
  <si>
    <t>AJFI11</t>
  </si>
  <si>
    <t>AJ Malls FII</t>
  </si>
  <si>
    <t>ALZC11</t>
  </si>
  <si>
    <t>Alianza Crédito Imobiliário FII</t>
  </si>
  <si>
    <t>Alianza Investimentos</t>
  </si>
  <si>
    <t>ALZR11</t>
  </si>
  <si>
    <t>Alianza Trust Renda Imobiliária FII</t>
  </si>
  <si>
    <t>Navi Real Estate</t>
  </si>
  <si>
    <t>APXM11</t>
  </si>
  <si>
    <t>Apex Malls FII</t>
  </si>
  <si>
    <t>ARRI11</t>
  </si>
  <si>
    <t>Open K Ativos e Recebíveis Imobiliários FII</t>
  </si>
  <si>
    <t>Open Kapital</t>
  </si>
  <si>
    <t xml:space="preserve">Oliveira Trust </t>
  </si>
  <si>
    <t>ARXD11</t>
  </si>
  <si>
    <t>ARX Dover Recebíveis FII</t>
  </si>
  <si>
    <t xml:space="preserve">ARX Investimentos </t>
  </si>
  <si>
    <t>Hedge</t>
  </si>
  <si>
    <t>AZPL11</t>
  </si>
  <si>
    <t xml:space="preserve">Az Quest Panorama Logística FII </t>
  </si>
  <si>
    <t>BBFO11</t>
  </si>
  <si>
    <t>BB Fundo de Fundos Imobiliários FII</t>
  </si>
  <si>
    <t>BBIG11</t>
  </si>
  <si>
    <t>BB Premium Malls FII</t>
  </si>
  <si>
    <t>BBRC11</t>
  </si>
  <si>
    <t>BB Renda Corporativa FII</t>
  </si>
  <si>
    <t>Tivio Capital</t>
  </si>
  <si>
    <t xml:space="preserve">Bem </t>
  </si>
  <si>
    <t>BCIA11</t>
  </si>
  <si>
    <t>Bradesco Carteira Imobiliária Ativa FII</t>
  </si>
  <si>
    <t>BCRI11</t>
  </si>
  <si>
    <t>Banestes Recebíveis Imobiliários FII</t>
  </si>
  <si>
    <t>Banestes DTVM</t>
  </si>
  <si>
    <t>Patria</t>
  </si>
  <si>
    <t>BLMG11</t>
  </si>
  <si>
    <t>Bluemacaw Logística FII</t>
  </si>
  <si>
    <t>Bluemacaw</t>
  </si>
  <si>
    <t>BNFS11</t>
  </si>
  <si>
    <t>Banrisul Novas Fronteiras FII</t>
  </si>
  <si>
    <t>BPML11</t>
  </si>
  <si>
    <t>BTG Pactual Shoppings FII</t>
  </si>
  <si>
    <t>Bresco Logística FII</t>
  </si>
  <si>
    <t>BTG Pactual Corporate Offices FII</t>
  </si>
  <si>
    <t>BROF11</t>
  </si>
  <si>
    <t>BRPR Corporate Offices FII</t>
  </si>
  <si>
    <t>BGR Asset</t>
  </si>
  <si>
    <t>BSLT11</t>
  </si>
  <si>
    <t>BTAL11</t>
  </si>
  <si>
    <t>BTG Pactual Agro Logística FII</t>
  </si>
  <si>
    <t>BTG Pactual Crédito Imobiliário FII</t>
  </si>
  <si>
    <t>BTG Pactual Real Estate Hedge Fund FII</t>
  </si>
  <si>
    <t>BTG Pactual Logística FII</t>
  </si>
  <si>
    <t>BTRA11</t>
  </si>
  <si>
    <t>BTG Pactual Terras Agrícolas FII</t>
  </si>
  <si>
    <t>CACR11</t>
  </si>
  <si>
    <t>Cartesia Recebíveis Imobiliários FII</t>
  </si>
  <si>
    <t>CCME11</t>
  </si>
  <si>
    <t>Canuma Capital Multiestratégia FII</t>
  </si>
  <si>
    <t xml:space="preserve">Canuma Capital </t>
  </si>
  <si>
    <t>Clave Índices de Preços FII</t>
  </si>
  <si>
    <t>Clave</t>
  </si>
  <si>
    <t>CNES11</t>
  </si>
  <si>
    <t>FII CENESP</t>
  </si>
  <si>
    <t>CPLG11</t>
  </si>
  <si>
    <t>Capitânia Logística FII</t>
  </si>
  <si>
    <t>CPSH11</t>
  </si>
  <si>
    <t>Capitânia Shoppings FII</t>
  </si>
  <si>
    <t>CPTS11</t>
  </si>
  <si>
    <t>Capitânia Securities II FII</t>
  </si>
  <si>
    <t>CPUR11</t>
  </si>
  <si>
    <t>HBC II FII</t>
  </si>
  <si>
    <t>CXAG11</t>
  </si>
  <si>
    <t>Caixa Agências FII</t>
  </si>
  <si>
    <t>RB Asset</t>
  </si>
  <si>
    <t>CXCI11</t>
  </si>
  <si>
    <t>Caixa Carteira Imobiliária FII</t>
  </si>
  <si>
    <t>Caixa</t>
  </si>
  <si>
    <t>CXCO11</t>
  </si>
  <si>
    <t>Caixa Imóveis Corporativos FII</t>
  </si>
  <si>
    <t>Patagônia Capital</t>
  </si>
  <si>
    <t>CYCR11</t>
  </si>
  <si>
    <t>Cyrela Crédito FII</t>
  </si>
  <si>
    <t xml:space="preserve">CyCapital Gestora de Recursos </t>
  </si>
  <si>
    <t>DEVA11</t>
  </si>
  <si>
    <t>Devant Recebíveis Imobiliários FII</t>
  </si>
  <si>
    <t>DVFF11</t>
  </si>
  <si>
    <t>Devant Fundo de Fundos Imobiliários FII</t>
  </si>
  <si>
    <t xml:space="preserve">Singulare </t>
  </si>
  <si>
    <t>V2 Investimentos</t>
  </si>
  <si>
    <t>EQIR11</t>
  </si>
  <si>
    <t>EQI Recebíveis Imobiliários FII</t>
  </si>
  <si>
    <t xml:space="preserve">Euqueroinvestir Gestão de Recursos </t>
  </si>
  <si>
    <t>EURO11</t>
  </si>
  <si>
    <t>Europar FII</t>
  </si>
  <si>
    <t>Coinvalores</t>
  </si>
  <si>
    <t>EXES11</t>
  </si>
  <si>
    <t>Éxes FII</t>
  </si>
  <si>
    <t>FAED11</t>
  </si>
  <si>
    <t>FII Anhanguera Educacional</t>
  </si>
  <si>
    <t>FATN11</t>
  </si>
  <si>
    <t>BRC Renda Corporativa FII</t>
  </si>
  <si>
    <t>BR Capital</t>
  </si>
  <si>
    <t>FCFL11</t>
  </si>
  <si>
    <t>FII Campus Faria Lima</t>
  </si>
  <si>
    <t>FIGS11</t>
  </si>
  <si>
    <t>General Shopping Ativo e Renda FII</t>
  </si>
  <si>
    <t>Hedge Investments</t>
  </si>
  <si>
    <t>FIIB11</t>
  </si>
  <si>
    <t>Industrial Do Brasil FII</t>
  </si>
  <si>
    <t>FIIP11</t>
  </si>
  <si>
    <t>RB Capital Renda I FII</t>
  </si>
  <si>
    <t>FLCR11</t>
  </si>
  <si>
    <t>Faria Lima Capital Recebíveis Imobiliários I FII</t>
  </si>
  <si>
    <t>Faria Lima Capital</t>
  </si>
  <si>
    <t>FLMA11</t>
  </si>
  <si>
    <t>Continental Square Faria Lima FII</t>
  </si>
  <si>
    <t>FVPQ11</t>
  </si>
  <si>
    <t>Via Parque Shopping FII</t>
  </si>
  <si>
    <t>FYTO11</t>
  </si>
  <si>
    <t>Fyto Recebíveis Imobiliários FII</t>
  </si>
  <si>
    <t>GAME11</t>
  </si>
  <si>
    <t>Guardian Multiestratégia I FII</t>
  </si>
  <si>
    <t>Guardian</t>
  </si>
  <si>
    <t>GARE11</t>
  </si>
  <si>
    <t>Guardian Real Estate FII</t>
  </si>
  <si>
    <t>GCRI11</t>
  </si>
  <si>
    <t>Galapagos Recebíveis Imobiliários FII</t>
  </si>
  <si>
    <t>GGRC11</t>
  </si>
  <si>
    <t>GGR Covepi Renda FII</t>
  </si>
  <si>
    <t>Zagros Capital</t>
  </si>
  <si>
    <t>GRUL11</t>
  </si>
  <si>
    <t>Icatu Vanguarda GRU Logístico FII</t>
  </si>
  <si>
    <t>GSFI11</t>
  </si>
  <si>
    <t>General Shopping e Outlets do Brasil FII</t>
  </si>
  <si>
    <t>GTWR11</t>
  </si>
  <si>
    <t>Green Towers FII</t>
  </si>
  <si>
    <t>Gazit Malls FII</t>
  </si>
  <si>
    <t>HABT11</t>
  </si>
  <si>
    <t>Habitat II FII</t>
  </si>
  <si>
    <t>Hectare Capital</t>
  </si>
  <si>
    <t>HCRI11</t>
  </si>
  <si>
    <t xml:space="preserve">FII Hospital da Criança </t>
  </si>
  <si>
    <t>HCTR11</t>
  </si>
  <si>
    <t>Hectare CE FII</t>
  </si>
  <si>
    <t>HFOF11</t>
  </si>
  <si>
    <t>Hedge Top FOFII 3 FII</t>
  </si>
  <si>
    <t>Hedge Brasil Shopping FII</t>
  </si>
  <si>
    <t>HGCR11</t>
  </si>
  <si>
    <t>CSHG Recebíveis Imobiliários FII</t>
  </si>
  <si>
    <t>HGLG11</t>
  </si>
  <si>
    <t>CSHG Logística FII</t>
  </si>
  <si>
    <t>HGRE11</t>
  </si>
  <si>
    <t>CSHG Real Estate FII</t>
  </si>
  <si>
    <t>CSHG Renda Urbana FII</t>
  </si>
  <si>
    <t>HLOG11</t>
  </si>
  <si>
    <t>Hedge Logística FII</t>
  </si>
  <si>
    <t>HOFC11</t>
  </si>
  <si>
    <t>Hedge Office Income FII</t>
  </si>
  <si>
    <t>HREC11</t>
  </si>
  <si>
    <t>Hedge Recebíveis Imobiliários FII</t>
  </si>
  <si>
    <t>HSAF11</t>
  </si>
  <si>
    <t>HSI Ativos Financeiros FII</t>
  </si>
  <si>
    <t>HSI</t>
  </si>
  <si>
    <t>HSLG11</t>
  </si>
  <si>
    <t>HSI Logística FII</t>
  </si>
  <si>
    <t>HSI Malls FII</t>
  </si>
  <si>
    <t>S3 Caceis Brasil</t>
  </si>
  <si>
    <t>HTMX11</t>
  </si>
  <si>
    <t>FII Hotel Maxinvest</t>
  </si>
  <si>
    <t>IBBP11</t>
  </si>
  <si>
    <t>Invista Brazilian Business Park FII</t>
  </si>
  <si>
    <t>Invista</t>
  </si>
  <si>
    <t>IBCR11</t>
  </si>
  <si>
    <t>Fundo de Investimento Imobiliário de CRI Integral Brei</t>
  </si>
  <si>
    <t>ICRI11</t>
  </si>
  <si>
    <t>Itaú Crédito Imobiliário IPCA FII</t>
  </si>
  <si>
    <t>INLG11</t>
  </si>
  <si>
    <t>Inter Logístico FII</t>
  </si>
  <si>
    <t>INRD11</t>
  </si>
  <si>
    <t>Inter Residence FII</t>
  </si>
  <si>
    <t>IRIM11</t>
  </si>
  <si>
    <t>Iridium FII</t>
  </si>
  <si>
    <t>ITIP11</t>
  </si>
  <si>
    <t>Inter Teva Índice de Papel FII</t>
  </si>
  <si>
    <t>ITIT11</t>
  </si>
  <si>
    <t>Inter Teva Índice de Tijolo FII</t>
  </si>
  <si>
    <t>ITRI11</t>
  </si>
  <si>
    <t>Itaú Total Return FII</t>
  </si>
  <si>
    <t>JFLL11</t>
  </si>
  <si>
    <t>JFL Living FII</t>
  </si>
  <si>
    <t xml:space="preserve">Vórtx DTVM </t>
  </si>
  <si>
    <t>JPPA11</t>
  </si>
  <si>
    <t>JPP Capital Recebíveis Imobiliários FII</t>
  </si>
  <si>
    <t>JPP Capital</t>
  </si>
  <si>
    <t>Finaxis CTVM</t>
  </si>
  <si>
    <t>JSAF11</t>
  </si>
  <si>
    <t>JS Ativos Financeiros FII</t>
  </si>
  <si>
    <t>Banco J Safra</t>
  </si>
  <si>
    <t>JSCR11</t>
  </si>
  <si>
    <t>JS Recebíveis Imobiliários FII</t>
  </si>
  <si>
    <t>JSRE11</t>
  </si>
  <si>
    <t>JS Real Estate Multigestão FII</t>
  </si>
  <si>
    <t>KCRE11</t>
  </si>
  <si>
    <t>Kinea Creditas FII</t>
  </si>
  <si>
    <t>KFOF11</t>
  </si>
  <si>
    <t>Kinea Fundo de Fundos de Investimento Imobiliário FII</t>
  </si>
  <si>
    <t>KISU11</t>
  </si>
  <si>
    <t>Kilima Fundo de Investimento Em Cotas de FII Suno 30</t>
  </si>
  <si>
    <t>KIVO11</t>
  </si>
  <si>
    <t>Kilima Volkano Recebíveis Imobiliários FII</t>
  </si>
  <si>
    <t>Kinea Rendimentos Imobiliários FII</t>
  </si>
  <si>
    <t>KNHF11</t>
  </si>
  <si>
    <t>Kinea Hedge Fund FII</t>
  </si>
  <si>
    <t>KNHY11</t>
  </si>
  <si>
    <t>Kinea High Yield CRI FII</t>
  </si>
  <si>
    <t>Kinea Indices de Preços FII</t>
  </si>
  <si>
    <t>KNRI11</t>
  </si>
  <si>
    <t>Kinea Renda Imobiliária FII</t>
  </si>
  <si>
    <t>KNSC11</t>
  </si>
  <si>
    <t>Kinea Securities FII</t>
  </si>
  <si>
    <t>KNUQ11</t>
  </si>
  <si>
    <t>Kinea Unique HY CDI FII</t>
  </si>
  <si>
    <t>KORE11</t>
  </si>
  <si>
    <t>Kinea Oportunidades Real Estate FII</t>
  </si>
  <si>
    <t>LASC11</t>
  </si>
  <si>
    <t>Legatus Shoppings FII</t>
  </si>
  <si>
    <t>LIFE11</t>
  </si>
  <si>
    <t>Life Capital Partners FII</t>
  </si>
  <si>
    <t>LCP Gestora</t>
  </si>
  <si>
    <t>Planner</t>
  </si>
  <si>
    <t>LVBI11</t>
  </si>
  <si>
    <t>VBI Logístico</t>
  </si>
  <si>
    <t>MANA11</t>
  </si>
  <si>
    <t>Manatí Capital Hedge Fund FII</t>
  </si>
  <si>
    <t>Manatí Capital</t>
  </si>
  <si>
    <t>Mauá Capital Recebíveis Imobiliários FII</t>
  </si>
  <si>
    <t>Mauá Capital</t>
  </si>
  <si>
    <t>Mérito</t>
  </si>
  <si>
    <t>MCRE11</t>
  </si>
  <si>
    <t>Mauá Capital Real Estate FII</t>
  </si>
  <si>
    <t>MFII11</t>
  </si>
  <si>
    <t>Merito Desenvolvimento Imobiliário FII</t>
  </si>
  <si>
    <t>MXRF11</t>
  </si>
  <si>
    <t>Maxi Renda FII</t>
  </si>
  <si>
    <t>NAVT11</t>
  </si>
  <si>
    <t>Navi Imobiliário Total Return FII</t>
  </si>
  <si>
    <t>NEWL11</t>
  </si>
  <si>
    <t>Newport Logística FII</t>
  </si>
  <si>
    <t>NSLU11</t>
  </si>
  <si>
    <t>FII Hospital Nossa Senhor</t>
  </si>
  <si>
    <t>OUJP11</t>
  </si>
  <si>
    <t>Ourinvest JPP FII</t>
  </si>
  <si>
    <t>PATC11</t>
  </si>
  <si>
    <t>Pátria Edifícios Corporativos FII</t>
  </si>
  <si>
    <t>PCIP11</t>
  </si>
  <si>
    <t>Pátria Crédito Imobiliário</t>
  </si>
  <si>
    <t>PLAG11</t>
  </si>
  <si>
    <t>VBI Agro FII</t>
  </si>
  <si>
    <t>PMIS11</t>
  </si>
  <si>
    <t>Paramis Hedge Fund FII</t>
  </si>
  <si>
    <t>PMLL11</t>
  </si>
  <si>
    <t>Patria Malls FII</t>
  </si>
  <si>
    <t>PORD11</t>
  </si>
  <si>
    <t>Polo Crédito Imobiliário FII</t>
  </si>
  <si>
    <t>Polo Capital</t>
  </si>
  <si>
    <t>PQDP11</t>
  </si>
  <si>
    <t>FII Parque Dom Pedro Shopping</t>
  </si>
  <si>
    <t>PSEC11</t>
  </si>
  <si>
    <t>Patria Securities FII</t>
  </si>
  <si>
    <t>VBI Prime Properties</t>
  </si>
  <si>
    <t>RBFM11</t>
  </si>
  <si>
    <t>RBHG11</t>
  </si>
  <si>
    <t>Rio Bravo Crédito Imobiliário High Grade FII</t>
  </si>
  <si>
    <t>RBHY11</t>
  </si>
  <si>
    <t>Rio Bravo Crédito Imobiliário High Yield FII</t>
  </si>
  <si>
    <t>RBRD11</t>
  </si>
  <si>
    <t>RB Capital Renda II FII</t>
  </si>
  <si>
    <t>RBRL11</t>
  </si>
  <si>
    <t>RBR Log FII</t>
  </si>
  <si>
    <t>RBRP11</t>
  </si>
  <si>
    <t>RBR Properties FII</t>
  </si>
  <si>
    <t>FII RBR Rendimento High</t>
  </si>
  <si>
    <t>RBRX11</t>
  </si>
  <si>
    <t>RBR Plus Multiestratégia Real Estate</t>
  </si>
  <si>
    <t>RBR Crédito Imobiliário Estruturado FII</t>
  </si>
  <si>
    <t>RBVA11</t>
  </si>
  <si>
    <t>Agências Caixa FII</t>
  </si>
  <si>
    <t>RCRB11</t>
  </si>
  <si>
    <t>Rio Bravo Renda Corporativava FII</t>
  </si>
  <si>
    <t>RCRI11</t>
  </si>
  <si>
    <t>Real Investor Recebíveis FII</t>
  </si>
  <si>
    <t>Real Investor</t>
  </si>
  <si>
    <t>RECM11</t>
  </si>
  <si>
    <t>REC Multiestratégia FII</t>
  </si>
  <si>
    <t>REC Gestão</t>
  </si>
  <si>
    <t>RECR11</t>
  </si>
  <si>
    <t>FII REC Recebíveis Imobiliários</t>
  </si>
  <si>
    <t>BRL</t>
  </si>
  <si>
    <t>RECT11</t>
  </si>
  <si>
    <t>FII REC Renda Imobiliária</t>
  </si>
  <si>
    <t>RINV11</t>
  </si>
  <si>
    <t>Real Investor FII</t>
  </si>
  <si>
    <t>RNGO11</t>
  </si>
  <si>
    <t>Rio Negro FII</t>
  </si>
  <si>
    <t>RPRI11</t>
  </si>
  <si>
    <t>RBR Premium Recebíveis Imobiliários FII</t>
  </si>
  <si>
    <t>RZAK11</t>
  </si>
  <si>
    <t>Riza Akin FII</t>
  </si>
  <si>
    <t>RZAT11</t>
  </si>
  <si>
    <t>Riza Arctium Real Estate FII</t>
  </si>
  <si>
    <t>RZTR11</t>
  </si>
  <si>
    <t>Riza Terrax FII</t>
  </si>
  <si>
    <t>RZZR11</t>
  </si>
  <si>
    <t>Raiz Renda Logística FII</t>
  </si>
  <si>
    <t>SAPI11</t>
  </si>
  <si>
    <t>Santander Papéis Imobiliários FII</t>
  </si>
  <si>
    <t>SEQR11</t>
  </si>
  <si>
    <t>Sequóia III Renda Imobiliária FII</t>
  </si>
  <si>
    <t>Sequóia</t>
  </si>
  <si>
    <t>SHPH11</t>
  </si>
  <si>
    <t>Shopping Pátio Higienópolis FII</t>
  </si>
  <si>
    <t>SNCI11</t>
  </si>
  <si>
    <t>Suno Recebíveis Imobiliários FII</t>
  </si>
  <si>
    <t>SNEL11</t>
  </si>
  <si>
    <t>Suno Energias Limpas FII</t>
  </si>
  <si>
    <t>SNFF11</t>
  </si>
  <si>
    <t>Suno Fundo de Fundos</t>
  </si>
  <si>
    <t>SNME11</t>
  </si>
  <si>
    <t>Suno Multi FII</t>
  </si>
  <si>
    <t>SPTW11</t>
  </si>
  <si>
    <t>SP Downtown FII</t>
  </si>
  <si>
    <t>SPXS11</t>
  </si>
  <si>
    <t>SPX Syn Multiestratégia FII</t>
  </si>
  <si>
    <t>SPX</t>
  </si>
  <si>
    <t>TEPP11</t>
  </si>
  <si>
    <t>Tellus Properties FII</t>
  </si>
  <si>
    <t>Tellus Investimentos</t>
  </si>
  <si>
    <t>TGAR11</t>
  </si>
  <si>
    <t>TG Ativo Real FII</t>
  </si>
  <si>
    <t>TG Core</t>
  </si>
  <si>
    <t>TMPS11</t>
  </si>
  <si>
    <t>Itaú Tempus FII</t>
  </si>
  <si>
    <t>TOPP11</t>
  </si>
  <si>
    <t>RBR Top Offices FII</t>
  </si>
  <si>
    <t>R Capital</t>
  </si>
  <si>
    <t>TRBL11</t>
  </si>
  <si>
    <t>Tellus Rio Bravo Renda Log FII</t>
  </si>
  <si>
    <t>TRXB11</t>
  </si>
  <si>
    <t>TRX Real Estate II FII</t>
  </si>
  <si>
    <t>TRX Gestora de Recursos</t>
  </si>
  <si>
    <t>TRX Real Estate FII</t>
  </si>
  <si>
    <t>TRXY11</t>
  </si>
  <si>
    <t>TRX Hedge Fund FII</t>
  </si>
  <si>
    <t>TVRI11</t>
  </si>
  <si>
    <t>Tivio Renda Imobiliária FII</t>
  </si>
  <si>
    <t>URPR11</t>
  </si>
  <si>
    <t>Urca Prime Renda FII</t>
  </si>
  <si>
    <t>Urca Capital Partners</t>
  </si>
  <si>
    <t>VCJR11</t>
  </si>
  <si>
    <t>Vectis Juros Real FII</t>
  </si>
  <si>
    <t>VCRI11</t>
  </si>
  <si>
    <t>Vinci Credit Securities FII</t>
  </si>
  <si>
    <t>VCRR11</t>
  </si>
  <si>
    <t>Vectis Renda Residencial FII</t>
  </si>
  <si>
    <t>VGHF11</t>
  </si>
  <si>
    <t>Valora Hedge Fund FII</t>
  </si>
  <si>
    <t>VGIP11</t>
  </si>
  <si>
    <t>Valora CRI Índice de Preço FII</t>
  </si>
  <si>
    <t>VGIR11</t>
  </si>
  <si>
    <t>Valora CRI CDI FII</t>
  </si>
  <si>
    <t>VGRI11</t>
  </si>
  <si>
    <t>Valora Renda Imobiliária FII</t>
  </si>
  <si>
    <t>Vinci Logística FII</t>
  </si>
  <si>
    <t>Vinci Compass</t>
  </si>
  <si>
    <t>VINO11</t>
  </si>
  <si>
    <t>Vinci Offices FII</t>
  </si>
  <si>
    <t>VISC11</t>
  </si>
  <si>
    <t>Vinci Shopping Centers FII</t>
  </si>
  <si>
    <t>VIUR11</t>
  </si>
  <si>
    <t>Vinci Imoveis Urbanos FII</t>
  </si>
  <si>
    <t>VPPR11</t>
  </si>
  <si>
    <t>V2 Prime Properties FII</t>
  </si>
  <si>
    <t>VRTA11</t>
  </si>
  <si>
    <t>Fator Verità FII</t>
  </si>
  <si>
    <t>Fator</t>
  </si>
  <si>
    <t>VRTM11</t>
  </si>
  <si>
    <t xml:space="preserve">Fator Verità Multiestratégia FII </t>
  </si>
  <si>
    <t>VSLH11</t>
  </si>
  <si>
    <t>Versalhes Recebíveis Imobiliários FII</t>
  </si>
  <si>
    <t>WHGR11</t>
  </si>
  <si>
    <t>WHG Real Estate FII</t>
  </si>
  <si>
    <t>WHG</t>
  </si>
  <si>
    <t>XPCI11</t>
  </si>
  <si>
    <t>XP Crédito Imobiliário FII</t>
  </si>
  <si>
    <t>XPLG11</t>
  </si>
  <si>
    <t>XP Log FII</t>
  </si>
  <si>
    <t>XPML11</t>
  </si>
  <si>
    <t>XP Malls FII</t>
  </si>
  <si>
    <t>XPSF11</t>
  </si>
  <si>
    <t>XP Selection FOF</t>
  </si>
  <si>
    <t>Zavit</t>
  </si>
  <si>
    <t>ZAVI11</t>
  </si>
  <si>
    <t>Zavit Real Estate Fund FII</t>
  </si>
  <si>
    <t>JCCJ11</t>
  </si>
  <si>
    <t>JHSF Capital Cidade Jardim FII</t>
  </si>
  <si>
    <t xml:space="preserve">JHSF Capital </t>
  </si>
  <si>
    <t>DIVS11</t>
  </si>
  <si>
    <t xml:space="preserve">Sparta Inflação Longa </t>
  </si>
  <si>
    <t>BNY</t>
  </si>
  <si>
    <t>VSHO11</t>
  </si>
  <si>
    <t>Votorantim Shopping</t>
  </si>
  <si>
    <t>XLPR11</t>
  </si>
  <si>
    <t>VVCR11</t>
  </si>
  <si>
    <t>V2 Recebíveis Imobiliários FII</t>
  </si>
  <si>
    <t>MAXR11</t>
  </si>
  <si>
    <t>FII Max Retail</t>
  </si>
  <si>
    <t>Carbyne Investimentos</t>
  </si>
  <si>
    <t>Cartesia Capital</t>
  </si>
  <si>
    <t>Icatu Vanguarda</t>
  </si>
  <si>
    <t>BREI</t>
  </si>
  <si>
    <t>Kilima</t>
  </si>
  <si>
    <t>Legatus</t>
  </si>
  <si>
    <t>Vista Real Estate</t>
  </si>
  <si>
    <t>Iggy Investimentos</t>
  </si>
  <si>
    <t>SMRE11</t>
  </si>
  <si>
    <t>Smart Real Estate FII</t>
  </si>
  <si>
    <t>SH Asset</t>
  </si>
  <si>
    <t>EMET11</t>
  </si>
  <si>
    <t xml:space="preserve">Emet Multiestratégia FII </t>
  </si>
  <si>
    <t>RBIR11</t>
  </si>
  <si>
    <t>RB Capital Desenvolvimento Residencial IV FII</t>
  </si>
  <si>
    <t>BLCA11</t>
  </si>
  <si>
    <t>Catuaí VBI Triple A FII</t>
  </si>
  <si>
    <t>CPOF11</t>
  </si>
  <si>
    <t>Capitânia Office FII</t>
  </si>
  <si>
    <t>HPDP11</t>
  </si>
  <si>
    <t>Hedge Shopping Parque Dom Pedro FII</t>
  </si>
  <si>
    <t>SHPP11</t>
  </si>
  <si>
    <t>ADSH11</t>
  </si>
  <si>
    <t>HGBL11</t>
  </si>
  <si>
    <t>Hedge Brasil Logístico Industrial Fundo de Investimento Imobiliário de Responsab</t>
  </si>
  <si>
    <t>MCLO11</t>
  </si>
  <si>
    <t>Mauá Capital Logística FII</t>
  </si>
  <si>
    <t>AF Invest</t>
  </si>
  <si>
    <t>ARTE11</t>
  </si>
  <si>
    <t>GLPF11</t>
  </si>
  <si>
    <t>PMRL11</t>
  </si>
  <si>
    <t>RZLC11</t>
  </si>
  <si>
    <t>Riza Lecci FII</t>
  </si>
  <si>
    <t>TJKB11</t>
  </si>
  <si>
    <t>TJK Renda Imobiliária FII</t>
  </si>
  <si>
    <t>BTRU11</t>
  </si>
  <si>
    <t>CXTL11</t>
  </si>
  <si>
    <t>Caixa Sequóia Logística FII</t>
  </si>
  <si>
    <t>CYLD11</t>
  </si>
  <si>
    <t>Cyrela Desenvolvimento Logístico FII</t>
  </si>
  <si>
    <t>EDGA11</t>
  </si>
  <si>
    <t>BM Edifício Galeria FII</t>
  </si>
  <si>
    <t>ICNE11</t>
  </si>
  <si>
    <t>MAGM11</t>
  </si>
  <si>
    <t>Mongeral Aegon</t>
  </si>
  <si>
    <t>MIDW11</t>
  </si>
  <si>
    <t>REME11</t>
  </si>
  <si>
    <t>Gestor Tratado</t>
  </si>
  <si>
    <t>VVRI11</t>
  </si>
  <si>
    <t>V2 Renda Imobiliária FII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</si>
</sst>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00_);_(* \(#,##0.00\);_(* &quot;-&quot;_);_(@_)"/>
    <numFmt numFmtId="165" formatCode="0.00&quot;x&quot;"/>
    <numFmt numFmtId="166" formatCode="&quot;R$&quot;\ #,##0.00"/>
    <numFmt numFmtId="167" formatCode="&quot;R$&quot;\ #,##0"/>
    <numFmt numFmtId="168" formatCode="0.0%"/>
    <numFmt numFmtId="169" formatCode="00000"/>
    <numFmt numFmtId="170" formatCode="000&quot;.&quot;000&quot;.&quot;000&quot;/&quot;0000&quot;-&quot;00"/>
  </numFmts>
  <fonts count="46" x14ac:knownFonts="1">
    <font>
      <sz val="11"/>
      <color theme="1"/>
      <name val="Calibri"/>
      <family val="2"/>
      <scheme val="minor"/>
    </font>
    <font>
      <sz val="11"/>
      <color theme="1"/>
      <name val="Calibri"/>
      <family val="2"/>
      <scheme val="minor"/>
    </font>
    <font>
      <u/>
      <sz val="11"/>
      <color theme="10"/>
      <name val="Calibri"/>
      <family val="2"/>
      <scheme val="minor"/>
    </font>
    <font>
      <sz val="9"/>
      <color theme="1"/>
      <name val="Calibri"/>
      <family val="2"/>
      <scheme val="minor"/>
    </font>
    <font>
      <sz val="10"/>
      <color theme="1"/>
      <name val="Arial"/>
      <family val="2"/>
    </font>
    <font>
      <sz val="9"/>
      <color theme="1"/>
      <name val="Arial"/>
      <family val="2"/>
    </font>
    <font>
      <sz val="11"/>
      <color theme="0"/>
      <name val="Arial"/>
      <family val="2"/>
    </font>
    <font>
      <b/>
      <sz val="10"/>
      <color theme="0"/>
      <name val="Arial"/>
      <family val="2"/>
    </font>
    <font>
      <sz val="10"/>
      <color theme="0"/>
      <name val="Arial"/>
      <family val="2"/>
    </font>
    <font>
      <b/>
      <sz val="12"/>
      <color theme="0"/>
      <name val="Arial"/>
      <family val="2"/>
    </font>
    <font>
      <sz val="11"/>
      <color theme="1"/>
      <name val="Arial"/>
      <family val="2"/>
    </font>
    <font>
      <sz val="11"/>
      <color rgb="FF000000"/>
      <name val="Arial"/>
      <family val="2"/>
    </font>
    <font>
      <b/>
      <sz val="10"/>
      <color rgb="FF0A46E4"/>
      <name val="Arial"/>
      <family val="2"/>
    </font>
    <font>
      <b/>
      <sz val="10"/>
      <color theme="1"/>
      <name val="Arial"/>
      <family val="2"/>
    </font>
    <font>
      <b/>
      <sz val="11"/>
      <color theme="1"/>
      <name val="Arial"/>
      <family val="2"/>
    </font>
    <font>
      <sz val="8"/>
      <color theme="1"/>
      <name val="Arial"/>
      <family val="2"/>
    </font>
    <font>
      <b/>
      <sz val="11"/>
      <color rgb="FF3587FF"/>
      <name val="Arial"/>
      <family val="2"/>
    </font>
    <font>
      <b/>
      <sz val="10"/>
      <color rgb="FF001F62"/>
      <name val="Arial"/>
      <family val="2"/>
    </font>
    <font>
      <sz val="9"/>
      <color rgb="FF00295A"/>
      <name val="Arial"/>
      <family val="2"/>
    </font>
    <font>
      <sz val="10"/>
      <color rgb="FF00295A"/>
      <name val="Arial"/>
      <family val="2"/>
    </font>
    <font>
      <sz val="11"/>
      <color rgb="FF00295A"/>
      <name val="Calibri"/>
      <family val="2"/>
      <scheme val="minor"/>
    </font>
    <font>
      <b/>
      <sz val="25"/>
      <color rgb="FF00295A"/>
      <name val="Arial"/>
      <family val="2"/>
    </font>
    <font>
      <b/>
      <sz val="11"/>
      <color rgb="FF00295A"/>
      <name val="Arial"/>
      <family val="2"/>
    </font>
    <font>
      <sz val="12"/>
      <color theme="1"/>
      <name val="Arial"/>
      <family val="2"/>
    </font>
    <font>
      <sz val="12"/>
      <color theme="1"/>
      <name val="Calibri"/>
      <family val="2"/>
      <scheme val="minor"/>
    </font>
    <font>
      <b/>
      <sz val="12"/>
      <color rgb="FF0B2859"/>
      <name val="Arial"/>
      <family val="2"/>
    </font>
    <font>
      <sz val="11"/>
      <color rgb="FF00295A"/>
      <name val="Arial"/>
      <family val="2"/>
    </font>
    <font>
      <u/>
      <sz val="11"/>
      <color rgb="FF00295A"/>
      <name val="Arial"/>
      <family val="2"/>
    </font>
    <font>
      <b/>
      <sz val="14"/>
      <color theme="0"/>
      <name val="Arial"/>
      <family val="2"/>
    </font>
    <font>
      <b/>
      <i/>
      <sz val="12"/>
      <color theme="0"/>
      <name val="Arial"/>
      <family val="2"/>
    </font>
    <font>
      <sz val="10"/>
      <color rgb="FF474E55"/>
      <name val="Arial"/>
      <family val="2"/>
    </font>
    <font>
      <b/>
      <sz val="10"/>
      <color rgb="FF474E55"/>
      <name val="Arial"/>
      <family val="2"/>
    </font>
    <font>
      <b/>
      <sz val="11"/>
      <color rgb="FF474E55"/>
      <name val="Arial"/>
      <family val="2"/>
    </font>
    <font>
      <b/>
      <sz val="11"/>
      <color rgb="FF549CFF"/>
      <name val="Arial"/>
      <family val="2"/>
    </font>
    <font>
      <sz val="8"/>
      <color theme="1" tint="0.499984740745262"/>
      <name val="Arial"/>
      <family val="2"/>
    </font>
    <font>
      <b/>
      <sz val="8"/>
      <color rgb="FF3587FF"/>
      <name val="Arial"/>
      <family val="2"/>
    </font>
    <font>
      <b/>
      <sz val="8"/>
      <color theme="1"/>
      <name val="Arial"/>
      <family val="2"/>
    </font>
    <font>
      <b/>
      <sz val="8"/>
      <color theme="0"/>
      <name val="Arial"/>
      <family val="2"/>
    </font>
    <font>
      <b/>
      <sz val="10"/>
      <color rgb="FF0B2859"/>
      <name val="Arial"/>
      <family val="2"/>
    </font>
    <font>
      <sz val="11"/>
      <color rgb="FF0B2859"/>
      <name val="Arial"/>
      <family val="2"/>
    </font>
    <font>
      <b/>
      <sz val="8"/>
      <color rgb="FF0B2859"/>
      <name val="Arial"/>
      <family val="2"/>
    </font>
    <font>
      <b/>
      <sz val="11"/>
      <color theme="0"/>
      <name val="Arial"/>
      <family val="2"/>
    </font>
    <font>
      <sz val="10"/>
      <color rgb="FF002962"/>
      <name val="Arial"/>
      <family val="2"/>
    </font>
    <font>
      <b/>
      <sz val="10"/>
      <color rgb="FF0563C1"/>
      <name val="Arial"/>
      <family val="2"/>
    </font>
    <font>
      <b/>
      <u/>
      <sz val="8"/>
      <color theme="1"/>
      <name val="Arial"/>
      <family val="2"/>
    </font>
    <font>
      <b/>
      <sz val="10"/>
      <color rgb="FF549CFF"/>
      <name val="Arial"/>
      <family val="2"/>
    </font>
  </fonts>
  <fills count="17">
    <fill>
      <patternFill patternType="none"/>
    </fill>
    <fill>
      <patternFill patternType="gray125"/>
    </fill>
    <fill>
      <patternFill patternType="solid">
        <fgColor theme="0"/>
        <bgColor indexed="64"/>
      </patternFill>
    </fill>
    <fill>
      <patternFill patternType="solid">
        <fgColor theme="6" tint="0.39994506668294322"/>
        <bgColor indexed="64"/>
      </patternFill>
    </fill>
    <fill>
      <patternFill patternType="solid">
        <fgColor rgb="FF1C233B"/>
        <bgColor indexed="64"/>
      </patternFill>
    </fill>
    <fill>
      <patternFill patternType="solid">
        <fgColor theme="2"/>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B2859"/>
        <bgColor indexed="64"/>
      </patternFill>
    </fill>
    <fill>
      <patternFill patternType="solid">
        <fgColor rgb="FF6BAAFF"/>
        <bgColor indexed="64"/>
      </patternFill>
    </fill>
    <fill>
      <patternFill patternType="solid">
        <fgColor rgb="FFD2E5FF"/>
        <bgColor indexed="64"/>
      </patternFill>
    </fill>
    <fill>
      <patternFill patternType="solid">
        <fgColor rgb="FF195AB4"/>
        <bgColor indexed="64"/>
      </patternFill>
    </fill>
    <fill>
      <patternFill patternType="solid">
        <fgColor rgb="FF549CFF"/>
        <bgColor indexed="64"/>
      </patternFill>
    </fill>
    <fill>
      <patternFill patternType="solid">
        <fgColor theme="4"/>
        <bgColor indexed="64"/>
      </patternFill>
    </fill>
    <fill>
      <patternFill patternType="solid">
        <fgColor rgb="FF0563C1"/>
        <bgColor indexed="64"/>
      </patternFill>
    </fill>
    <fill>
      <patternFill patternType="solid">
        <fgColor theme="6" tint="0.39997558519241921"/>
        <bgColor indexed="64"/>
      </patternFill>
    </fill>
    <fill>
      <patternFill patternType="solid">
        <fgColor theme="8" tint="0.79998168889431442"/>
        <bgColor indexed="64"/>
      </patternFill>
    </fill>
  </fills>
  <borders count="57">
    <border>
      <left/>
      <right/>
      <top/>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medium">
        <color rgb="FF00447C"/>
      </right>
      <top style="medium">
        <color rgb="FF00447C"/>
      </top>
      <bottom style="medium">
        <color rgb="FF00447C"/>
      </bottom>
      <diagonal/>
    </border>
    <border>
      <left/>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top/>
      <bottom style="thin">
        <color rgb="FF1A5AB4"/>
      </bottom>
      <diagonal/>
    </border>
    <border>
      <left style="medium">
        <color rgb="FF001F62"/>
      </left>
      <right style="medium">
        <color rgb="FF001F62"/>
      </right>
      <top style="medium">
        <color rgb="FF001F62"/>
      </top>
      <bottom style="medium">
        <color rgb="FF001F62"/>
      </bottom>
      <diagonal/>
    </border>
    <border>
      <left style="medium">
        <color rgb="FF1C233B"/>
      </left>
      <right style="medium">
        <color rgb="FF1C233B"/>
      </right>
      <top style="medium">
        <color rgb="FF1C233B"/>
      </top>
      <bottom style="medium">
        <color rgb="FF1C233B"/>
      </bottom>
      <diagonal/>
    </border>
    <border>
      <left style="thick">
        <color theme="0"/>
      </left>
      <right/>
      <top style="thick">
        <color theme="0"/>
      </top>
      <bottom style="thin">
        <color theme="0"/>
      </bottom>
      <diagonal/>
    </border>
    <border>
      <left/>
      <right/>
      <top style="thick">
        <color theme="0"/>
      </top>
      <bottom style="thin">
        <color theme="0"/>
      </bottom>
      <diagonal/>
    </border>
    <border>
      <left/>
      <right style="thick">
        <color theme="0"/>
      </right>
      <top style="thick">
        <color theme="0"/>
      </top>
      <bottom style="thin">
        <color theme="0"/>
      </bottom>
      <diagonal/>
    </border>
    <border>
      <left style="thick">
        <color theme="0"/>
      </left>
      <right style="thin">
        <color theme="0"/>
      </right>
      <top style="thin">
        <color theme="0"/>
      </top>
      <bottom style="thin">
        <color theme="0"/>
      </bottom>
      <diagonal/>
    </border>
    <border>
      <left style="thin">
        <color theme="0"/>
      </left>
      <right style="thick">
        <color theme="0"/>
      </right>
      <top style="thin">
        <color theme="0"/>
      </top>
      <bottom style="thin">
        <color theme="0"/>
      </bottom>
      <diagonal/>
    </border>
    <border>
      <left style="thick">
        <color theme="0"/>
      </left>
      <right style="thin">
        <color theme="0"/>
      </right>
      <top/>
      <bottom style="thick">
        <color theme="0"/>
      </bottom>
      <diagonal/>
    </border>
    <border>
      <left style="thin">
        <color theme="0"/>
      </left>
      <right/>
      <top/>
      <bottom style="thick">
        <color theme="0"/>
      </bottom>
      <diagonal/>
    </border>
    <border>
      <left style="thin">
        <color theme="0"/>
      </left>
      <right/>
      <top style="thin">
        <color theme="0"/>
      </top>
      <bottom style="thick">
        <color theme="0"/>
      </bottom>
      <diagonal/>
    </border>
    <border>
      <left style="thin">
        <color theme="0"/>
      </left>
      <right style="thick">
        <color theme="0"/>
      </right>
      <top style="thin">
        <color theme="0"/>
      </top>
      <bottom style="thick">
        <color theme="0"/>
      </bottom>
      <diagonal/>
    </border>
    <border>
      <left/>
      <right style="thin">
        <color theme="0"/>
      </right>
      <top/>
      <bottom style="thin">
        <color rgb="FF3587FF"/>
      </bottom>
      <diagonal/>
    </border>
    <border>
      <left style="thin">
        <color theme="0"/>
      </left>
      <right style="thin">
        <color theme="0"/>
      </right>
      <top/>
      <bottom style="thin">
        <color rgb="FF3587FF"/>
      </bottom>
      <diagonal/>
    </border>
    <border>
      <left style="thin">
        <color theme="0"/>
      </left>
      <right/>
      <top/>
      <bottom style="thin">
        <color rgb="FF3587FF"/>
      </bottom>
      <diagonal/>
    </border>
    <border>
      <left/>
      <right/>
      <top style="thin">
        <color rgb="FF3587FF"/>
      </top>
      <bottom style="thin">
        <color rgb="FF3587FF"/>
      </bottom>
      <diagonal/>
    </border>
    <border>
      <left/>
      <right style="thin">
        <color theme="0"/>
      </right>
      <top style="thin">
        <color rgb="FF3587FF"/>
      </top>
      <bottom style="thin">
        <color rgb="FF3587FF"/>
      </bottom>
      <diagonal/>
    </border>
    <border>
      <left style="thin">
        <color theme="0"/>
      </left>
      <right style="thin">
        <color theme="0"/>
      </right>
      <top style="thin">
        <color rgb="FF3587FF"/>
      </top>
      <bottom style="thin">
        <color rgb="FF3587FF"/>
      </bottom>
      <diagonal/>
    </border>
    <border>
      <left style="thin">
        <color theme="0"/>
      </left>
      <right/>
      <top style="thin">
        <color rgb="FF3587FF"/>
      </top>
      <bottom style="thin">
        <color rgb="FF3587FF"/>
      </bottom>
      <diagonal/>
    </border>
    <border>
      <left style="thin">
        <color theme="0"/>
      </left>
      <right style="thin">
        <color theme="0"/>
      </right>
      <top style="thick">
        <color theme="0"/>
      </top>
      <bottom style="thin">
        <color rgb="FF3587FF"/>
      </bottom>
      <diagonal/>
    </border>
    <border>
      <left/>
      <right/>
      <top style="thick">
        <color theme="0"/>
      </top>
      <bottom style="thin">
        <color rgb="FF3587FF"/>
      </bottom>
      <diagonal/>
    </border>
    <border>
      <left style="thin">
        <color theme="0"/>
      </left>
      <right style="thin">
        <color theme="0"/>
      </right>
      <top style="thin">
        <color theme="0"/>
      </top>
      <bottom style="thin">
        <color rgb="FF3587FF"/>
      </bottom>
      <diagonal/>
    </border>
    <border>
      <left style="thin">
        <color theme="0"/>
      </left>
      <right/>
      <top style="thin">
        <color theme="0"/>
      </top>
      <bottom style="thin">
        <color rgb="FF3587FF"/>
      </bottom>
      <diagonal/>
    </border>
    <border>
      <left/>
      <right style="thin">
        <color theme="0"/>
      </right>
      <top style="thin">
        <color theme="0"/>
      </top>
      <bottom style="thin">
        <color rgb="FF3587FF"/>
      </bottom>
      <diagonal/>
    </border>
    <border>
      <left style="thin">
        <color theme="0"/>
      </left>
      <right style="thin">
        <color theme="0"/>
      </right>
      <top style="thin">
        <color rgb="FF3587FF"/>
      </top>
      <bottom/>
      <diagonal/>
    </border>
    <border>
      <left/>
      <right style="thick">
        <color rgb="FF002962"/>
      </right>
      <top/>
      <bottom/>
      <diagonal/>
    </border>
    <border>
      <left style="thin">
        <color theme="0"/>
      </left>
      <right/>
      <top/>
      <bottom style="thick">
        <color rgb="FFD2E5FF"/>
      </bottom>
      <diagonal/>
    </border>
    <border>
      <left/>
      <right/>
      <top/>
      <bottom style="medium">
        <color theme="0"/>
      </bottom>
      <diagonal/>
    </border>
    <border>
      <left/>
      <right/>
      <top/>
      <bottom style="thick">
        <color theme="0"/>
      </bottom>
      <diagonal/>
    </border>
    <border>
      <left style="dashed">
        <color theme="1"/>
      </left>
      <right style="dashed">
        <color theme="1"/>
      </right>
      <top style="dashed">
        <color theme="1"/>
      </top>
      <bottom/>
      <diagonal/>
    </border>
    <border>
      <left style="dashed">
        <color theme="1"/>
      </left>
      <right style="dashed">
        <color theme="1"/>
      </right>
      <top/>
      <bottom/>
      <diagonal/>
    </border>
    <border>
      <left style="dashed">
        <color theme="1"/>
      </left>
      <right style="dashed">
        <color theme="1"/>
      </right>
      <top/>
      <bottom style="dashed">
        <color theme="1"/>
      </bottom>
      <diagonal/>
    </border>
    <border>
      <left style="medium">
        <color rgb="FF001F62"/>
      </left>
      <right/>
      <top/>
      <bottom/>
      <diagonal/>
    </border>
    <border>
      <left style="medium">
        <color rgb="FF001F62"/>
      </left>
      <right style="medium">
        <color rgb="FF001F62"/>
      </right>
      <top/>
      <bottom style="medium">
        <color rgb="FF001F62"/>
      </bottom>
      <diagonal/>
    </border>
    <border>
      <left style="thin">
        <color theme="0"/>
      </left>
      <right style="thin">
        <color theme="0"/>
      </right>
      <top style="thin">
        <color theme="0"/>
      </top>
      <bottom style="thin">
        <color theme="0" tint="-4.9989318521683403E-2"/>
      </bottom>
      <diagonal/>
    </border>
    <border>
      <left style="dotted">
        <color rgb="FF002962"/>
      </left>
      <right style="dotted">
        <color rgb="FF002962"/>
      </right>
      <top style="dotted">
        <color rgb="FF002962"/>
      </top>
      <bottom/>
      <diagonal/>
    </border>
    <border>
      <left style="dotted">
        <color rgb="FF002962"/>
      </left>
      <right style="dotted">
        <color rgb="FF002962"/>
      </right>
      <top/>
      <bottom/>
      <diagonal/>
    </border>
    <border>
      <left style="dotted">
        <color rgb="FF002962"/>
      </left>
      <right style="dotted">
        <color rgb="FF002962"/>
      </right>
      <top/>
      <bottom style="dotted">
        <color rgb="FF002962"/>
      </bottom>
      <diagonal/>
    </border>
    <border>
      <left/>
      <right/>
      <top style="thin">
        <color rgb="FF3587FF"/>
      </top>
      <bottom/>
      <diagonal/>
    </border>
  </borders>
  <cellStyleXfs count="6">
    <xf numFmtId="0" fontId="0" fillId="0" borderId="0"/>
    <xf numFmtId="9" fontId="1" fillId="0" borderId="0" applyFont="0" applyBorder="0" applyAlignment="0" applyProtection="0"/>
    <xf numFmtId="43" fontId="1" fillId="0" borderId="0" applyFont="0" applyFill="0" applyBorder="0" applyAlignment="0" applyProtection="0"/>
    <xf numFmtId="0" fontId="2" fillId="0" borderId="0" applyNumberFormat="0" applyFill="0" applyBorder="0" applyAlignment="0" applyProtection="0"/>
    <xf numFmtId="9" fontId="1" fillId="3" borderId="0" applyFont="0" applyBorder="0" applyAlignment="0" applyProtection="0"/>
    <xf numFmtId="9" fontId="1" fillId="0" borderId="0" applyFont="0" applyFill="0" applyBorder="0" applyAlignment="0" applyProtection="0"/>
  </cellStyleXfs>
  <cellXfs count="277">
    <xf numFmtId="0" fontId="0" fillId="0" borderId="0" xfId="0"/>
    <xf numFmtId="0" fontId="3" fillId="2" borderId="0" xfId="0" applyFont="1" applyFill="1"/>
    <xf numFmtId="0" fontId="5" fillId="2" borderId="0" xfId="0" applyFont="1" applyFill="1"/>
    <xf numFmtId="0" fontId="4" fillId="2" borderId="0" xfId="0" applyFont="1" applyFill="1" applyAlignment="1">
      <alignment vertical="center" wrapText="1"/>
    </xf>
    <xf numFmtId="0" fontId="5" fillId="2" borderId="10" xfId="0" applyFont="1" applyFill="1" applyBorder="1"/>
    <xf numFmtId="0" fontId="4" fillId="2" borderId="0" xfId="0" applyFont="1" applyFill="1" applyAlignment="1">
      <alignment wrapText="1"/>
    </xf>
    <xf numFmtId="0" fontId="10" fillId="0" borderId="0" xfId="0" applyFont="1"/>
    <xf numFmtId="0" fontId="11" fillId="0" borderId="0" xfId="0" applyFont="1" applyAlignment="1">
      <alignment vertical="center" wrapText="1"/>
    </xf>
    <xf numFmtId="0" fontId="10" fillId="0" borderId="18" xfId="0" applyFont="1" applyBorder="1"/>
    <xf numFmtId="0" fontId="4" fillId="0" borderId="0" xfId="0" applyFont="1"/>
    <xf numFmtId="0" fontId="4" fillId="2" borderId="0" xfId="0" applyFont="1" applyFill="1"/>
    <xf numFmtId="0" fontId="4" fillId="2" borderId="0" xfId="0" applyFont="1" applyFill="1" applyAlignment="1">
      <alignment horizontal="center"/>
    </xf>
    <xf numFmtId="4" fontId="4" fillId="2" borderId="0" xfId="0" applyNumberFormat="1" applyFont="1" applyFill="1" applyAlignment="1">
      <alignment horizontal="center"/>
    </xf>
    <xf numFmtId="0" fontId="4" fillId="2" borderId="11" xfId="0" applyFont="1" applyFill="1" applyBorder="1"/>
    <xf numFmtId="0" fontId="4" fillId="2" borderId="4" xfId="0" applyFont="1" applyFill="1" applyBorder="1"/>
    <xf numFmtId="0" fontId="4" fillId="2" borderId="0" xfId="0" applyFont="1" applyFill="1" applyAlignment="1">
      <alignment horizontal="center" vertical="center"/>
    </xf>
    <xf numFmtId="0" fontId="4" fillId="2" borderId="13" xfId="0" applyFont="1" applyFill="1" applyBorder="1"/>
    <xf numFmtId="0" fontId="4" fillId="2" borderId="5" xfId="0" applyFont="1" applyFill="1" applyBorder="1"/>
    <xf numFmtId="0" fontId="4" fillId="2" borderId="2" xfId="0" applyFont="1" applyFill="1" applyBorder="1" applyAlignment="1">
      <alignment wrapText="1"/>
    </xf>
    <xf numFmtId="0" fontId="6" fillId="0" borderId="0" xfId="0" applyFont="1"/>
    <xf numFmtId="0" fontId="10" fillId="2" borderId="0" xfId="0" applyFont="1" applyFill="1"/>
    <xf numFmtId="0" fontId="6" fillId="2" borderId="0" xfId="0" applyFont="1" applyFill="1"/>
    <xf numFmtId="0" fontId="4" fillId="4" borderId="8"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horizontal="left" vertical="center"/>
    </xf>
    <xf numFmtId="0" fontId="7" fillId="4" borderId="8" xfId="0" applyFont="1" applyFill="1" applyBorder="1" applyAlignment="1">
      <alignment horizontal="left" vertical="center"/>
    </xf>
    <xf numFmtId="0" fontId="4" fillId="2" borderId="0" xfId="0" applyFont="1" applyFill="1" applyAlignment="1">
      <alignment vertical="center"/>
    </xf>
    <xf numFmtId="0" fontId="7" fillId="0" borderId="0" xfId="0" applyFont="1" applyAlignment="1">
      <alignment horizontal="left" vertical="center" indent="1"/>
    </xf>
    <xf numFmtId="9" fontId="7" fillId="0" borderId="0" xfId="5" applyFont="1" applyFill="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horizontal="center" vertical="center"/>
    </xf>
    <xf numFmtId="166" fontId="8" fillId="0" borderId="0" xfId="0" applyNumberFormat="1" applyFont="1" applyAlignment="1">
      <alignment horizontal="center" vertical="center"/>
    </xf>
    <xf numFmtId="165" fontId="8" fillId="0" borderId="0" xfId="0" applyNumberFormat="1" applyFont="1" applyAlignment="1">
      <alignment horizontal="center" vertical="center"/>
    </xf>
    <xf numFmtId="0" fontId="13" fillId="2" borderId="0" xfId="0" applyFont="1" applyFill="1" applyAlignment="1">
      <alignment vertical="center"/>
    </xf>
    <xf numFmtId="0" fontId="15" fillId="0" borderId="0" xfId="0" applyFont="1" applyAlignment="1">
      <alignment vertical="center"/>
    </xf>
    <xf numFmtId="0" fontId="13" fillId="0" borderId="0" xfId="0" applyFont="1" applyAlignment="1">
      <alignment horizontal="left" vertical="center" indent="1"/>
    </xf>
    <xf numFmtId="0" fontId="13" fillId="0" borderId="0" xfId="0" applyFont="1" applyAlignment="1">
      <alignment horizontal="left" vertical="center"/>
    </xf>
    <xf numFmtId="0" fontId="7" fillId="4" borderId="7" xfId="0" applyFont="1" applyFill="1" applyBorder="1" applyAlignment="1">
      <alignment horizontal="left" vertical="center"/>
    </xf>
    <xf numFmtId="0" fontId="4" fillId="5" borderId="22" xfId="0" applyFont="1" applyFill="1" applyBorder="1" applyAlignment="1">
      <alignment vertical="center"/>
    </xf>
    <xf numFmtId="0" fontId="4" fillId="5" borderId="23" xfId="0" applyFont="1" applyFill="1" applyBorder="1" applyAlignment="1">
      <alignment vertical="center"/>
    </xf>
    <xf numFmtId="4" fontId="4" fillId="2" borderId="0" xfId="0" applyNumberFormat="1" applyFont="1" applyFill="1" applyAlignment="1">
      <alignment horizontal="center" vertical="center"/>
    </xf>
    <xf numFmtId="0" fontId="4" fillId="2" borderId="11" xfId="0" applyFont="1" applyFill="1" applyBorder="1" applyAlignment="1">
      <alignment vertical="center"/>
    </xf>
    <xf numFmtId="0" fontId="4" fillId="2" borderId="4" xfId="0" applyFont="1" applyFill="1" applyBorder="1" applyAlignment="1">
      <alignment vertical="center"/>
    </xf>
    <xf numFmtId="0" fontId="4" fillId="2" borderId="12" xfId="0" applyFont="1" applyFill="1" applyBorder="1" applyAlignment="1">
      <alignment vertical="center"/>
    </xf>
    <xf numFmtId="0" fontId="4" fillId="2" borderId="10" xfId="0" applyFont="1" applyFill="1" applyBorder="1" applyAlignment="1">
      <alignment vertical="center"/>
    </xf>
    <xf numFmtId="10" fontId="4" fillId="0" borderId="17" xfId="1" applyNumberFormat="1" applyFont="1" applyBorder="1" applyAlignment="1">
      <alignment horizontal="center" vertical="center"/>
    </xf>
    <xf numFmtId="3" fontId="4" fillId="0" borderId="17" xfId="2" applyNumberFormat="1" applyFont="1" applyBorder="1" applyAlignment="1">
      <alignment horizontal="center" vertical="center"/>
    </xf>
    <xf numFmtId="3" fontId="4" fillId="0" borderId="17" xfId="1" applyNumberFormat="1" applyFont="1" applyBorder="1" applyAlignment="1">
      <alignment horizontal="center" vertical="center"/>
    </xf>
    <xf numFmtId="165" fontId="4" fillId="0" borderId="17" xfId="0" applyNumberFormat="1" applyFont="1" applyBorder="1" applyAlignment="1">
      <alignment horizontal="center" vertical="center"/>
    </xf>
    <xf numFmtId="10" fontId="4" fillId="0" borderId="11" xfId="1" applyNumberFormat="1" applyFont="1" applyBorder="1" applyAlignment="1">
      <alignment horizontal="center" vertical="center"/>
    </xf>
    <xf numFmtId="10" fontId="4" fillId="0" borderId="1" xfId="1" applyNumberFormat="1" applyFont="1" applyBorder="1" applyAlignment="1">
      <alignment horizontal="center" vertical="center"/>
    </xf>
    <xf numFmtId="0" fontId="4" fillId="2" borderId="6" xfId="0" applyFont="1" applyFill="1" applyBorder="1" applyAlignment="1">
      <alignment vertical="center"/>
    </xf>
    <xf numFmtId="0" fontId="14" fillId="2" borderId="15" xfId="0" applyFont="1" applyFill="1" applyBorder="1" applyAlignment="1">
      <alignment horizontal="left" vertical="center"/>
    </xf>
    <xf numFmtId="0" fontId="4" fillId="2" borderId="15" xfId="0" applyFont="1" applyFill="1" applyBorder="1" applyAlignment="1">
      <alignment vertical="center"/>
    </xf>
    <xf numFmtId="0" fontId="13" fillId="5" borderId="21" xfId="0" applyFont="1" applyFill="1" applyBorder="1" applyAlignment="1">
      <alignment horizontal="left" vertical="center" indent="1"/>
    </xf>
    <xf numFmtId="0" fontId="4" fillId="5" borderId="8" xfId="0" applyFont="1" applyFill="1" applyBorder="1" applyAlignment="1">
      <alignment vertical="center"/>
    </xf>
    <xf numFmtId="0" fontId="13" fillId="5" borderId="8" xfId="0" applyFont="1" applyFill="1" applyBorder="1" applyAlignment="1">
      <alignment horizontal="left" vertical="center"/>
    </xf>
    <xf numFmtId="10" fontId="17" fillId="6" borderId="0" xfId="1" applyNumberFormat="1" applyFont="1" applyFill="1" applyBorder="1" applyAlignment="1">
      <alignment horizontal="center" vertical="center"/>
    </xf>
    <xf numFmtId="0" fontId="15" fillId="0" borderId="0" xfId="0" applyFont="1" applyAlignment="1">
      <alignment horizontal="left" vertical="center" wrapText="1"/>
    </xf>
    <xf numFmtId="0" fontId="4" fillId="0" borderId="15" xfId="0" applyFont="1" applyBorder="1" applyAlignment="1">
      <alignment vertical="center"/>
    </xf>
    <xf numFmtId="9" fontId="7" fillId="0" borderId="15" xfId="5" applyFont="1" applyFill="1" applyBorder="1" applyAlignment="1">
      <alignment horizontal="center" vertical="center"/>
    </xf>
    <xf numFmtId="0" fontId="8" fillId="0" borderId="15" xfId="0" applyFont="1" applyBorder="1" applyAlignment="1">
      <alignment horizontal="left" vertical="center" indent="1"/>
    </xf>
    <xf numFmtId="0" fontId="8" fillId="0" borderId="15" xfId="0" applyFont="1" applyBorder="1" applyAlignment="1">
      <alignment horizontal="center" vertical="center"/>
    </xf>
    <xf numFmtId="166" fontId="8" fillId="0" borderId="15" xfId="0" applyNumberFormat="1" applyFont="1" applyBorder="1" applyAlignment="1">
      <alignment horizontal="center" vertical="center"/>
    </xf>
    <xf numFmtId="165" fontId="8" fillId="0" borderId="15" xfId="0" applyNumberFormat="1" applyFont="1" applyBorder="1" applyAlignment="1">
      <alignment horizontal="center" vertical="center"/>
    </xf>
    <xf numFmtId="0" fontId="15" fillId="0" borderId="15" xfId="0" applyFont="1" applyBorder="1" applyAlignment="1">
      <alignment horizontal="left" vertical="center" wrapText="1"/>
    </xf>
    <xf numFmtId="0" fontId="13" fillId="0" borderId="0" xfId="0" applyFont="1" applyAlignment="1">
      <alignment vertical="center"/>
    </xf>
    <xf numFmtId="0" fontId="7" fillId="0" borderId="0" xfId="0" applyFont="1" applyAlignment="1">
      <alignment horizontal="center" vertical="center"/>
    </xf>
    <xf numFmtId="167" fontId="7" fillId="0" borderId="0" xfId="0" applyNumberFormat="1" applyFont="1" applyAlignment="1">
      <alignment horizontal="center" vertical="center"/>
    </xf>
    <xf numFmtId="165" fontId="7" fillId="0" borderId="0" xfId="0" applyNumberFormat="1" applyFont="1" applyAlignment="1">
      <alignment horizontal="center" vertical="center"/>
    </xf>
    <xf numFmtId="10" fontId="7" fillId="0" borderId="0" xfId="5" applyNumberFormat="1" applyFont="1" applyFill="1" applyBorder="1" applyAlignment="1">
      <alignment horizontal="center" vertical="center"/>
    </xf>
    <xf numFmtId="0" fontId="5" fillId="2" borderId="43" xfId="0" applyFont="1" applyFill="1" applyBorder="1" applyAlignment="1">
      <alignment vertical="center"/>
    </xf>
    <xf numFmtId="0" fontId="5" fillId="2" borderId="43" xfId="0" applyFont="1" applyFill="1" applyBorder="1"/>
    <xf numFmtId="0" fontId="18" fillId="2" borderId="43" xfId="0" applyFont="1" applyFill="1" applyBorder="1"/>
    <xf numFmtId="0" fontId="23" fillId="2" borderId="0" xfId="0" applyFont="1" applyFill="1"/>
    <xf numFmtId="0" fontId="24" fillId="0" borderId="0" xfId="0" applyFont="1"/>
    <xf numFmtId="0" fontId="22" fillId="2" borderId="43" xfId="0" applyFont="1" applyFill="1" applyBorder="1" applyAlignment="1">
      <alignment horizontal="left" indent="2"/>
    </xf>
    <xf numFmtId="0" fontId="26" fillId="2" borderId="43" xfId="0" applyFont="1" applyFill="1" applyBorder="1" applyAlignment="1">
      <alignment horizontal="left" indent="2"/>
    </xf>
    <xf numFmtId="0" fontId="26" fillId="2" borderId="43" xfId="0" applyFont="1" applyFill="1" applyBorder="1" applyAlignment="1">
      <alignment vertical="center"/>
    </xf>
    <xf numFmtId="0" fontId="5" fillId="2" borderId="44" xfId="0" applyFont="1" applyFill="1" applyBorder="1"/>
    <xf numFmtId="0" fontId="16" fillId="2" borderId="43" xfId="0" applyFont="1" applyFill="1" applyBorder="1" applyAlignment="1">
      <alignment horizontal="left" indent="2"/>
    </xf>
    <xf numFmtId="0" fontId="5" fillId="2" borderId="5" xfId="0" applyFont="1" applyFill="1" applyBorder="1"/>
    <xf numFmtId="0" fontId="30" fillId="0" borderId="30" xfId="0" applyFont="1" applyBorder="1" applyAlignment="1">
      <alignment horizontal="left" vertical="center"/>
    </xf>
    <xf numFmtId="0" fontId="30" fillId="0" borderId="31" xfId="0" applyFont="1" applyBorder="1" applyAlignment="1">
      <alignment horizontal="left" vertical="center"/>
    </xf>
    <xf numFmtId="0" fontId="30" fillId="0" borderId="35" xfId="0" applyFont="1" applyBorder="1" applyAlignment="1">
      <alignment horizontal="left" vertical="center"/>
    </xf>
    <xf numFmtId="0" fontId="30" fillId="0" borderId="0" xfId="0" applyFont="1" applyAlignment="1">
      <alignment vertical="center"/>
    </xf>
    <xf numFmtId="0" fontId="30" fillId="0" borderId="0" xfId="0" applyFont="1"/>
    <xf numFmtId="10" fontId="30" fillId="0" borderId="0" xfId="0" applyNumberFormat="1" applyFont="1" applyAlignment="1">
      <alignment horizontal="center"/>
    </xf>
    <xf numFmtId="0" fontId="7" fillId="8" borderId="0" xfId="0" applyFont="1" applyFill="1" applyAlignment="1">
      <alignment vertical="center"/>
    </xf>
    <xf numFmtId="0" fontId="7" fillId="8" borderId="2" xfId="0" applyFont="1" applyFill="1" applyBorder="1" applyAlignment="1">
      <alignment vertical="center"/>
    </xf>
    <xf numFmtId="0" fontId="7" fillId="8" borderId="1" xfId="0" applyFont="1" applyFill="1" applyBorder="1" applyAlignment="1">
      <alignment horizontal="center" vertical="center"/>
    </xf>
    <xf numFmtId="0" fontId="7" fillId="8" borderId="1" xfId="0" applyFont="1" applyFill="1" applyBorder="1" applyAlignment="1">
      <alignment horizontal="centerContinuous" vertical="center"/>
    </xf>
    <xf numFmtId="0" fontId="7" fillId="8" borderId="0" xfId="0" applyFont="1" applyFill="1" applyAlignment="1">
      <alignment horizontal="centerContinuous" vertical="center"/>
    </xf>
    <xf numFmtId="0" fontId="7" fillId="8" borderId="2" xfId="0" applyFont="1" applyFill="1" applyBorder="1" applyAlignment="1">
      <alignment horizontal="centerContinuous" vertical="center"/>
    </xf>
    <xf numFmtId="0" fontId="7" fillId="12" borderId="3" xfId="0" applyFont="1" applyFill="1" applyBorder="1" applyAlignment="1">
      <alignment horizontal="center" vertical="center"/>
    </xf>
    <xf numFmtId="2" fontId="7" fillId="12" borderId="3" xfId="0" applyNumberFormat="1" applyFont="1" applyFill="1" applyBorder="1" applyAlignment="1">
      <alignment horizontal="center" vertical="center"/>
    </xf>
    <xf numFmtId="0" fontId="6" fillId="8" borderId="19" xfId="3" applyFont="1" applyFill="1" applyBorder="1" applyAlignment="1">
      <alignment horizontal="center" vertical="center"/>
    </xf>
    <xf numFmtId="0" fontId="7" fillId="8" borderId="24" xfId="0" applyFont="1" applyFill="1" applyBorder="1" applyAlignment="1">
      <alignment horizontal="center" vertical="center" wrapText="1"/>
    </xf>
    <xf numFmtId="0" fontId="7" fillId="8" borderId="7" xfId="0" applyFont="1" applyFill="1" applyBorder="1" applyAlignment="1">
      <alignment horizontal="center" vertical="center" wrapText="1"/>
    </xf>
    <xf numFmtId="4" fontId="7" fillId="8" borderId="7" xfId="0" applyNumberFormat="1"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8" borderId="25" xfId="0" applyFont="1" applyFill="1" applyBorder="1" applyAlignment="1">
      <alignment horizontal="center" vertical="center" wrapText="1"/>
    </xf>
    <xf numFmtId="0" fontId="7" fillId="12" borderId="26" xfId="0" applyFont="1" applyFill="1" applyBorder="1" applyAlignment="1">
      <alignment horizontal="center" vertical="center" wrapText="1"/>
    </xf>
    <xf numFmtId="0" fontId="7" fillId="12" borderId="27" xfId="0" applyFont="1" applyFill="1" applyBorder="1" applyAlignment="1">
      <alignment horizontal="center" vertical="center" wrapText="1"/>
    </xf>
    <xf numFmtId="4" fontId="7" fillId="12" borderId="27" xfId="0" applyNumberFormat="1" applyFont="1" applyFill="1" applyBorder="1" applyAlignment="1">
      <alignment horizontal="center" vertical="center" wrapText="1"/>
    </xf>
    <xf numFmtId="0" fontId="7" fillId="12" borderId="28" xfId="0" applyFont="1" applyFill="1" applyBorder="1" applyAlignment="1">
      <alignment horizontal="center" vertical="center" wrapText="1"/>
    </xf>
    <xf numFmtId="0" fontId="7" fillId="12" borderId="29" xfId="0" applyFont="1" applyFill="1" applyBorder="1" applyAlignment="1">
      <alignment horizontal="center" vertical="center" wrapText="1"/>
    </xf>
    <xf numFmtId="0" fontId="31" fillId="0" borderId="37" xfId="0" applyFont="1" applyBorder="1" applyAlignment="1">
      <alignment horizontal="left" vertical="center"/>
    </xf>
    <xf numFmtId="3" fontId="30" fillId="0" borderId="37" xfId="2" applyNumberFormat="1" applyFont="1" applyFill="1" applyBorder="1" applyAlignment="1">
      <alignment horizontal="center" vertical="center"/>
    </xf>
    <xf numFmtId="0" fontId="31" fillId="0" borderId="34" xfId="0" applyFont="1" applyBorder="1" applyAlignment="1">
      <alignment horizontal="left" vertical="center"/>
    </xf>
    <xf numFmtId="3" fontId="30" fillId="0" borderId="35" xfId="2" applyNumberFormat="1" applyFont="1" applyFill="1" applyBorder="1" applyAlignment="1">
      <alignment horizontal="center" vertical="center"/>
    </xf>
    <xf numFmtId="0" fontId="32" fillId="2" borderId="15" xfId="0" applyFont="1" applyFill="1" applyBorder="1" applyAlignment="1">
      <alignment horizontal="left"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7" fillId="12" borderId="6" xfId="0" applyFont="1" applyFill="1" applyBorder="1" applyAlignment="1">
      <alignment horizontal="center" vertical="center" wrapText="1"/>
    </xf>
    <xf numFmtId="167" fontId="30" fillId="0" borderId="39" xfId="5" applyNumberFormat="1" applyFont="1" applyFill="1" applyBorder="1" applyAlignment="1">
      <alignment horizontal="center" vertical="center"/>
    </xf>
    <xf numFmtId="10" fontId="30" fillId="0" borderId="39" xfId="5" applyNumberFormat="1" applyFont="1" applyFill="1" applyBorder="1" applyAlignment="1">
      <alignment horizontal="center" vertical="center"/>
    </xf>
    <xf numFmtId="167" fontId="30" fillId="0" borderId="35" xfId="5" applyNumberFormat="1" applyFont="1" applyFill="1" applyBorder="1" applyAlignment="1">
      <alignment horizontal="center" vertical="center"/>
    </xf>
    <xf numFmtId="0" fontId="7" fillId="12" borderId="0" xfId="0" applyFont="1" applyFill="1" applyAlignment="1">
      <alignment horizontal="center" vertical="center"/>
    </xf>
    <xf numFmtId="167" fontId="7" fillId="12" borderId="42" xfId="0" applyNumberFormat="1" applyFont="1" applyFill="1" applyBorder="1" applyAlignment="1">
      <alignment horizontal="center" vertical="center"/>
    </xf>
    <xf numFmtId="165" fontId="7" fillId="12" borderId="42" xfId="0" applyNumberFormat="1" applyFont="1" applyFill="1" applyBorder="1" applyAlignment="1">
      <alignment horizontal="center" vertical="center"/>
    </xf>
    <xf numFmtId="10" fontId="7" fillId="12" borderId="42" xfId="5" applyNumberFormat="1" applyFont="1" applyFill="1" applyBorder="1" applyAlignment="1">
      <alignment horizontal="center" vertical="center"/>
    </xf>
    <xf numFmtId="0" fontId="7" fillId="12" borderId="1" xfId="0" applyFont="1" applyFill="1" applyBorder="1" applyAlignment="1">
      <alignment horizontal="center" vertical="center" wrapText="1"/>
    </xf>
    <xf numFmtId="4" fontId="7" fillId="12" borderId="13" xfId="0" applyNumberFormat="1" applyFont="1" applyFill="1" applyBorder="1" applyAlignment="1">
      <alignment horizontal="center" vertical="center" wrapText="1"/>
    </xf>
    <xf numFmtId="0" fontId="7" fillId="12" borderId="13" xfId="0" applyFont="1" applyFill="1" applyBorder="1" applyAlignment="1">
      <alignment horizontal="center" vertical="center" wrapText="1"/>
    </xf>
    <xf numFmtId="0" fontId="7" fillId="12" borderId="7" xfId="0" applyFont="1" applyFill="1" applyBorder="1" applyAlignment="1">
      <alignment horizontal="center" vertical="center" wrapText="1"/>
    </xf>
    <xf numFmtId="4" fontId="7" fillId="12" borderId="1" xfId="0" applyNumberFormat="1" applyFont="1" applyFill="1" applyBorder="1" applyAlignment="1">
      <alignment horizontal="center" vertical="center" wrapText="1"/>
    </xf>
    <xf numFmtId="0" fontId="7" fillId="12" borderId="3" xfId="0" applyFont="1" applyFill="1" applyBorder="1" applyAlignment="1">
      <alignment horizontal="center" vertical="center" wrapText="1"/>
    </xf>
    <xf numFmtId="0" fontId="7" fillId="12" borderId="16" xfId="0" applyFont="1" applyFill="1" applyBorder="1" applyAlignment="1">
      <alignment horizontal="center" vertical="center"/>
    </xf>
    <xf numFmtId="0" fontId="7" fillId="12" borderId="16" xfId="0" applyFont="1" applyFill="1" applyBorder="1" applyAlignment="1">
      <alignment horizontal="center" vertical="center" wrapText="1"/>
    </xf>
    <xf numFmtId="0" fontId="7" fillId="8" borderId="8" xfId="0" applyFont="1" applyFill="1" applyBorder="1" applyAlignment="1">
      <alignment horizontal="center" vertical="center"/>
    </xf>
    <xf numFmtId="0" fontId="30" fillId="2" borderId="30" xfId="0" applyFont="1" applyFill="1" applyBorder="1" applyAlignment="1">
      <alignment horizontal="left" vertical="center"/>
    </xf>
    <xf numFmtId="0" fontId="30" fillId="2" borderId="41" xfId="0" applyFont="1" applyFill="1" applyBorder="1" applyAlignment="1">
      <alignment horizontal="left" vertical="center"/>
    </xf>
    <xf numFmtId="4" fontId="30" fillId="2" borderId="39" xfId="2" applyNumberFormat="1" applyFont="1" applyFill="1" applyBorder="1" applyAlignment="1">
      <alignment horizontal="center" vertical="center"/>
    </xf>
    <xf numFmtId="10" fontId="30" fillId="2" borderId="39" xfId="1" applyNumberFormat="1" applyFont="1" applyFill="1" applyBorder="1" applyAlignment="1">
      <alignment horizontal="center" vertical="center"/>
    </xf>
    <xf numFmtId="3" fontId="30" fillId="2" borderId="39" xfId="1" applyNumberFormat="1" applyFont="1" applyFill="1" applyBorder="1" applyAlignment="1">
      <alignment horizontal="center" vertical="center"/>
    </xf>
    <xf numFmtId="3" fontId="30" fillId="2" borderId="39" xfId="2" applyNumberFormat="1" applyFont="1" applyFill="1" applyBorder="1" applyAlignment="1">
      <alignment horizontal="center" vertical="center"/>
    </xf>
    <xf numFmtId="165" fontId="30" fillId="2" borderId="39" xfId="0" applyNumberFormat="1" applyFont="1" applyFill="1" applyBorder="1" applyAlignment="1">
      <alignment horizontal="center" vertical="center"/>
    </xf>
    <xf numFmtId="10" fontId="30" fillId="2" borderId="40" xfId="1" applyNumberFormat="1" applyFont="1" applyFill="1" applyBorder="1" applyAlignment="1">
      <alignment horizontal="center" vertical="center"/>
    </xf>
    <xf numFmtId="0" fontId="30" fillId="0" borderId="0" xfId="0" applyFont="1" applyAlignment="1">
      <alignment horizontal="left" vertical="center"/>
    </xf>
    <xf numFmtId="10" fontId="30" fillId="0" borderId="0" xfId="1" applyNumberFormat="1" applyFont="1" applyBorder="1" applyAlignment="1">
      <alignment horizontal="center" vertical="center"/>
    </xf>
    <xf numFmtId="165" fontId="30" fillId="0" borderId="0" xfId="0" applyNumberFormat="1" applyFont="1" applyAlignment="1">
      <alignment horizontal="center" vertical="center"/>
    </xf>
    <xf numFmtId="4" fontId="30" fillId="0" borderId="0" xfId="0" applyNumberFormat="1" applyFont="1" applyAlignment="1">
      <alignment horizontal="center"/>
    </xf>
    <xf numFmtId="0" fontId="30" fillId="0" borderId="2" xfId="0" applyFont="1" applyBorder="1" applyAlignment="1">
      <alignment horizontal="left" vertical="center"/>
    </xf>
    <xf numFmtId="0" fontId="33" fillId="0" borderId="0" xfId="0" applyFont="1"/>
    <xf numFmtId="0" fontId="6" fillId="8" borderId="20" xfId="3" applyFont="1" applyFill="1" applyBorder="1" applyAlignment="1">
      <alignment horizontal="center" vertical="center" wrapText="1"/>
    </xf>
    <xf numFmtId="0" fontId="6" fillId="8" borderId="14" xfId="3" applyFont="1" applyFill="1" applyBorder="1" applyAlignment="1">
      <alignment horizontal="center" vertical="center" wrapText="1"/>
    </xf>
    <xf numFmtId="0" fontId="19" fillId="2" borderId="43" xfId="0" applyFont="1" applyFill="1" applyBorder="1" applyAlignment="1">
      <alignment vertical="center" wrapText="1"/>
    </xf>
    <xf numFmtId="0" fontId="0" fillId="2" borderId="0" xfId="0" applyFill="1"/>
    <xf numFmtId="0" fontId="20" fillId="2" borderId="43" xfId="0" applyFont="1" applyFill="1" applyBorder="1"/>
    <xf numFmtId="168" fontId="4" fillId="0" borderId="0" xfId="1" applyNumberFormat="1" applyFont="1" applyAlignment="1">
      <alignment horizontal="center" vertical="center"/>
    </xf>
    <xf numFmtId="168" fontId="4" fillId="2" borderId="0" xfId="0" applyNumberFormat="1" applyFont="1" applyFill="1" applyAlignment="1">
      <alignment vertical="center"/>
    </xf>
    <xf numFmtId="0" fontId="4" fillId="2" borderId="46" xfId="0" applyFont="1" applyFill="1" applyBorder="1"/>
    <xf numFmtId="0" fontId="8" fillId="12" borderId="0" xfId="3" applyFont="1" applyFill="1" applyBorder="1" applyAlignment="1">
      <alignment horizontal="center" vertical="center" wrapText="1"/>
    </xf>
    <xf numFmtId="0" fontId="6" fillId="8" borderId="0" xfId="3" applyFont="1" applyFill="1" applyBorder="1" applyAlignment="1">
      <alignment horizontal="center" vertical="center"/>
    </xf>
    <xf numFmtId="4" fontId="7" fillId="12" borderId="42" xfId="2" applyNumberFormat="1" applyFont="1" applyFill="1" applyBorder="1" applyAlignment="1">
      <alignment horizontal="center" vertical="center"/>
    </xf>
    <xf numFmtId="169" fontId="7" fillId="8" borderId="8" xfId="0" applyNumberFormat="1" applyFont="1" applyFill="1" applyBorder="1" applyAlignment="1">
      <alignment horizontal="centerContinuous" vertical="center"/>
    </xf>
    <xf numFmtId="0" fontId="36" fillId="0" borderId="0" xfId="0" quotePrefix="1" applyFont="1" applyAlignment="1">
      <alignment horizontal="left" vertical="center" indent="1"/>
    </xf>
    <xf numFmtId="0" fontId="37" fillId="0" borderId="0" xfId="0" quotePrefix="1" applyFont="1" applyAlignment="1">
      <alignment horizontal="left" vertical="center" indent="1"/>
    </xf>
    <xf numFmtId="10" fontId="30" fillId="0" borderId="37" xfId="1" applyNumberFormat="1" applyFont="1" applyBorder="1" applyAlignment="1">
      <alignment horizontal="center" vertical="center"/>
    </xf>
    <xf numFmtId="165" fontId="30" fillId="0" borderId="37" xfId="0" applyNumberFormat="1" applyFont="1" applyBorder="1" applyAlignment="1">
      <alignment horizontal="center" vertical="center"/>
    </xf>
    <xf numFmtId="10" fontId="30" fillId="0" borderId="38" xfId="1" applyNumberFormat="1" applyFont="1" applyBorder="1" applyAlignment="1">
      <alignment horizontal="center" vertical="center"/>
    </xf>
    <xf numFmtId="165" fontId="30" fillId="0" borderId="35" xfId="0" applyNumberFormat="1" applyFont="1" applyBorder="1" applyAlignment="1">
      <alignment horizontal="center" vertical="center"/>
    </xf>
    <xf numFmtId="10" fontId="30" fillId="0" borderId="35" xfId="1" applyNumberFormat="1" applyFont="1" applyBorder="1" applyAlignment="1">
      <alignment horizontal="center" vertical="center"/>
    </xf>
    <xf numFmtId="10" fontId="30" fillId="0" borderId="33" xfId="1" applyNumberFormat="1" applyFont="1" applyBorder="1" applyAlignment="1">
      <alignment horizontal="center" vertical="center"/>
    </xf>
    <xf numFmtId="3" fontId="30" fillId="0" borderId="39" xfId="0" applyNumberFormat="1" applyFont="1" applyBorder="1" applyAlignment="1">
      <alignment horizontal="center" vertical="center"/>
    </xf>
    <xf numFmtId="0" fontId="30" fillId="0" borderId="39" xfId="0" applyFont="1" applyBorder="1" applyAlignment="1">
      <alignment horizontal="left" vertical="center" indent="1"/>
    </xf>
    <xf numFmtId="4" fontId="30" fillId="0" borderId="39" xfId="0" applyNumberFormat="1" applyFont="1" applyBorder="1" applyAlignment="1">
      <alignment horizontal="center" vertical="center"/>
    </xf>
    <xf numFmtId="165" fontId="30" fillId="0" borderId="39" xfId="0" applyNumberFormat="1" applyFont="1" applyBorder="1" applyAlignment="1">
      <alignment horizontal="center" vertical="center"/>
    </xf>
    <xf numFmtId="2" fontId="30" fillId="0" borderId="39" xfId="0" applyNumberFormat="1" applyFont="1" applyBorder="1" applyAlignment="1">
      <alignment horizontal="center" vertical="center"/>
    </xf>
    <xf numFmtId="0" fontId="17" fillId="6" borderId="0" xfId="0" applyFont="1" applyFill="1" applyAlignment="1">
      <alignment horizontal="center" vertical="center"/>
    </xf>
    <xf numFmtId="3" fontId="17" fillId="6" borderId="0" xfId="0" applyNumberFormat="1" applyFont="1" applyFill="1" applyAlignment="1">
      <alignment horizontal="center" vertical="center"/>
    </xf>
    <xf numFmtId="165" fontId="17" fillId="6" borderId="0" xfId="0" applyNumberFormat="1" applyFont="1" applyFill="1" applyAlignment="1">
      <alignment horizontal="center" vertical="center"/>
    </xf>
    <xf numFmtId="0" fontId="6" fillId="12" borderId="50" xfId="3" applyFont="1" applyFill="1" applyBorder="1" applyAlignment="1">
      <alignment horizontal="center" vertical="center" wrapText="1"/>
    </xf>
    <xf numFmtId="0" fontId="6" fillId="8" borderId="51" xfId="3" applyFont="1" applyFill="1" applyBorder="1" applyAlignment="1">
      <alignment horizontal="center" vertical="center"/>
    </xf>
    <xf numFmtId="3" fontId="7" fillId="12" borderId="42" xfId="2" applyNumberFormat="1" applyFont="1" applyFill="1" applyBorder="1" applyAlignment="1">
      <alignment horizontal="center" vertical="center"/>
    </xf>
    <xf numFmtId="0" fontId="17" fillId="2" borderId="40" xfId="0" applyFont="1" applyFill="1" applyBorder="1" applyAlignment="1">
      <alignment horizontal="center" vertical="center"/>
    </xf>
    <xf numFmtId="168" fontId="17" fillId="2" borderId="41" xfId="1" applyNumberFormat="1" applyFont="1" applyFill="1" applyBorder="1" applyAlignment="1">
      <alignment horizontal="center" vertical="center"/>
    </xf>
    <xf numFmtId="0" fontId="17" fillId="2" borderId="36" xfId="0" applyFont="1" applyFill="1" applyBorder="1" applyAlignment="1">
      <alignment horizontal="center" vertical="center"/>
    </xf>
    <xf numFmtId="167" fontId="7" fillId="13" borderId="16" xfId="5" applyNumberFormat="1" applyFont="1" applyFill="1" applyBorder="1" applyAlignment="1">
      <alignment horizontal="center" vertical="center"/>
    </xf>
    <xf numFmtId="0" fontId="14" fillId="0" borderId="0" xfId="0" applyFont="1" applyAlignment="1">
      <alignment vertical="center"/>
    </xf>
    <xf numFmtId="0" fontId="6" fillId="8" borderId="0" xfId="3" applyFont="1" applyFill="1" applyBorder="1" applyAlignment="1">
      <alignment horizontal="center" vertical="center" wrapText="1"/>
    </xf>
    <xf numFmtId="0" fontId="6" fillId="12" borderId="0" xfId="3" applyFont="1" applyFill="1" applyBorder="1" applyAlignment="1">
      <alignment horizontal="center" vertical="center" wrapText="1"/>
    </xf>
    <xf numFmtId="0" fontId="38" fillId="0" borderId="52" xfId="0" applyFont="1" applyBorder="1" applyAlignment="1">
      <alignment horizontal="left" vertical="center" wrapText="1"/>
    </xf>
    <xf numFmtId="0" fontId="30" fillId="0" borderId="52" xfId="0" applyFont="1" applyBorder="1" applyAlignment="1">
      <alignment vertical="center" wrapText="1"/>
    </xf>
    <xf numFmtId="0" fontId="25" fillId="0" borderId="0" xfId="0" applyFont="1"/>
    <xf numFmtId="0" fontId="39" fillId="0" borderId="0" xfId="0" applyFont="1"/>
    <xf numFmtId="0" fontId="7" fillId="12" borderId="2" xfId="0" applyFont="1" applyFill="1" applyBorder="1" applyAlignment="1">
      <alignment horizontal="center" vertical="center"/>
    </xf>
    <xf numFmtId="3" fontId="30" fillId="2" borderId="0" xfId="2" applyNumberFormat="1" applyFont="1" applyFill="1" applyBorder="1" applyAlignment="1">
      <alignment horizontal="center" vertical="center"/>
    </xf>
    <xf numFmtId="0" fontId="30" fillId="0" borderId="39" xfId="0" applyFont="1" applyBorder="1" applyAlignment="1">
      <alignment horizontal="left" vertical="center"/>
    </xf>
    <xf numFmtId="0" fontId="41" fillId="14" borderId="0" xfId="0" applyFont="1" applyFill="1" applyAlignment="1">
      <alignment horizontal="centerContinuous" vertical="center"/>
    </xf>
    <xf numFmtId="0" fontId="14" fillId="15" borderId="0" xfId="0" applyFont="1" applyFill="1" applyAlignment="1">
      <alignment horizontal="centerContinuous" vertical="center"/>
    </xf>
    <xf numFmtId="9" fontId="7" fillId="12" borderId="42" xfId="5" applyFont="1" applyFill="1" applyBorder="1" applyAlignment="1">
      <alignment horizontal="center" vertical="center"/>
    </xf>
    <xf numFmtId="167" fontId="30" fillId="2" borderId="39" xfId="5" applyNumberFormat="1" applyFont="1" applyFill="1" applyBorder="1" applyAlignment="1">
      <alignment horizontal="center" vertical="center"/>
    </xf>
    <xf numFmtId="167" fontId="42" fillId="16" borderId="39" xfId="5" applyNumberFormat="1" applyFont="1" applyFill="1" applyBorder="1" applyAlignment="1">
      <alignment horizontal="center" vertical="center"/>
    </xf>
    <xf numFmtId="167" fontId="42" fillId="16" borderId="35" xfId="5" applyNumberFormat="1" applyFont="1" applyFill="1" applyBorder="1" applyAlignment="1">
      <alignment horizontal="center" vertical="center"/>
    </xf>
    <xf numFmtId="0" fontId="7" fillId="14" borderId="0" xfId="0" applyFont="1" applyFill="1" applyAlignment="1">
      <alignment horizontal="center" vertical="center"/>
    </xf>
    <xf numFmtId="9" fontId="7" fillId="14" borderId="42" xfId="5" applyFont="1" applyFill="1" applyBorder="1" applyAlignment="1">
      <alignment horizontal="center" vertical="center"/>
    </xf>
    <xf numFmtId="3" fontId="7" fillId="14" borderId="42" xfId="2" applyNumberFormat="1" applyFont="1" applyFill="1" applyBorder="1" applyAlignment="1">
      <alignment horizontal="center" vertical="center"/>
    </xf>
    <xf numFmtId="4" fontId="7" fillId="14" borderId="42" xfId="2" applyNumberFormat="1" applyFont="1" applyFill="1" applyBorder="1" applyAlignment="1">
      <alignment horizontal="center" vertical="center"/>
    </xf>
    <xf numFmtId="167" fontId="7" fillId="14" borderId="42" xfId="0" applyNumberFormat="1" applyFont="1" applyFill="1" applyBorder="1" applyAlignment="1">
      <alignment horizontal="center" vertical="center"/>
    </xf>
    <xf numFmtId="165" fontId="7" fillId="14" borderId="42" xfId="0" applyNumberFormat="1" applyFont="1" applyFill="1" applyBorder="1" applyAlignment="1">
      <alignment horizontal="center" vertical="center"/>
    </xf>
    <xf numFmtId="10" fontId="7" fillId="14" borderId="42" xfId="5" applyNumberFormat="1" applyFont="1" applyFill="1" applyBorder="1" applyAlignment="1">
      <alignment horizontal="center" vertical="center"/>
    </xf>
    <xf numFmtId="0" fontId="16" fillId="2" borderId="43" xfId="0" applyFont="1" applyFill="1" applyBorder="1" applyAlignment="1">
      <alignment horizontal="left"/>
    </xf>
    <xf numFmtId="0" fontId="26" fillId="2" borderId="43" xfId="0" applyFont="1" applyFill="1" applyBorder="1" applyAlignment="1">
      <alignment horizontal="left"/>
    </xf>
    <xf numFmtId="0" fontId="27" fillId="2" borderId="43" xfId="3" applyFont="1" applyFill="1" applyBorder="1" applyAlignment="1">
      <alignment horizontal="left"/>
    </xf>
    <xf numFmtId="168" fontId="4" fillId="2" borderId="0" xfId="0" applyNumberFormat="1" applyFont="1" applyFill="1" applyAlignment="1">
      <alignment horizontal="center" vertical="center"/>
    </xf>
    <xf numFmtId="168" fontId="4" fillId="0" borderId="0" xfId="0" applyNumberFormat="1" applyFont="1" applyAlignment="1">
      <alignment vertical="center"/>
    </xf>
    <xf numFmtId="0" fontId="10" fillId="0" borderId="0" xfId="0" applyFont="1" applyAlignment="1">
      <alignment horizontal="center" vertical="center"/>
    </xf>
    <xf numFmtId="167" fontId="4" fillId="0" borderId="0" xfId="0" applyNumberFormat="1" applyFont="1" applyAlignment="1">
      <alignment horizontal="center" vertical="center"/>
    </xf>
    <xf numFmtId="165" fontId="4" fillId="0" borderId="0" xfId="0" applyNumberFormat="1" applyFont="1" applyAlignment="1">
      <alignment horizontal="center" vertical="center"/>
    </xf>
    <xf numFmtId="10" fontId="4" fillId="0" borderId="0" xfId="0" applyNumberFormat="1" applyFont="1" applyAlignment="1">
      <alignment horizontal="center" vertical="center"/>
    </xf>
    <xf numFmtId="3" fontId="4" fillId="0" borderId="0" xfId="0" applyNumberFormat="1" applyFont="1" applyAlignment="1">
      <alignment horizontal="center" vertical="center"/>
    </xf>
    <xf numFmtId="9" fontId="7" fillId="12" borderId="3" xfId="5" applyFont="1" applyFill="1" applyBorder="1" applyAlignment="1">
      <alignment horizontal="center" vertical="center"/>
    </xf>
    <xf numFmtId="3" fontId="7" fillId="12" borderId="3" xfId="2" applyNumberFormat="1" applyFont="1" applyFill="1" applyBorder="1" applyAlignment="1">
      <alignment horizontal="center" vertical="center"/>
    </xf>
    <xf numFmtId="4" fontId="7" fillId="12" borderId="3" xfId="2" applyNumberFormat="1" applyFont="1" applyFill="1" applyBorder="1" applyAlignment="1">
      <alignment horizontal="center" vertical="center"/>
    </xf>
    <xf numFmtId="167" fontId="7" fillId="12" borderId="3" xfId="0" applyNumberFormat="1" applyFont="1" applyFill="1" applyBorder="1" applyAlignment="1">
      <alignment horizontal="center" vertical="center"/>
    </xf>
    <xf numFmtId="165" fontId="7" fillId="12" borderId="3" xfId="0" applyNumberFormat="1" applyFont="1" applyFill="1" applyBorder="1" applyAlignment="1">
      <alignment horizontal="center" vertical="center"/>
    </xf>
    <xf numFmtId="10" fontId="7" fillId="12" borderId="3" xfId="5" applyNumberFormat="1" applyFont="1" applyFill="1" applyBorder="1" applyAlignment="1">
      <alignment horizontal="center" vertical="center"/>
    </xf>
    <xf numFmtId="0" fontId="7" fillId="14" borderId="56" xfId="0" applyFont="1" applyFill="1" applyBorder="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0" fontId="12" fillId="0" borderId="0" xfId="0" applyFont="1" applyAlignment="1">
      <alignment vertical="center"/>
    </xf>
    <xf numFmtId="2" fontId="12" fillId="0" borderId="0" xfId="0" applyNumberFormat="1" applyFont="1" applyAlignment="1">
      <alignment horizontal="center" vertical="center"/>
    </xf>
    <xf numFmtId="0" fontId="12" fillId="0" borderId="0" xfId="0" applyFont="1" applyAlignment="1">
      <alignment horizontal="center" vertical="center"/>
    </xf>
    <xf numFmtId="164" fontId="30" fillId="0" borderId="31" xfId="0" applyNumberFormat="1" applyFont="1" applyBorder="1" applyAlignment="1">
      <alignment horizontal="center" vertical="center"/>
    </xf>
    <xf numFmtId="10" fontId="30" fillId="0" borderId="31" xfId="1" applyNumberFormat="1" applyFont="1" applyBorder="1" applyAlignment="1">
      <alignment horizontal="center" vertical="center"/>
    </xf>
    <xf numFmtId="41" fontId="30" fillId="0" borderId="31" xfId="0" applyNumberFormat="1" applyFont="1" applyBorder="1" applyAlignment="1">
      <alignment horizontal="center" vertical="center"/>
    </xf>
    <xf numFmtId="165" fontId="30" fillId="0" borderId="31" xfId="0" applyNumberFormat="1" applyFont="1" applyBorder="1" applyAlignment="1">
      <alignment horizontal="center" vertical="center"/>
    </xf>
    <xf numFmtId="10" fontId="30" fillId="0" borderId="32" xfId="0" applyNumberFormat="1" applyFont="1" applyBorder="1" applyAlignment="1">
      <alignment horizontal="center" vertical="center"/>
    </xf>
    <xf numFmtId="2" fontId="30" fillId="0" borderId="32" xfId="0" applyNumberFormat="1" applyFont="1" applyBorder="1" applyAlignment="1">
      <alignment horizontal="center" vertical="center"/>
    </xf>
    <xf numFmtId="10" fontId="30" fillId="0" borderId="32" xfId="1" applyNumberFormat="1" applyFont="1" applyBorder="1" applyAlignment="1">
      <alignment horizontal="center" vertical="center"/>
    </xf>
    <xf numFmtId="41" fontId="45" fillId="0" borderId="31" xfId="0" applyNumberFormat="1" applyFont="1" applyBorder="1" applyAlignment="1">
      <alignment horizontal="center" vertical="center"/>
    </xf>
    <xf numFmtId="164" fontId="30" fillId="0" borderId="35" xfId="0" applyNumberFormat="1" applyFont="1" applyBorder="1" applyAlignment="1">
      <alignment horizontal="center" vertical="center"/>
    </xf>
    <xf numFmtId="41" fontId="30" fillId="0" borderId="35" xfId="0" applyNumberFormat="1" applyFont="1" applyBorder="1" applyAlignment="1">
      <alignment horizontal="center" vertical="center"/>
    </xf>
    <xf numFmtId="10" fontId="30" fillId="0" borderId="36" xfId="0" applyNumberFormat="1" applyFont="1" applyBorder="1" applyAlignment="1">
      <alignment horizontal="center" vertical="center"/>
    </xf>
    <xf numFmtId="2" fontId="30" fillId="0" borderId="36" xfId="0" applyNumberFormat="1" applyFont="1" applyBorder="1" applyAlignment="1">
      <alignment horizontal="center" vertical="center"/>
    </xf>
    <xf numFmtId="10" fontId="30" fillId="0" borderId="36" xfId="1" applyNumberFormat="1" applyFont="1" applyBorder="1" applyAlignment="1">
      <alignment horizontal="center" vertical="center"/>
    </xf>
    <xf numFmtId="0" fontId="30" fillId="0" borderId="0" xfId="0" applyFont="1" applyAlignment="1">
      <alignment horizontal="center" vertical="center"/>
    </xf>
    <xf numFmtId="10" fontId="30" fillId="0" borderId="0" xfId="0" applyNumberFormat="1" applyFont="1" applyAlignment="1">
      <alignment horizontal="center" vertical="center"/>
    </xf>
    <xf numFmtId="41" fontId="30" fillId="0" borderId="0" xfId="0" applyNumberFormat="1" applyFont="1" applyAlignment="1">
      <alignment horizontal="center" vertical="center"/>
    </xf>
    <xf numFmtId="2" fontId="30" fillId="0" borderId="0" xfId="0" applyNumberFormat="1" applyFont="1" applyAlignment="1">
      <alignment horizontal="center" vertical="center"/>
    </xf>
    <xf numFmtId="170" fontId="30" fillId="0" borderId="30" xfId="0" applyNumberFormat="1" applyFont="1" applyBorder="1" applyAlignment="1">
      <alignment horizontal="center" vertical="center"/>
    </xf>
    <xf numFmtId="168" fontId="30" fillId="0" borderId="31" xfId="1" applyNumberFormat="1" applyFont="1" applyBorder="1" applyAlignment="1">
      <alignment horizontal="center" vertical="center"/>
    </xf>
    <xf numFmtId="168" fontId="30" fillId="0" borderId="35" xfId="1" applyNumberFormat="1" applyFont="1" applyBorder="1" applyAlignment="1">
      <alignment horizontal="center" vertical="center"/>
    </xf>
    <xf numFmtId="168" fontId="30" fillId="0" borderId="0" xfId="1" applyNumberFormat="1" applyFont="1" applyAlignment="1">
      <alignment horizontal="center" vertical="center"/>
    </xf>
    <xf numFmtId="0" fontId="30" fillId="0" borderId="34" xfId="0" applyFont="1" applyBorder="1" applyAlignment="1">
      <alignment horizontal="left" vertical="center"/>
    </xf>
    <xf numFmtId="0" fontId="7" fillId="8" borderId="3" xfId="0" applyFont="1" applyFill="1" applyBorder="1" applyAlignment="1">
      <alignment horizontal="centerContinuous" vertical="center"/>
    </xf>
    <xf numFmtId="0" fontId="43" fillId="2" borderId="43" xfId="0" applyFont="1" applyFill="1" applyBorder="1" applyAlignment="1">
      <alignment horizontal="left" vertical="center" wrapText="1"/>
    </xf>
    <xf numFmtId="0" fontId="25" fillId="10" borderId="1" xfId="0" applyFont="1" applyFill="1" applyBorder="1" applyAlignment="1">
      <alignment horizontal="center" vertical="center"/>
    </xf>
    <xf numFmtId="0" fontId="29" fillId="9" borderId="0" xfId="0" applyFont="1" applyFill="1" applyAlignment="1">
      <alignment horizontal="center" vertical="center"/>
    </xf>
    <xf numFmtId="0" fontId="9" fillId="9" borderId="0" xfId="0" applyFont="1" applyFill="1" applyAlignment="1">
      <alignment horizontal="center" vertical="center"/>
    </xf>
    <xf numFmtId="0" fontId="28" fillId="9" borderId="0" xfId="3" applyFont="1" applyFill="1" applyAlignment="1">
      <alignment horizontal="center" vertical="center"/>
    </xf>
    <xf numFmtId="0" fontId="28" fillId="8" borderId="1" xfId="0" applyFont="1" applyFill="1" applyBorder="1" applyAlignment="1">
      <alignment horizontal="center" vertical="center" wrapText="1"/>
    </xf>
    <xf numFmtId="0" fontId="28" fillId="8" borderId="1" xfId="0" applyFont="1" applyFill="1" applyBorder="1" applyAlignment="1">
      <alignment horizontal="center" vertical="center"/>
    </xf>
    <xf numFmtId="0" fontId="21" fillId="2" borderId="43" xfId="0" applyFont="1" applyFill="1" applyBorder="1" applyAlignment="1">
      <alignment horizontal="left" vertical="center" wrapText="1"/>
    </xf>
    <xf numFmtId="0" fontId="28" fillId="7" borderId="47" xfId="3" applyFont="1" applyFill="1" applyBorder="1" applyAlignment="1">
      <alignment horizontal="center" vertical="center"/>
    </xf>
    <xf numFmtId="0" fontId="28" fillId="7" borderId="48" xfId="3" applyFont="1" applyFill="1" applyBorder="1" applyAlignment="1">
      <alignment horizontal="center" vertical="center"/>
    </xf>
    <xf numFmtId="0" fontId="28" fillId="7" borderId="49" xfId="3" applyFont="1" applyFill="1" applyBorder="1" applyAlignment="1">
      <alignment horizontal="center" vertical="center"/>
    </xf>
    <xf numFmtId="0" fontId="28" fillId="14" borderId="53" xfId="3" applyFont="1" applyFill="1" applyBorder="1" applyAlignment="1">
      <alignment horizontal="center" vertical="center" wrapText="1"/>
    </xf>
    <xf numFmtId="0" fontId="28" fillId="14" borderId="54" xfId="3" applyFont="1" applyFill="1" applyBorder="1" applyAlignment="1">
      <alignment horizontal="center" vertical="center"/>
    </xf>
    <xf numFmtId="0" fontId="28" fillId="14" borderId="55" xfId="3" applyFont="1" applyFill="1" applyBorder="1" applyAlignment="1">
      <alignment horizontal="center" vertical="center"/>
    </xf>
    <xf numFmtId="0" fontId="7" fillId="11" borderId="45"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2" xfId="0" applyFont="1" applyFill="1" applyBorder="1" applyAlignment="1">
      <alignment horizontal="center" vertical="center"/>
    </xf>
    <xf numFmtId="0" fontId="15" fillId="0" borderId="0" xfId="0" applyFont="1" applyAlignment="1">
      <alignment horizontal="left" vertical="center" wrapText="1"/>
    </xf>
    <xf numFmtId="0" fontId="7" fillId="13" borderId="13" xfId="0" applyFont="1" applyFill="1" applyBorder="1" applyAlignment="1">
      <alignment horizontal="center" vertical="center"/>
    </xf>
    <xf numFmtId="0" fontId="7" fillId="13" borderId="10"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xf>
    <xf numFmtId="0" fontId="7" fillId="8" borderId="9" xfId="0" applyFont="1" applyFill="1" applyBorder="1" applyAlignment="1">
      <alignment horizontal="center" vertical="center"/>
    </xf>
    <xf numFmtId="0" fontId="17" fillId="6" borderId="0" xfId="0" applyFont="1" applyFill="1" applyAlignment="1">
      <alignment horizontal="left" vertical="center"/>
    </xf>
    <xf numFmtId="0" fontId="13" fillId="5" borderId="7" xfId="0" applyFont="1" applyFill="1" applyBorder="1" applyAlignment="1">
      <alignment horizontal="left" vertical="center"/>
    </xf>
    <xf numFmtId="0" fontId="13" fillId="5" borderId="8" xfId="0" applyFont="1" applyFill="1" applyBorder="1" applyAlignment="1">
      <alignment horizontal="left" vertical="center"/>
    </xf>
    <xf numFmtId="0" fontId="7" fillId="12" borderId="1" xfId="0" applyFont="1" applyFill="1" applyBorder="1" applyAlignment="1">
      <alignment horizontal="center" vertical="center"/>
    </xf>
    <xf numFmtId="0" fontId="7" fillId="12" borderId="2" xfId="0" applyFont="1" applyFill="1" applyBorder="1" applyAlignment="1">
      <alignment horizontal="center" vertical="center"/>
    </xf>
    <xf numFmtId="0" fontId="34" fillId="0" borderId="0" xfId="0" applyFont="1" applyAlignment="1">
      <alignment horizontal="justify" vertical="top" wrapText="1"/>
    </xf>
  </cellXfs>
  <cellStyles count="6">
    <cellStyle name="Hiperlink" xfId="3" builtinId="8"/>
    <cellStyle name="Normal" xfId="0" builtinId="0"/>
    <cellStyle name="Percent 2" xfId="4" xr:uid="{893C929B-691D-4A16-9E63-5A15C23E89FD}"/>
    <cellStyle name="Percent 3" xfId="5" xr:uid="{FE612D37-9B79-4F5C-8ADE-A0F52FF12F38}"/>
    <cellStyle name="Porcentagem" xfId="1" builtinId="5" customBuiltin="1"/>
    <cellStyle name="Vírgula" xfId="2" builtinId="3"/>
  </cellStyles>
  <dxfs count="214">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ill>
        <patternFill>
          <bgColor rgb="FFD9D9D9"/>
        </patternFill>
      </fill>
    </dxf>
    <dxf>
      <fill>
        <patternFill>
          <bgColor rgb="FFD9D9D9"/>
        </patternFill>
      </fill>
    </dxf>
    <dxf>
      <fill>
        <patternFill>
          <bgColor rgb="FFD9D9D9"/>
        </patternFill>
      </fill>
    </dxf>
    <dxf>
      <font>
        <color rgb="FF87983F"/>
      </font>
    </dxf>
    <dxf>
      <font>
        <color rgb="FFA73444"/>
      </font>
    </dxf>
    <dxf>
      <font>
        <color rgb="FF87983F"/>
      </font>
    </dxf>
    <dxf>
      <font>
        <color rgb="FFA73444"/>
      </font>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s>
  <tableStyles count="0" defaultTableStyle="TableStyleMedium2" defaultPivotStyle="PivotStyleLight16"/>
  <colors>
    <mruColors>
      <color rgb="FF549CFF"/>
      <color rgb="FF000000"/>
      <color rgb="FF002962"/>
      <color rgb="FF0563C1"/>
      <color rgb="FF0B2859"/>
      <color rgb="FF3587FF"/>
      <color rgb="FF474E55"/>
      <color rgb="FF195AB4"/>
      <color rgb="FF6BAAFF"/>
      <color rgb="FFD2E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3915164421359E-2"/>
          <c:y val="0.13241098588117337"/>
          <c:w val="0.93682678429760036"/>
          <c:h val="0.58051280894386226"/>
        </c:manualLayout>
      </c:layout>
      <c:barChart>
        <c:barDir val="col"/>
        <c:grouping val="clustered"/>
        <c:varyColors val="0"/>
        <c:ser>
          <c:idx val="0"/>
          <c:order val="0"/>
          <c:tx>
            <c:strRef>
              <c:f>Segmentos!$E$5</c:f>
              <c:strCache>
                <c:ptCount val="1"/>
                <c:pt idx="0">
                  <c:v>Valor de Mercado</c:v>
                </c:pt>
              </c:strCache>
            </c:strRef>
          </c:tx>
          <c:spPr>
            <a:solidFill>
              <a:srgbClr val="0B2859"/>
            </a:solidFill>
            <a:ln>
              <a:noFill/>
            </a:ln>
            <a:effectLst/>
          </c:spPr>
          <c:invertIfNegative val="0"/>
          <c:cat>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cat>
          <c:val>
            <c:numRef>
              <c:f>Segmentos!$E$7:$E$22</c:f>
              <c:numCache>
                <c:formatCode>#,##0</c:formatCode>
                <c:ptCount val="16"/>
                <c:pt idx="0">
                  <c:v>56870844693.629997</c:v>
                </c:pt>
                <c:pt idx="1">
                  <c:v>32929979108.829994</c:v>
                </c:pt>
                <c:pt idx="2">
                  <c:v>24299827119.870003</c:v>
                </c:pt>
                <c:pt idx="3">
                  <c:v>12270998111.25</c:v>
                </c:pt>
                <c:pt idx="4">
                  <c:v>12424206764.119999</c:v>
                </c:pt>
                <c:pt idx="5">
                  <c:v>12827436805.76</c:v>
                </c:pt>
                <c:pt idx="6">
                  <c:v>7383843338.7860003</c:v>
                </c:pt>
                <c:pt idx="7">
                  <c:v>5428016628.7199993</c:v>
                </c:pt>
                <c:pt idx="8">
                  <c:v>2635196502.7600002</c:v>
                </c:pt>
                <c:pt idx="9">
                  <c:v>1600608621.2480001</c:v>
                </c:pt>
                <c:pt idx="10">
                  <c:v>1747930805.4099998</c:v>
                </c:pt>
                <c:pt idx="11">
                  <c:v>391654427.33999997</c:v>
                </c:pt>
                <c:pt idx="12">
                  <c:v>1200794945.1299999</c:v>
                </c:pt>
                <c:pt idx="13">
                  <c:v>1058276938.05</c:v>
                </c:pt>
                <c:pt idx="14">
                  <c:v>277155368.88</c:v>
                </c:pt>
                <c:pt idx="15">
                  <c:v>275094466.31999999</c:v>
                </c:pt>
              </c:numCache>
            </c:numRef>
          </c:val>
          <c:extLst>
            <c:ext xmlns:c16="http://schemas.microsoft.com/office/drawing/2014/chart" uri="{C3380CC4-5D6E-409C-BE32-E72D297353CC}">
              <c16:uniqueId val="{00000000-BE69-4D32-9C61-B9EDD365D6BF}"/>
            </c:ext>
          </c:extLst>
        </c:ser>
        <c:ser>
          <c:idx val="1"/>
          <c:order val="1"/>
          <c:tx>
            <c:strRef>
              <c:f>Segmentos!$F$5</c:f>
              <c:strCache>
                <c:ptCount val="1"/>
                <c:pt idx="0">
                  <c:v>Valor Patrimonial</c:v>
                </c:pt>
              </c:strCache>
            </c:strRef>
          </c:tx>
          <c:spPr>
            <a:solidFill>
              <a:srgbClr val="549CFF"/>
            </a:solidFill>
            <a:ln>
              <a:noFill/>
            </a:ln>
            <a:effectLst/>
          </c:spPr>
          <c:invertIfNegative val="0"/>
          <c:cat>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cat>
          <c:val>
            <c:numRef>
              <c:f>Segmentos!$F$7:$F$22</c:f>
              <c:numCache>
                <c:formatCode>#,##0</c:formatCode>
                <c:ptCount val="16"/>
                <c:pt idx="0">
                  <c:v>66479082555.780014</c:v>
                </c:pt>
                <c:pt idx="1">
                  <c:v>38725581934.989998</c:v>
                </c:pt>
                <c:pt idx="2">
                  <c:v>29592249696.520004</c:v>
                </c:pt>
                <c:pt idx="3">
                  <c:v>15065137919.09</c:v>
                </c:pt>
                <c:pt idx="4">
                  <c:v>19888353867.130001</c:v>
                </c:pt>
                <c:pt idx="5">
                  <c:v>15074283523.369999</c:v>
                </c:pt>
                <c:pt idx="6">
                  <c:v>8433558069.3799992</c:v>
                </c:pt>
                <c:pt idx="7">
                  <c:v>6667386283.2300005</c:v>
                </c:pt>
                <c:pt idx="8">
                  <c:v>3279175271.6199999</c:v>
                </c:pt>
                <c:pt idx="9">
                  <c:v>3606676010.96</c:v>
                </c:pt>
                <c:pt idx="10">
                  <c:v>2027913959.23</c:v>
                </c:pt>
                <c:pt idx="11">
                  <c:v>428115267.01999998</c:v>
                </c:pt>
                <c:pt idx="12">
                  <c:v>380321354.54000002</c:v>
                </c:pt>
                <c:pt idx="13">
                  <c:v>1189120339.97</c:v>
                </c:pt>
                <c:pt idx="14">
                  <c:v>393389321.19</c:v>
                </c:pt>
                <c:pt idx="15">
                  <c:v>498089683.72000003</c:v>
                </c:pt>
              </c:numCache>
            </c:numRef>
          </c:val>
          <c:extLst>
            <c:ext xmlns:c16="http://schemas.microsoft.com/office/drawing/2014/chart" uri="{C3380CC4-5D6E-409C-BE32-E72D297353CC}">
              <c16:uniqueId val="{00000001-BE69-4D32-9C61-B9EDD365D6BF}"/>
            </c:ext>
          </c:extLst>
        </c:ser>
        <c:dLbls>
          <c:showLegendKey val="0"/>
          <c:showVal val="0"/>
          <c:showCatName val="0"/>
          <c:showSerName val="0"/>
          <c:showPercent val="0"/>
          <c:showBubbleSize val="0"/>
        </c:dLbls>
        <c:gapWidth val="106"/>
        <c:axId val="1121759944"/>
        <c:axId val="1121760600"/>
      </c:barChart>
      <c:scatterChart>
        <c:scatterStyle val="lineMarker"/>
        <c:varyColors val="0"/>
        <c:ser>
          <c:idx val="2"/>
          <c:order val="2"/>
          <c:tx>
            <c:strRef>
              <c:f>Segmentos!$G$5</c:f>
              <c:strCache>
                <c:ptCount val="1"/>
                <c:pt idx="0">
                  <c:v>P/VPA Atual</c:v>
                </c:pt>
              </c:strCache>
            </c:strRef>
          </c:tx>
          <c:spPr>
            <a:ln w="25400" cap="rnd">
              <a:noFill/>
              <a:round/>
            </a:ln>
            <a:effectLst/>
          </c:spPr>
          <c:marker>
            <c:symbol val="circle"/>
            <c:size val="5"/>
            <c:spPr>
              <a:solidFill>
                <a:schemeClr val="bg1">
                  <a:lumMod val="50000"/>
                </a:schemeClr>
              </a:solidFill>
              <a:ln w="38100">
                <a:solidFill>
                  <a:schemeClr val="accent3"/>
                </a:solidFill>
                <a:miter lim="800000"/>
              </a:ln>
              <a:effectLst/>
            </c:spPr>
          </c:marker>
          <c:dLbls>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9224-4ED0-8503-0FD0DCBA8A3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C233B"/>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xVal>
          <c:yVal>
            <c:numRef>
              <c:f>Segmentos!$G$7:$G$22</c:f>
              <c:numCache>
                <c:formatCode>#,000"x"</c:formatCode>
                <c:ptCount val="16"/>
                <c:pt idx="0">
                  <c:v>0.78179102507748544</c:v>
                </c:pt>
                <c:pt idx="1">
                  <c:v>0.79534333503825971</c:v>
                </c:pt>
                <c:pt idx="2">
                  <c:v>0.79206712271031787</c:v>
                </c:pt>
                <c:pt idx="3">
                  <c:v>0.83859445128512933</c:v>
                </c:pt>
                <c:pt idx="4">
                  <c:v>0.63225560206228171</c:v>
                </c:pt>
                <c:pt idx="5">
                  <c:v>0.8750422119991027</c:v>
                </c:pt>
                <c:pt idx="6">
                  <c:v>0.75881039758606839</c:v>
                </c:pt>
                <c:pt idx="7">
                  <c:v>0.82129621719345514</c:v>
                </c:pt>
                <c:pt idx="8">
                  <c:v>0.7715421782132299</c:v>
                </c:pt>
                <c:pt idx="9">
                  <c:v>0.72542782321439148</c:v>
                </c:pt>
                <c:pt idx="10">
                  <c:v>0.78473812477059168</c:v>
                </c:pt>
                <c:pt idx="11">
                  <c:v>0.91483405874825596</c:v>
                </c:pt>
                <c:pt idx="12">
                  <c:v>0.88887600178039605</c:v>
                </c:pt>
                <c:pt idx="13">
                  <c:v>0.84435109484036364</c:v>
                </c:pt>
                <c:pt idx="14">
                  <c:v>0.76187257400198005</c:v>
                </c:pt>
                <c:pt idx="15">
                  <c:v>0.55623794526609327</c:v>
                </c:pt>
              </c:numCache>
            </c:numRef>
          </c:yVal>
          <c:smooth val="0"/>
          <c:extLst>
            <c:ext xmlns:c16="http://schemas.microsoft.com/office/drawing/2014/chart" uri="{C3380CC4-5D6E-409C-BE32-E72D297353CC}">
              <c16:uniqueId val="{00000003-BE69-4D32-9C61-B9EDD365D6BF}"/>
            </c:ext>
          </c:extLst>
        </c:ser>
        <c:dLbls>
          <c:showLegendKey val="0"/>
          <c:showVal val="0"/>
          <c:showCatName val="0"/>
          <c:showSerName val="0"/>
          <c:showPercent val="0"/>
          <c:showBubbleSize val="0"/>
        </c:dLbls>
        <c:axId val="1200068976"/>
        <c:axId val="1200068648"/>
      </c:scatterChart>
      <c:catAx>
        <c:axId val="11217599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1760600"/>
        <c:crosses val="autoZero"/>
        <c:auto val="1"/>
        <c:lblAlgn val="ctr"/>
        <c:lblOffset val="100"/>
        <c:noMultiLvlLbl val="0"/>
      </c:catAx>
      <c:valAx>
        <c:axId val="1121760600"/>
        <c:scaling>
          <c:orientation val="minMax"/>
        </c:scaling>
        <c:delete val="0"/>
        <c:axPos val="l"/>
        <c:majorGridlines>
          <c:spPr>
            <a:ln w="9525" cap="flat" cmpd="sng" algn="ctr">
              <a:solidFill>
                <a:schemeClr val="bg1">
                  <a:lumMod val="75000"/>
                </a:schemeClr>
              </a:solidFill>
              <a:prstDash val="sysDash"/>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1759944"/>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Milhões</a:t>
                  </a:r>
                </a:p>
              </c:rich>
            </c:tx>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valAx>
        <c:axId val="1200068648"/>
        <c:scaling>
          <c:orientation val="minMax"/>
          <c:max val="1.5"/>
        </c:scaling>
        <c:delete val="0"/>
        <c:axPos val="r"/>
        <c:numFmt formatCode="#,000&quot;x&quot;" sourceLinked="0"/>
        <c:majorTickMark val="none"/>
        <c:minorTickMark val="none"/>
        <c:tickLblPos val="none"/>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0068976"/>
        <c:crosses val="max"/>
        <c:crossBetween val="midCat"/>
      </c:valAx>
      <c:valAx>
        <c:axId val="1200068976"/>
        <c:scaling>
          <c:orientation val="minMax"/>
        </c:scaling>
        <c:delete val="1"/>
        <c:axPos val="b"/>
        <c:majorTickMark val="out"/>
        <c:minorTickMark val="none"/>
        <c:tickLblPos val="nextTo"/>
        <c:crossAx val="1200068648"/>
        <c:crosses val="autoZero"/>
        <c:crossBetween val="midCat"/>
      </c:valAx>
      <c:spPr>
        <a:noFill/>
        <a:ln>
          <a:noFill/>
        </a:ln>
        <a:effectLst/>
      </c:spPr>
    </c:plotArea>
    <c:legend>
      <c:legendPos val="t"/>
      <c:layout>
        <c:manualLayout>
          <c:xMode val="edge"/>
          <c:yMode val="edge"/>
          <c:x val="1.2515857670596161E-3"/>
          <c:y val="1.4305555555555571E-2"/>
          <c:w val="0.99546159478452823"/>
          <c:h val="0.1039156791527952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71503840418929E-2"/>
          <c:y val="5.0698087626037551E-2"/>
          <c:w val="0.97982849615958112"/>
          <c:h val="0.74257855481780621"/>
        </c:manualLayout>
      </c:layout>
      <c:barChart>
        <c:barDir val="col"/>
        <c:grouping val="clustered"/>
        <c:varyColors val="0"/>
        <c:ser>
          <c:idx val="0"/>
          <c:order val="0"/>
          <c:spPr>
            <a:solidFill>
              <a:srgbClr val="0B2859"/>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(%)'!$I$9:$I$28</c:f>
              <c:numCache>
                <c:formatCode>"R$"\ #.##0</c:formatCode>
                <c:ptCount val="20"/>
                <c:pt idx="0">
                  <c:v>3504.8616468</c:v>
                </c:pt>
                <c:pt idx="1">
                  <c:v>21474.425813999998</c:v>
                </c:pt>
                <c:pt idx="2">
                  <c:v>10206.473310000001</c:v>
                </c:pt>
                <c:pt idx="3">
                  <c:v>4149.1633065999995</c:v>
                </c:pt>
                <c:pt idx="4">
                  <c:v>4305.7881322000003</c:v>
                </c:pt>
                <c:pt idx="5">
                  <c:v>4539.8289225999997</c:v>
                </c:pt>
                <c:pt idx="6">
                  <c:v>2575.8593253999998</c:v>
                </c:pt>
                <c:pt idx="7">
                  <c:v>5135.9863602999994</c:v>
                </c:pt>
                <c:pt idx="8">
                  <c:v>12468.437922000001</c:v>
                </c:pt>
                <c:pt idx="9">
                  <c:v>1254.8978038</c:v>
                </c:pt>
                <c:pt idx="10">
                  <c:v>3815.4921964999999</c:v>
                </c:pt>
                <c:pt idx="11">
                  <c:v>4435.5008686000001</c:v>
                </c:pt>
                <c:pt idx="12">
                  <c:v>408.06676753999994</c:v>
                </c:pt>
                <c:pt idx="13">
                  <c:v>4261.6109919</c:v>
                </c:pt>
                <c:pt idx="14">
                  <c:v>6047.3139791000003</c:v>
                </c:pt>
                <c:pt idx="15">
                  <c:v>23831.970943</c:v>
                </c:pt>
                <c:pt idx="16">
                  <c:v>0</c:v>
                </c:pt>
                <c:pt idx="17">
                  <c:v>0</c:v>
                </c:pt>
                <c:pt idx="18">
                  <c:v>0</c:v>
                </c:pt>
                <c:pt idx="19">
                  <c:v>0</c:v>
                </c:pt>
              </c:numCache>
            </c:numRef>
          </c:val>
          <c:extLst>
            <c:ext xmlns:c16="http://schemas.microsoft.com/office/drawing/2014/chart" uri="{C3380CC4-5D6E-409C-BE32-E72D297353CC}">
              <c16:uniqueId val="{00000003-8299-46CB-80D7-8C7E26E11B71}"/>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quot;R$&quot;\ #.##0" sourceLinked="1"/>
        <c:majorTickMark val="none"/>
        <c:minorTickMark val="none"/>
        <c:tickLblPos val="nextTo"/>
        <c:crossAx val="905388504"/>
        <c:crosses val="autoZero"/>
        <c:crossBetween val="between"/>
      </c:valAx>
    </c:plotArea>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49CFF"/>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F6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(%)'!$K$9:$K$28</c:f>
              <c:numCache>
                <c:formatCode>0.00%</c:formatCode>
                <c:ptCount val="20"/>
                <c:pt idx="0">
                  <c:v>1.1444444444444445E-2</c:v>
                </c:pt>
                <c:pt idx="1">
                  <c:v>1.1726078799249532E-2</c:v>
                </c:pt>
                <c:pt idx="2">
                  <c:v>1.0638297872340425E-2</c:v>
                </c:pt>
                <c:pt idx="3">
                  <c:v>1.2E-2</c:v>
                </c:pt>
                <c:pt idx="4">
                  <c:v>1.3008976193573565E-2</c:v>
                </c:pt>
                <c:pt idx="5">
                  <c:v>1.0708931248661385E-2</c:v>
                </c:pt>
                <c:pt idx="6">
                  <c:v>8.9470812875068178E-3</c:v>
                </c:pt>
                <c:pt idx="7">
                  <c:v>8.1366237482117312E-3</c:v>
                </c:pt>
                <c:pt idx="8">
                  <c:v>8.2342177493138161E-3</c:v>
                </c:pt>
                <c:pt idx="9">
                  <c:v>1.0461852513396274E-2</c:v>
                </c:pt>
                <c:pt idx="10">
                  <c:v>6.0006000600060011E-3</c:v>
                </c:pt>
                <c:pt idx="11">
                  <c:v>9.1397849462365593E-3</c:v>
                </c:pt>
                <c:pt idx="12">
                  <c:v>1.1342155009451795E-2</c:v>
                </c:pt>
                <c:pt idx="13">
                  <c:v>8.9798850574712655E-3</c:v>
                </c:pt>
                <c:pt idx="14">
                  <c:v>8.2595870206489674E-3</c:v>
                </c:pt>
                <c:pt idx="15">
                  <c:v>1.2952646239554319E-2</c:v>
                </c:pt>
                <c:pt idx="16">
                  <c:v>0</c:v>
                </c:pt>
                <c:pt idx="17">
                  <c:v>0</c:v>
                </c:pt>
                <c:pt idx="18">
                  <c:v>0</c:v>
                </c:pt>
                <c:pt idx="19">
                  <c:v>0</c:v>
                </c:pt>
              </c:numCache>
            </c:numRef>
          </c:val>
          <c:extLst>
            <c:ext xmlns:c16="http://schemas.microsoft.com/office/drawing/2014/chart" uri="{C3380CC4-5D6E-409C-BE32-E72D297353CC}">
              <c16:uniqueId val="{00000003-8834-4619-B474-325B8A90AD6C}"/>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0.00%" sourceLinked="1"/>
        <c:majorTickMark val="none"/>
        <c:minorTickMark val="none"/>
        <c:tickLblPos val="nextTo"/>
        <c:crossAx val="905388504"/>
        <c:crosses val="autoZero"/>
        <c:crossBetween val="between"/>
      </c:val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2677844059601E-2"/>
          <c:y val="6.0324837764434806E-2"/>
          <c:w val="0.5791711348050308"/>
          <c:h val="0.88618494413516646"/>
        </c:manualLayout>
      </c:layout>
      <c:doughnutChart>
        <c:varyColors val="1"/>
        <c:ser>
          <c:idx val="0"/>
          <c:order val="0"/>
          <c:spPr>
            <a:ln>
              <a:noFill/>
            </a:ln>
          </c:spPr>
          <c:dPt>
            <c:idx val="0"/>
            <c:bubble3D val="0"/>
            <c:spPr>
              <a:solidFill>
                <a:srgbClr val="0B2859"/>
              </a:solidFill>
              <a:ln w="19050">
                <a:noFill/>
              </a:ln>
              <a:effectLst/>
            </c:spPr>
            <c:extLst>
              <c:ext xmlns:c16="http://schemas.microsoft.com/office/drawing/2014/chart" uri="{C3380CC4-5D6E-409C-BE32-E72D297353CC}">
                <c16:uniqueId val="{00000001-5DC2-4ABF-BAD9-6D78BB435E30}"/>
              </c:ext>
            </c:extLst>
          </c:dPt>
          <c:dPt>
            <c:idx val="1"/>
            <c:bubble3D val="0"/>
            <c:spPr>
              <a:solidFill>
                <a:srgbClr val="549CFF"/>
              </a:solidFill>
              <a:ln w="19050">
                <a:noFill/>
              </a:ln>
              <a:effectLst/>
            </c:spPr>
            <c:extLst>
              <c:ext xmlns:c16="http://schemas.microsoft.com/office/drawing/2014/chart" uri="{C3380CC4-5D6E-409C-BE32-E72D297353CC}">
                <c16:uniqueId val="{00000003-5DC2-4ABF-BAD9-6D78BB435E30}"/>
              </c:ext>
            </c:extLst>
          </c:dPt>
          <c:dPt>
            <c:idx val="2"/>
            <c:bubble3D val="0"/>
            <c:spPr>
              <a:solidFill>
                <a:srgbClr val="B8CBE9"/>
              </a:solidFill>
              <a:ln w="19050">
                <a:noFill/>
              </a:ln>
              <a:effectLst/>
            </c:spPr>
            <c:extLst>
              <c:ext xmlns:c16="http://schemas.microsoft.com/office/drawing/2014/chart" uri="{C3380CC4-5D6E-409C-BE32-E72D297353CC}">
                <c16:uniqueId val="{00000005-5DC2-4ABF-BAD9-6D78BB435E30}"/>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5DC2-4ABF-BAD9-6D78BB435E30}"/>
              </c:ext>
            </c:extLst>
          </c:dPt>
          <c:dPt>
            <c:idx val="4"/>
            <c:bubble3D val="0"/>
            <c:spPr>
              <a:solidFill>
                <a:schemeClr val="accent5"/>
              </a:solidFill>
              <a:ln w="19050">
                <a:noFill/>
              </a:ln>
              <a:effectLst/>
            </c:spPr>
            <c:extLst>
              <c:ext xmlns:c16="http://schemas.microsoft.com/office/drawing/2014/chart" uri="{C3380CC4-5D6E-409C-BE32-E72D297353CC}">
                <c16:uniqueId val="{00000009-5DC2-4ABF-BAD9-6D78BB435E30}"/>
              </c:ext>
            </c:extLst>
          </c:dPt>
          <c:dPt>
            <c:idx val="5"/>
            <c:bubble3D val="0"/>
            <c:spPr>
              <a:solidFill>
                <a:schemeClr val="accent6"/>
              </a:solidFill>
              <a:ln w="19050">
                <a:noFill/>
              </a:ln>
              <a:effectLst/>
            </c:spPr>
            <c:extLst>
              <c:ext xmlns:c16="http://schemas.microsoft.com/office/drawing/2014/chart" uri="{C3380CC4-5D6E-409C-BE32-E72D297353CC}">
                <c16:uniqueId val="{0000000B-5DC2-4ABF-BAD9-6D78BB435E30}"/>
              </c:ext>
            </c:extLst>
          </c:dPt>
          <c:dPt>
            <c:idx val="6"/>
            <c:bubble3D val="0"/>
            <c:spPr>
              <a:solidFill>
                <a:srgbClr val="1759B2"/>
              </a:solidFill>
              <a:ln w="19050">
                <a:noFill/>
              </a:ln>
              <a:effectLst/>
            </c:spPr>
            <c:extLst>
              <c:ext xmlns:c16="http://schemas.microsoft.com/office/drawing/2014/chart" uri="{C3380CC4-5D6E-409C-BE32-E72D297353CC}">
                <c16:uniqueId val="{0000001B-B3B2-4E9D-9484-B90270229FFF}"/>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7DA5-47D3-A0C4-FD2A6EAD8F1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7DA5-47D3-A0C4-FD2A6EAD8F1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7DA5-47D3-A0C4-FD2A6EAD8F15}"/>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37BA-4221-AAB0-015991FCBD47}"/>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37BA-4221-AAB0-015991FCBD47}"/>
              </c:ext>
            </c:extLst>
          </c:dPt>
          <c:cat>
            <c:strRef>
              <c:f>'Simulador de Carteiras (%)'!$F$169:$F$180</c:f>
              <c:strCache>
                <c:ptCount val="12"/>
                <c:pt idx="0">
                  <c:v>Recebível (52,0%)</c:v>
                </c:pt>
                <c:pt idx="1">
                  <c:v>Laje Corporativa (9,5%)</c:v>
                </c:pt>
                <c:pt idx="2">
                  <c:v>Galpão Logístico (22,0%)</c:v>
                </c:pt>
                <c:pt idx="3">
                  <c:v>Shopping Center (9,5%)</c:v>
                </c:pt>
                <c:pt idx="4">
                  <c:v>Híbrido (0,0%)</c:v>
                </c:pt>
                <c:pt idx="5">
                  <c:v>Renda Urbana (7,0%)</c:v>
                </c:pt>
                <c:pt idx="6">
                  <c:v>Fundo de Fundos (0,0%)</c:v>
                </c:pt>
                <c:pt idx="7">
                  <c:v>Hedge Fund (0,0%)</c:v>
                </c:pt>
                <c:pt idx="8">
                  <c:v>FIAgro - FII (0,0%)</c:v>
                </c:pt>
                <c:pt idx="9">
                  <c:v>FI-Infra (0,0%)</c:v>
                </c:pt>
                <c:pt idx="10">
                  <c:v>FIAgro - FIDC (0,0%)</c:v>
                </c:pt>
                <c:pt idx="11">
                  <c:v>Outros (0,0%)</c:v>
                </c:pt>
              </c:strCache>
            </c:strRef>
          </c:cat>
          <c:val>
            <c:numRef>
              <c:f>'Simulador de Carteiras (%)'!$C$169:$C$180</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0C-5DC2-4ABF-BAD9-6D78BB435E30}"/>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56089868766404194"/>
          <c:y val="0"/>
          <c:w val="0.42576797900262459"/>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71503840418929E-2"/>
          <c:y val="5.0698087626037551E-2"/>
          <c:w val="0.97982849615958112"/>
          <c:h val="0.74257855481780621"/>
        </c:manualLayout>
      </c:layout>
      <c:barChart>
        <c:barDir val="col"/>
        <c:grouping val="clustered"/>
        <c:varyColors val="0"/>
        <c:ser>
          <c:idx val="0"/>
          <c:order val="0"/>
          <c:spPr>
            <a:solidFill>
              <a:srgbClr val="0B2859"/>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(R$)'!$B$9:$B$33</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(R$)'!$I$9:$I$33</c:f>
              <c:numCache>
                <c:formatCode>"R$"\ #.##0</c:formatCode>
                <c:ptCount val="25"/>
                <c:pt idx="0">
                  <c:v>3504.8616468</c:v>
                </c:pt>
                <c:pt idx="1">
                  <c:v>21474.425813999998</c:v>
                </c:pt>
                <c:pt idx="2">
                  <c:v>10206.473310000001</c:v>
                </c:pt>
                <c:pt idx="3">
                  <c:v>4149.1633065999995</c:v>
                </c:pt>
                <c:pt idx="4">
                  <c:v>4305.7881322000003</c:v>
                </c:pt>
                <c:pt idx="5">
                  <c:v>4539.8289225999997</c:v>
                </c:pt>
                <c:pt idx="6">
                  <c:v>2575.8593253999998</c:v>
                </c:pt>
                <c:pt idx="7">
                  <c:v>5135.9863602999994</c:v>
                </c:pt>
                <c:pt idx="8">
                  <c:v>12468.437922000001</c:v>
                </c:pt>
                <c:pt idx="9">
                  <c:v>1254.8978038</c:v>
                </c:pt>
                <c:pt idx="10">
                  <c:v>3815.4921964999999</c:v>
                </c:pt>
                <c:pt idx="11">
                  <c:v>4435.5008686000001</c:v>
                </c:pt>
                <c:pt idx="12">
                  <c:v>408.06676753999994</c:v>
                </c:pt>
                <c:pt idx="13">
                  <c:v>4261.6109919</c:v>
                </c:pt>
                <c:pt idx="14">
                  <c:v>6047.3139791000003</c:v>
                </c:pt>
                <c:pt idx="15">
                  <c:v>23831.970943</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E1EE-4CB6-B041-59FBD7EF4A69}"/>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quot;R$&quot;\ #.##0" sourceLinked="1"/>
        <c:majorTickMark val="none"/>
        <c:minorTickMark val="none"/>
        <c:tickLblPos val="nextTo"/>
        <c:crossAx val="905388504"/>
        <c:crosses val="autoZero"/>
        <c:crossBetween val="between"/>
      </c:valAx>
    </c:plotArea>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49CFF"/>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F6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(R$)'!$B$9:$B$28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(R$)'!$K$9:$K$28</c:f>
              <c:numCache>
                <c:formatCode>0.00%</c:formatCode>
                <c:ptCount val="20"/>
                <c:pt idx="0">
                  <c:v>1.1444444444444445E-2</c:v>
                </c:pt>
                <c:pt idx="1">
                  <c:v>1.1726078799249532E-2</c:v>
                </c:pt>
                <c:pt idx="2">
                  <c:v>1.0638297872340425E-2</c:v>
                </c:pt>
                <c:pt idx="3">
                  <c:v>1.2E-2</c:v>
                </c:pt>
                <c:pt idx="4">
                  <c:v>1.3008976193573565E-2</c:v>
                </c:pt>
                <c:pt idx="5">
                  <c:v>1.0708931248661385E-2</c:v>
                </c:pt>
                <c:pt idx="6">
                  <c:v>8.9470812875068178E-3</c:v>
                </c:pt>
                <c:pt idx="7">
                  <c:v>8.1366237482117312E-3</c:v>
                </c:pt>
                <c:pt idx="8">
                  <c:v>8.2342177493138161E-3</c:v>
                </c:pt>
                <c:pt idx="9">
                  <c:v>1.0461852513396274E-2</c:v>
                </c:pt>
                <c:pt idx="10">
                  <c:v>6.0006000600060011E-3</c:v>
                </c:pt>
                <c:pt idx="11">
                  <c:v>9.1397849462365593E-3</c:v>
                </c:pt>
                <c:pt idx="12">
                  <c:v>1.1342155009451795E-2</c:v>
                </c:pt>
                <c:pt idx="13">
                  <c:v>8.9798850574712655E-3</c:v>
                </c:pt>
                <c:pt idx="14">
                  <c:v>8.2595870206489674E-3</c:v>
                </c:pt>
                <c:pt idx="15">
                  <c:v>1.2952646239554319E-2</c:v>
                </c:pt>
                <c:pt idx="16">
                  <c:v>0</c:v>
                </c:pt>
                <c:pt idx="17">
                  <c:v>0</c:v>
                </c:pt>
                <c:pt idx="18">
                  <c:v>0</c:v>
                </c:pt>
                <c:pt idx="19">
                  <c:v>0</c:v>
                </c:pt>
              </c:numCache>
            </c:numRef>
          </c:val>
          <c:extLst>
            <c:ext xmlns:c16="http://schemas.microsoft.com/office/drawing/2014/chart" uri="{C3380CC4-5D6E-409C-BE32-E72D297353CC}">
              <c16:uniqueId val="{00000000-C3D8-4EE8-86BA-FCD7AE8E91E8}"/>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0.00%" sourceLinked="1"/>
        <c:majorTickMark val="none"/>
        <c:minorTickMark val="none"/>
        <c:tickLblPos val="nextTo"/>
        <c:crossAx val="905388504"/>
        <c:crosses val="autoZero"/>
        <c:crossBetween val="between"/>
      </c:val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2677844059601E-2"/>
          <c:y val="6.0324837764434806E-2"/>
          <c:w val="0.5791711348050308"/>
          <c:h val="0.88618494413516646"/>
        </c:manualLayout>
      </c:layout>
      <c:doughnutChart>
        <c:varyColors val="1"/>
        <c:ser>
          <c:idx val="0"/>
          <c:order val="0"/>
          <c:spPr>
            <a:ln>
              <a:noFill/>
            </a:ln>
          </c:spPr>
          <c:dPt>
            <c:idx val="0"/>
            <c:bubble3D val="0"/>
            <c:spPr>
              <a:solidFill>
                <a:srgbClr val="0B2859"/>
              </a:solidFill>
              <a:ln w="19050">
                <a:noFill/>
              </a:ln>
              <a:effectLst/>
            </c:spPr>
            <c:extLst>
              <c:ext xmlns:c16="http://schemas.microsoft.com/office/drawing/2014/chart" uri="{C3380CC4-5D6E-409C-BE32-E72D297353CC}">
                <c16:uniqueId val="{00000001-11F1-43C6-9A78-4ADAECE9619B}"/>
              </c:ext>
            </c:extLst>
          </c:dPt>
          <c:dPt>
            <c:idx val="1"/>
            <c:bubble3D val="0"/>
            <c:spPr>
              <a:solidFill>
                <a:srgbClr val="549CFF"/>
              </a:solidFill>
              <a:ln w="19050">
                <a:noFill/>
              </a:ln>
              <a:effectLst/>
            </c:spPr>
            <c:extLst>
              <c:ext xmlns:c16="http://schemas.microsoft.com/office/drawing/2014/chart" uri="{C3380CC4-5D6E-409C-BE32-E72D297353CC}">
                <c16:uniqueId val="{00000003-11F1-43C6-9A78-4ADAECE9619B}"/>
              </c:ext>
            </c:extLst>
          </c:dPt>
          <c:dPt>
            <c:idx val="2"/>
            <c:bubble3D val="0"/>
            <c:spPr>
              <a:solidFill>
                <a:srgbClr val="B8CBE9"/>
              </a:solidFill>
              <a:ln w="19050">
                <a:noFill/>
              </a:ln>
              <a:effectLst/>
            </c:spPr>
            <c:extLst>
              <c:ext xmlns:c16="http://schemas.microsoft.com/office/drawing/2014/chart" uri="{C3380CC4-5D6E-409C-BE32-E72D297353CC}">
                <c16:uniqueId val="{00000005-11F1-43C6-9A78-4ADAECE9619B}"/>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11F1-43C6-9A78-4ADAECE9619B}"/>
              </c:ext>
            </c:extLst>
          </c:dPt>
          <c:dPt>
            <c:idx val="4"/>
            <c:bubble3D val="0"/>
            <c:spPr>
              <a:solidFill>
                <a:schemeClr val="accent5"/>
              </a:solidFill>
              <a:ln w="19050">
                <a:noFill/>
              </a:ln>
              <a:effectLst/>
            </c:spPr>
            <c:extLst>
              <c:ext xmlns:c16="http://schemas.microsoft.com/office/drawing/2014/chart" uri="{C3380CC4-5D6E-409C-BE32-E72D297353CC}">
                <c16:uniqueId val="{00000009-11F1-43C6-9A78-4ADAECE9619B}"/>
              </c:ext>
            </c:extLst>
          </c:dPt>
          <c:dPt>
            <c:idx val="5"/>
            <c:bubble3D val="0"/>
            <c:spPr>
              <a:solidFill>
                <a:schemeClr val="accent6"/>
              </a:solidFill>
              <a:ln w="19050">
                <a:noFill/>
              </a:ln>
              <a:effectLst/>
            </c:spPr>
            <c:extLst>
              <c:ext xmlns:c16="http://schemas.microsoft.com/office/drawing/2014/chart" uri="{C3380CC4-5D6E-409C-BE32-E72D297353CC}">
                <c16:uniqueId val="{0000000B-11F1-43C6-9A78-4ADAECE9619B}"/>
              </c:ext>
            </c:extLst>
          </c:dPt>
          <c:dPt>
            <c:idx val="6"/>
            <c:bubble3D val="0"/>
            <c:spPr>
              <a:solidFill>
                <a:srgbClr val="1759B2"/>
              </a:solidFill>
              <a:ln w="19050">
                <a:noFill/>
              </a:ln>
              <a:effectLst/>
            </c:spPr>
            <c:extLst>
              <c:ext xmlns:c16="http://schemas.microsoft.com/office/drawing/2014/chart" uri="{C3380CC4-5D6E-409C-BE32-E72D297353CC}">
                <c16:uniqueId val="{0000000D-11F1-43C6-9A78-4ADAECE9619B}"/>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11F1-43C6-9A78-4ADAECE9619B}"/>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11F1-43C6-9A78-4ADAECE9619B}"/>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11F1-43C6-9A78-4ADAECE9619B}"/>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28AA-4662-9118-DDA8435858B7}"/>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28AA-4662-9118-DDA8435858B7}"/>
              </c:ext>
            </c:extLst>
          </c:dPt>
          <c:cat>
            <c:strRef>
              <c:f>'Simulador de Carteiras (R$)'!$D$169:$D$180</c:f>
              <c:strCache>
                <c:ptCount val="12"/>
                <c:pt idx="0">
                  <c:v>Recebível (52,00%)</c:v>
                </c:pt>
                <c:pt idx="1">
                  <c:v>Laje Corporativa (9,50%)</c:v>
                </c:pt>
                <c:pt idx="2">
                  <c:v>Galpão Logístico (22,00%)</c:v>
                </c:pt>
                <c:pt idx="3">
                  <c:v>Shopping Center (9,50%)</c:v>
                </c:pt>
                <c:pt idx="4">
                  <c:v>Híbrido (0,00%)</c:v>
                </c:pt>
                <c:pt idx="5">
                  <c:v>Renda Urbana (7,00%)</c:v>
                </c:pt>
                <c:pt idx="6">
                  <c:v>Fundo de Fundos (0,00%)</c:v>
                </c:pt>
                <c:pt idx="7">
                  <c:v>Hedge Fund (0,00%)</c:v>
                </c:pt>
                <c:pt idx="8">
                  <c:v>FIAgro - FII (0,00%)</c:v>
                </c:pt>
                <c:pt idx="9">
                  <c:v>FI-Infra (0,00%)</c:v>
                </c:pt>
                <c:pt idx="10">
                  <c:v>FIAgro - FIDC (0,00%)</c:v>
                </c:pt>
                <c:pt idx="11">
                  <c:v>Outros (0,00%)</c:v>
                </c:pt>
              </c:strCache>
            </c:strRef>
          </c:cat>
          <c:val>
            <c:numRef>
              <c:f>'Simulador de Carteiras (R$)'!$C$169:$C$180</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14-11F1-43C6-9A78-4ADAECE9619B}"/>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56089868766404194"/>
          <c:y val="0"/>
          <c:w val="0.42576797900262459"/>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1.7005530727850725E-2"/>
          <c:w val="0.60685582906843583"/>
          <c:h val="0.98069981878462908"/>
        </c:manualLayout>
      </c:layout>
      <c:doughnutChart>
        <c:varyColors val="1"/>
        <c:ser>
          <c:idx val="0"/>
          <c:order val="0"/>
          <c:tx>
            <c:strRef>
              <c:f>'Simulador de Aportes (R$)'!$F$173</c:f>
              <c:strCache>
                <c:ptCount val="1"/>
                <c:pt idx="0">
                  <c:v>Atual</c:v>
                </c:pt>
              </c:strCache>
            </c:strRef>
          </c:tx>
          <c:spPr>
            <a:ln>
              <a:noFill/>
            </a:ln>
          </c:spPr>
          <c:dPt>
            <c:idx val="0"/>
            <c:bubble3D val="0"/>
            <c:spPr>
              <a:solidFill>
                <a:srgbClr val="0B2859"/>
              </a:solidFill>
              <a:ln w="19050">
                <a:noFill/>
              </a:ln>
              <a:effectLst/>
            </c:spPr>
            <c:extLst>
              <c:ext xmlns:c16="http://schemas.microsoft.com/office/drawing/2014/chart" uri="{C3380CC4-5D6E-409C-BE32-E72D297353CC}">
                <c16:uniqueId val="{00000017-B87A-4E98-B4D7-BDE619130DD5}"/>
              </c:ext>
            </c:extLst>
          </c:dPt>
          <c:dPt>
            <c:idx val="1"/>
            <c:bubble3D val="0"/>
            <c:spPr>
              <a:solidFill>
                <a:srgbClr val="549CFF"/>
              </a:solidFill>
              <a:ln w="19050">
                <a:noFill/>
              </a:ln>
              <a:effectLst/>
            </c:spPr>
            <c:extLst>
              <c:ext xmlns:c16="http://schemas.microsoft.com/office/drawing/2014/chart" uri="{C3380CC4-5D6E-409C-BE32-E72D297353CC}">
                <c16:uniqueId val="{00000019-B87A-4E98-B4D7-BDE619130DD5}"/>
              </c:ext>
            </c:extLst>
          </c:dPt>
          <c:dPt>
            <c:idx val="2"/>
            <c:bubble3D val="0"/>
            <c:spPr>
              <a:solidFill>
                <a:srgbClr val="B8CBE9"/>
              </a:solidFill>
              <a:ln w="19050">
                <a:noFill/>
              </a:ln>
              <a:effectLst/>
            </c:spPr>
            <c:extLst>
              <c:ext xmlns:c16="http://schemas.microsoft.com/office/drawing/2014/chart" uri="{C3380CC4-5D6E-409C-BE32-E72D297353CC}">
                <c16:uniqueId val="{0000001B-B87A-4E98-B4D7-BDE619130DD5}"/>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1D-B87A-4E98-B4D7-BDE619130DD5}"/>
              </c:ext>
            </c:extLst>
          </c:dPt>
          <c:dPt>
            <c:idx val="4"/>
            <c:bubble3D val="0"/>
            <c:spPr>
              <a:solidFill>
                <a:schemeClr val="accent5"/>
              </a:solidFill>
              <a:ln w="19050">
                <a:noFill/>
              </a:ln>
              <a:effectLst/>
            </c:spPr>
            <c:extLst>
              <c:ext xmlns:c16="http://schemas.microsoft.com/office/drawing/2014/chart" uri="{C3380CC4-5D6E-409C-BE32-E72D297353CC}">
                <c16:uniqueId val="{0000001F-B87A-4E98-B4D7-BDE619130DD5}"/>
              </c:ext>
            </c:extLst>
          </c:dPt>
          <c:dPt>
            <c:idx val="5"/>
            <c:bubble3D val="0"/>
            <c:spPr>
              <a:solidFill>
                <a:srgbClr val="1759B2"/>
              </a:solidFill>
              <a:ln w="19050">
                <a:noFill/>
              </a:ln>
              <a:effectLst/>
            </c:spPr>
            <c:extLst>
              <c:ext xmlns:c16="http://schemas.microsoft.com/office/drawing/2014/chart" uri="{C3380CC4-5D6E-409C-BE32-E72D297353CC}">
                <c16:uniqueId val="{00000021-B87A-4E98-B4D7-BDE619130DD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23-B87A-4E98-B4D7-BDE619130DD5}"/>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25-B87A-4E98-B4D7-BDE619130DD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27-B87A-4E98-B4D7-BDE619130DD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29-B87A-4E98-B4D7-BDE619130DD5}"/>
              </c:ext>
            </c:extLst>
          </c:dPt>
          <c:cat>
            <c:strRef>
              <c:f>'Simulador de Aportes (R$)'!$G$174:$G$185</c:f>
              <c:strCache>
                <c:ptCount val="12"/>
                <c:pt idx="0">
                  <c:v>Recebíveis (43,2%)</c:v>
                </c:pt>
                <c:pt idx="1">
                  <c:v>Lajes (12,9%)</c:v>
                </c:pt>
                <c:pt idx="2">
                  <c:v>Galpões (16,5%)</c:v>
                </c:pt>
                <c:pt idx="3">
                  <c:v>Shoppings (16,2%)</c:v>
                </c:pt>
                <c:pt idx="4">
                  <c:v>Híbridos (0,0%)</c:v>
                </c:pt>
                <c:pt idx="5">
                  <c:v>Renda Urbana (11,2%)</c:v>
                </c:pt>
                <c:pt idx="6">
                  <c:v>Hedge Fund (0,0%)</c:v>
                </c:pt>
                <c:pt idx="7">
                  <c:v>FOFs (0,0%)</c:v>
                </c:pt>
                <c:pt idx="8">
                  <c:v>Fiagro FII (0,0%)</c:v>
                </c:pt>
                <c:pt idx="9">
                  <c:v>FI-Infras (0,0%)</c:v>
                </c:pt>
                <c:pt idx="10">
                  <c:v>Fiagro FIDC (0,0%)</c:v>
                </c:pt>
                <c:pt idx="11">
                  <c:v>Outros (0,0%)</c:v>
                </c:pt>
              </c:strCache>
            </c:strRef>
          </c:cat>
          <c:val>
            <c:numRef>
              <c:f>'Simulador de Aportes (R$)'!$D$174:$D$185</c:f>
              <c:numCache>
                <c:formatCode>#,#00%</c:formatCode>
                <c:ptCount val="12"/>
                <c:pt idx="0">
                  <c:v>0.43234323432343236</c:v>
                </c:pt>
                <c:pt idx="1">
                  <c:v>0.12871287128712872</c:v>
                </c:pt>
                <c:pt idx="2">
                  <c:v>0.16501650165016502</c:v>
                </c:pt>
                <c:pt idx="3">
                  <c:v>0.1617161716171617</c:v>
                </c:pt>
                <c:pt idx="4">
                  <c:v>0</c:v>
                </c:pt>
                <c:pt idx="5">
                  <c:v>0.11221122112211221</c:v>
                </c:pt>
                <c:pt idx="6">
                  <c:v>0</c:v>
                </c:pt>
                <c:pt idx="7">
                  <c:v>0</c:v>
                </c:pt>
                <c:pt idx="8">
                  <c:v>0</c:v>
                </c:pt>
                <c:pt idx="9">
                  <c:v>0</c:v>
                </c:pt>
                <c:pt idx="10">
                  <c:v>0</c:v>
                </c:pt>
                <c:pt idx="11">
                  <c:v>0</c:v>
                </c:pt>
              </c:numCache>
            </c:numRef>
          </c:val>
          <c:extLst>
            <c:ext xmlns:c16="http://schemas.microsoft.com/office/drawing/2014/chart" uri="{C3380CC4-5D6E-409C-BE32-E72D297353CC}">
              <c16:uniqueId val="{0000002A-B87A-4E98-B4D7-BDE619130DD5}"/>
            </c:ext>
          </c:extLst>
        </c:ser>
        <c:dLbls>
          <c:showLegendKey val="0"/>
          <c:showVal val="0"/>
          <c:showCatName val="0"/>
          <c:showSerName val="0"/>
          <c:showPercent val="0"/>
          <c:showBubbleSize val="0"/>
          <c:showLeaderLines val="1"/>
        </c:dLbls>
        <c:firstSliceAng val="0"/>
        <c:holeSize val="48"/>
      </c:doughnutChart>
    </c:plotArea>
    <c:legend>
      <c:legendPos val="r"/>
      <c:layout>
        <c:manualLayout>
          <c:xMode val="edge"/>
          <c:yMode val="edge"/>
          <c:x val="0.59014156287129171"/>
          <c:y val="0"/>
          <c:w val="0.39652513193806965"/>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1.7005530727850725E-2"/>
          <c:w val="0.60685582906843583"/>
          <c:h val="0.98069981878462908"/>
        </c:manualLayout>
      </c:layout>
      <c:doughnutChart>
        <c:varyColors val="1"/>
        <c:ser>
          <c:idx val="0"/>
          <c:order val="0"/>
          <c:tx>
            <c:strRef>
              <c:f>'Simulador de Aportes (R$)'!$F$173</c:f>
              <c:strCache>
                <c:ptCount val="1"/>
                <c:pt idx="0">
                  <c:v>Atual</c:v>
                </c:pt>
              </c:strCache>
            </c:strRef>
          </c:tx>
          <c:spPr>
            <a:ln>
              <a:noFill/>
            </a:ln>
          </c:spPr>
          <c:dPt>
            <c:idx val="0"/>
            <c:bubble3D val="0"/>
            <c:spPr>
              <a:solidFill>
                <a:srgbClr val="0B2859"/>
              </a:solidFill>
              <a:ln w="19050">
                <a:noFill/>
              </a:ln>
              <a:effectLst/>
            </c:spPr>
            <c:extLst>
              <c:ext xmlns:c16="http://schemas.microsoft.com/office/drawing/2014/chart" uri="{C3380CC4-5D6E-409C-BE32-E72D297353CC}">
                <c16:uniqueId val="{00000001-4201-4818-AB4D-FB8E8BF490B8}"/>
              </c:ext>
            </c:extLst>
          </c:dPt>
          <c:dPt>
            <c:idx val="1"/>
            <c:bubble3D val="0"/>
            <c:spPr>
              <a:solidFill>
                <a:srgbClr val="549CFF"/>
              </a:solidFill>
              <a:ln w="19050">
                <a:noFill/>
              </a:ln>
              <a:effectLst/>
            </c:spPr>
            <c:extLst>
              <c:ext xmlns:c16="http://schemas.microsoft.com/office/drawing/2014/chart" uri="{C3380CC4-5D6E-409C-BE32-E72D297353CC}">
                <c16:uniqueId val="{00000003-4201-4818-AB4D-FB8E8BF490B8}"/>
              </c:ext>
            </c:extLst>
          </c:dPt>
          <c:dPt>
            <c:idx val="2"/>
            <c:bubble3D val="0"/>
            <c:spPr>
              <a:solidFill>
                <a:srgbClr val="B8CBE9"/>
              </a:solidFill>
              <a:ln w="19050">
                <a:noFill/>
              </a:ln>
              <a:effectLst/>
            </c:spPr>
            <c:extLst>
              <c:ext xmlns:c16="http://schemas.microsoft.com/office/drawing/2014/chart" uri="{C3380CC4-5D6E-409C-BE32-E72D297353CC}">
                <c16:uniqueId val="{00000005-4201-4818-AB4D-FB8E8BF490B8}"/>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4201-4818-AB4D-FB8E8BF490B8}"/>
              </c:ext>
            </c:extLst>
          </c:dPt>
          <c:dPt>
            <c:idx val="4"/>
            <c:bubble3D val="0"/>
            <c:spPr>
              <a:solidFill>
                <a:schemeClr val="accent5"/>
              </a:solidFill>
              <a:ln w="19050">
                <a:noFill/>
              </a:ln>
              <a:effectLst/>
            </c:spPr>
            <c:extLst>
              <c:ext xmlns:c16="http://schemas.microsoft.com/office/drawing/2014/chart" uri="{C3380CC4-5D6E-409C-BE32-E72D297353CC}">
                <c16:uniqueId val="{00000009-4201-4818-AB4D-FB8E8BF490B8}"/>
              </c:ext>
            </c:extLst>
          </c:dPt>
          <c:dPt>
            <c:idx val="5"/>
            <c:bubble3D val="0"/>
            <c:spPr>
              <a:solidFill>
                <a:srgbClr val="1759B2"/>
              </a:solidFill>
              <a:ln w="19050">
                <a:noFill/>
              </a:ln>
              <a:effectLst/>
            </c:spPr>
            <c:extLst>
              <c:ext xmlns:c16="http://schemas.microsoft.com/office/drawing/2014/chart" uri="{C3380CC4-5D6E-409C-BE32-E72D297353CC}">
                <c16:uniqueId val="{0000000B-4201-4818-AB4D-FB8E8BF490B8}"/>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4201-4818-AB4D-FB8E8BF490B8}"/>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4201-4818-AB4D-FB8E8BF490B8}"/>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4201-4818-AB4D-FB8E8BF490B8}"/>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4201-4818-AB4D-FB8E8BF490B8}"/>
              </c:ext>
            </c:extLst>
          </c:dPt>
          <c:cat>
            <c:strRef>
              <c:f>'Simulador de Aportes (R$)'!$F$174:$F$185</c:f>
              <c:strCache>
                <c:ptCount val="12"/>
                <c:pt idx="0">
                  <c:v>Recebíveis (52,0%)</c:v>
                </c:pt>
                <c:pt idx="1">
                  <c:v>Lajes (9,5%)</c:v>
                </c:pt>
                <c:pt idx="2">
                  <c:v>Galpões (22,0%)</c:v>
                </c:pt>
                <c:pt idx="3">
                  <c:v>Shoppings (9,5%)</c:v>
                </c:pt>
                <c:pt idx="4">
                  <c:v>Híbridos (0,0%)</c:v>
                </c:pt>
                <c:pt idx="5">
                  <c:v>Renda Urbana (7,0%)</c:v>
                </c:pt>
                <c:pt idx="6">
                  <c:v>Hedge Fund (0,0%)</c:v>
                </c:pt>
                <c:pt idx="7">
                  <c:v>FOFs (0,0%)</c:v>
                </c:pt>
                <c:pt idx="8">
                  <c:v>Fiagro FII (0,0%)</c:v>
                </c:pt>
                <c:pt idx="9">
                  <c:v>FI-Infras (0,0%)</c:v>
                </c:pt>
                <c:pt idx="10">
                  <c:v>Fiagro FIDC (0,0%)</c:v>
                </c:pt>
                <c:pt idx="11">
                  <c:v>Outros (0,0%)</c:v>
                </c:pt>
              </c:strCache>
            </c:strRef>
          </c:cat>
          <c:val>
            <c:numRef>
              <c:f>'Simulador de Aportes (R$)'!$C$174:$C$185</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14-4201-4818-AB4D-FB8E8BF490B8}"/>
            </c:ext>
          </c:extLst>
        </c:ser>
        <c:dLbls>
          <c:showLegendKey val="0"/>
          <c:showVal val="0"/>
          <c:showCatName val="0"/>
          <c:showSerName val="0"/>
          <c:showPercent val="0"/>
          <c:showBubbleSize val="0"/>
          <c:showLeaderLines val="1"/>
        </c:dLbls>
        <c:firstSliceAng val="0"/>
        <c:holeSize val="48"/>
      </c:doughnutChart>
    </c:plotArea>
    <c:legend>
      <c:legendPos val="r"/>
      <c:layout>
        <c:manualLayout>
          <c:xMode val="edge"/>
          <c:yMode val="edge"/>
          <c:x val="0.59014156287129171"/>
          <c:y val="0"/>
          <c:w val="0.39652513193806965"/>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'Simulador de Aportes (R$)'!$H$173</c:f>
              <c:strCache>
                <c:ptCount val="1"/>
                <c:pt idx="0">
                  <c:v>Delta</c:v>
                </c:pt>
              </c:strCache>
            </c:strRef>
          </c:tx>
          <c:spPr>
            <a:solidFill>
              <a:srgbClr val="002962"/>
            </a:solidFill>
            <a:ln>
              <a:noFill/>
            </a:ln>
            <a:effectLst/>
          </c:spPr>
          <c:invertIfNegative val="0"/>
          <c:dLbls>
            <c:spPr>
              <a:noFill/>
              <a:ln>
                <a:solidFill>
                  <a:srgbClr val="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96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Aportes (R$)'!$E$174:$E$185</c:f>
              <c:strCache>
                <c:ptCount val="12"/>
                <c:pt idx="0">
                  <c:v>Recebíveis</c:v>
                </c:pt>
                <c:pt idx="1">
                  <c:v>Lajes</c:v>
                </c:pt>
                <c:pt idx="2">
                  <c:v>Galpões</c:v>
                </c:pt>
                <c:pt idx="3">
                  <c:v>Shoppings</c:v>
                </c:pt>
                <c:pt idx="4">
                  <c:v>Híbridos</c:v>
                </c:pt>
                <c:pt idx="5">
                  <c:v>Renda Urbana</c:v>
                </c:pt>
                <c:pt idx="6">
                  <c:v>Hedge Fund</c:v>
                </c:pt>
                <c:pt idx="7">
                  <c:v>FOFs</c:v>
                </c:pt>
                <c:pt idx="8">
                  <c:v>Fiagro FII</c:v>
                </c:pt>
                <c:pt idx="9">
                  <c:v>FI-Infras</c:v>
                </c:pt>
                <c:pt idx="10">
                  <c:v>Fiagro FIDC</c:v>
                </c:pt>
                <c:pt idx="11">
                  <c:v>Outros</c:v>
                </c:pt>
              </c:strCache>
            </c:strRef>
          </c:cat>
          <c:val>
            <c:numRef>
              <c:f>'Simulador de Aportes (R$)'!$H$174:$H$185</c:f>
              <c:numCache>
                <c:formatCode>#,#00%</c:formatCode>
                <c:ptCount val="12"/>
                <c:pt idx="0">
                  <c:v>-8.765676567656755E-2</c:v>
                </c:pt>
                <c:pt idx="1">
                  <c:v>3.3712871287128715E-2</c:v>
                </c:pt>
                <c:pt idx="2">
                  <c:v>-5.4983498349834986E-2</c:v>
                </c:pt>
                <c:pt idx="3">
                  <c:v>6.6716171617161701E-2</c:v>
                </c:pt>
                <c:pt idx="4">
                  <c:v>0</c:v>
                </c:pt>
                <c:pt idx="5">
                  <c:v>4.2211221122112202E-2</c:v>
                </c:pt>
                <c:pt idx="6">
                  <c:v>0</c:v>
                </c:pt>
                <c:pt idx="7">
                  <c:v>0</c:v>
                </c:pt>
                <c:pt idx="8">
                  <c:v>0</c:v>
                </c:pt>
                <c:pt idx="9">
                  <c:v>0</c:v>
                </c:pt>
                <c:pt idx="10">
                  <c:v>0</c:v>
                </c:pt>
                <c:pt idx="11">
                  <c:v>0</c:v>
                </c:pt>
              </c:numCache>
            </c:numRef>
          </c:val>
          <c:extLst>
            <c:ext xmlns:c16="http://schemas.microsoft.com/office/drawing/2014/chart" uri="{C3380CC4-5D6E-409C-BE32-E72D297353CC}">
              <c16:uniqueId val="{00000000-9007-4DEF-A3FC-D2FF1229A2EA}"/>
            </c:ext>
          </c:extLst>
        </c:ser>
        <c:dLbls>
          <c:showLegendKey val="0"/>
          <c:showVal val="0"/>
          <c:showCatName val="0"/>
          <c:showSerName val="0"/>
          <c:showPercent val="0"/>
          <c:showBubbleSize val="0"/>
        </c:dLbls>
        <c:gapWidth val="22"/>
        <c:axId val="1878862432"/>
        <c:axId val="1878852712"/>
      </c:barChart>
      <c:catAx>
        <c:axId val="1878862432"/>
        <c:scaling>
          <c:orientation val="maxMin"/>
        </c:scaling>
        <c:delete val="0"/>
        <c:axPos val="l"/>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8852712"/>
        <c:crosses val="autoZero"/>
        <c:auto val="1"/>
        <c:lblAlgn val="ctr"/>
        <c:lblOffset val="100"/>
        <c:noMultiLvlLbl val="0"/>
      </c:catAx>
      <c:valAx>
        <c:axId val="1878852712"/>
        <c:scaling>
          <c:orientation val="minMax"/>
        </c:scaling>
        <c:delete val="1"/>
        <c:axPos val="t"/>
        <c:numFmt formatCode="#,#00%" sourceLinked="1"/>
        <c:majorTickMark val="none"/>
        <c:minorTickMark val="none"/>
        <c:tickLblPos val="nextTo"/>
        <c:crossAx val="187886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(R$)'!$K$174</c:f>
              <c:strCache>
                <c:ptCount val="1"/>
                <c:pt idx="0">
                  <c:v>Nº de Ativos</c:v>
                </c:pt>
              </c:strCache>
            </c:strRef>
          </c:cat>
          <c:val>
            <c:numRef>
              <c:extLst>
                <c:ext xmlns:c15="http://schemas.microsoft.com/office/drawing/2012/chart" uri="{02D57815-91ED-43cb-92C2-25804820EDAC}">
                  <c15:fullRef>
                    <c15:sqref>'Simulador de Aportes (R$)'!$L$174:$L$179</c15:sqref>
                  </c15:fullRef>
                </c:ext>
              </c:extLst>
              <c:f>'Simulador de Aportes (R$)'!$L$174</c:f>
              <c:numCache>
                <c:formatCode>"R$"\ #.##0</c:formatCode>
                <c:ptCount val="1"/>
                <c:pt idx="0" formatCode="General">
                  <c:v>16</c:v>
                </c:pt>
              </c:numCache>
            </c:numRef>
          </c:val>
          <c:extLst>
            <c:ext xmlns:c16="http://schemas.microsoft.com/office/drawing/2014/chart" uri="{C3380CC4-5D6E-409C-BE32-E72D297353CC}">
              <c16:uniqueId val="{00000000-7B8C-46FC-90D9-F58FAB22211E}"/>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(R$)'!$K$174</c:f>
              <c:strCache>
                <c:ptCount val="1"/>
                <c:pt idx="0">
                  <c:v>Nº de Ativos</c:v>
                </c:pt>
              </c:strCache>
            </c:strRef>
          </c:cat>
          <c:val>
            <c:numRef>
              <c:extLst>
                <c:ext xmlns:c15="http://schemas.microsoft.com/office/drawing/2012/chart" uri="{02D57815-91ED-43cb-92C2-25804820EDAC}">
                  <c15:fullRef>
                    <c15:sqref>'Simulador de Aportes (R$)'!$M$174:$M$179</c15:sqref>
                  </c15:fullRef>
                </c:ext>
              </c:extLst>
              <c:f>'Simulador de Aportes (R$)'!$M$174</c:f>
              <c:numCache>
                <c:formatCode>"R$"\ #.##0</c:formatCode>
                <c:ptCount val="1"/>
                <c:pt idx="0" formatCode="General">
                  <c:v>16</c:v>
                </c:pt>
              </c:numCache>
            </c:numRef>
          </c:val>
          <c:extLst>
            <c:ext xmlns:c16="http://schemas.microsoft.com/office/drawing/2014/chart" uri="{C3380CC4-5D6E-409C-BE32-E72D297353CC}">
              <c16:uniqueId val="{00000001-7B8C-46FC-90D9-F58FAB22211E}"/>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(R$)'!$K$175</c:f>
              <c:strCache>
                <c:ptCount val="1"/>
                <c:pt idx="0">
                  <c:v>Liquidez</c:v>
                </c:pt>
              </c:strCache>
            </c:strRef>
          </c:cat>
          <c:val>
            <c:numRef>
              <c:extLst>
                <c:ext xmlns:c15="http://schemas.microsoft.com/office/drawing/2012/chart" uri="{02D57815-91ED-43cb-92C2-25804820EDAC}">
                  <c15:fullRef>
                    <c15:sqref>'Simulador de Aportes (R$)'!$L$174:$L$179</c15:sqref>
                  </c15:fullRef>
                </c:ext>
              </c:extLst>
              <c:f>'Simulador de Aportes (R$)'!$L$175</c:f>
              <c:numCache>
                <c:formatCode>"R$"\ #.##0</c:formatCode>
                <c:ptCount val="1"/>
                <c:pt idx="0">
                  <c:v>9436.8488872209982</c:v>
                </c:pt>
              </c:numCache>
            </c:numRef>
          </c:val>
          <c:extLst>
            <c:ext xmlns:c16="http://schemas.microsoft.com/office/drawing/2014/chart" uri="{C3380CC4-5D6E-409C-BE32-E72D297353CC}">
              <c16:uniqueId val="{00000000-4583-40E6-ADDB-D1652814FF8F}"/>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(R$)'!$K$175</c:f>
              <c:strCache>
                <c:ptCount val="1"/>
                <c:pt idx="0">
                  <c:v>Liquidez</c:v>
                </c:pt>
              </c:strCache>
            </c:strRef>
          </c:cat>
          <c:val>
            <c:numRef>
              <c:extLst>
                <c:ext xmlns:c15="http://schemas.microsoft.com/office/drawing/2012/chart" uri="{02D57815-91ED-43cb-92C2-25804820EDAC}">
                  <c15:fullRef>
                    <c15:sqref>'Simulador de Aportes (R$)'!$M$174:$M$179</c15:sqref>
                  </c15:fullRef>
                </c:ext>
              </c:extLst>
              <c:f>'Simulador de Aportes (R$)'!$M$175</c:f>
              <c:numCache>
                <c:formatCode>"R$"\ #.##0</c:formatCode>
                <c:ptCount val="1"/>
                <c:pt idx="0">
                  <c:v>8959.1929956950498</c:v>
                </c:pt>
              </c:numCache>
            </c:numRef>
          </c:val>
          <c:extLst>
            <c:ext xmlns:c16="http://schemas.microsoft.com/office/drawing/2014/chart" uri="{C3380CC4-5D6E-409C-BE32-E72D297353CC}">
              <c16:uniqueId val="{00000001-4583-40E6-ADDB-D1652814FF8F}"/>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(R$)'!$K$176</c:f>
              <c:strCache>
                <c:ptCount val="1"/>
                <c:pt idx="0">
                  <c:v>P/VPA</c:v>
                </c:pt>
              </c:strCache>
            </c:strRef>
          </c:cat>
          <c:val>
            <c:numRef>
              <c:extLst>
                <c:ext xmlns:c15="http://schemas.microsoft.com/office/drawing/2012/chart" uri="{02D57815-91ED-43cb-92C2-25804820EDAC}">
                  <c15:fullRef>
                    <c15:sqref>'Simulador de Aportes (R$)'!$L$174:$L$179</c15:sqref>
                  </c15:fullRef>
                </c:ext>
              </c:extLst>
              <c:f>'Simulador de Aportes (R$)'!$L$176</c:f>
              <c:numCache>
                <c:formatCode>"R$"\ #.##0</c:formatCode>
                <c:ptCount val="1"/>
                <c:pt idx="0" formatCode="#,000&quot;x&quot;">
                  <c:v>0.86543222831543354</c:v>
                </c:pt>
              </c:numCache>
            </c:numRef>
          </c:val>
          <c:extLst>
            <c:ext xmlns:c16="http://schemas.microsoft.com/office/drawing/2014/chart" uri="{C3380CC4-5D6E-409C-BE32-E72D297353CC}">
              <c16:uniqueId val="{00000000-AF5C-4944-BDBD-EBFDD8492E9C}"/>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(R$)'!$K$176</c:f>
              <c:strCache>
                <c:ptCount val="1"/>
                <c:pt idx="0">
                  <c:v>P/VPA</c:v>
                </c:pt>
              </c:strCache>
            </c:strRef>
          </c:cat>
          <c:val>
            <c:numRef>
              <c:extLst>
                <c:ext xmlns:c15="http://schemas.microsoft.com/office/drawing/2012/chart" uri="{02D57815-91ED-43cb-92C2-25804820EDAC}">
                  <c15:fullRef>
                    <c15:sqref>'Simulador de Aportes (R$)'!$M$174:$M$179</c15:sqref>
                  </c15:fullRef>
                </c:ext>
              </c:extLst>
              <c:f>'Simulador de Aportes (R$)'!$M$176</c:f>
              <c:numCache>
                <c:formatCode>"R$"\ #.##0</c:formatCode>
                <c:ptCount val="1"/>
                <c:pt idx="0" formatCode="#,000&quot;x&quot;">
                  <c:v>0.8440353388223043</c:v>
                </c:pt>
              </c:numCache>
            </c:numRef>
          </c:val>
          <c:extLst>
            <c:ext xmlns:c16="http://schemas.microsoft.com/office/drawing/2014/chart" uri="{C3380CC4-5D6E-409C-BE32-E72D297353CC}">
              <c16:uniqueId val="{00000001-AF5C-4944-BDBD-EBFDD8492E9C}"/>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min val="0.4"/>
        </c:scaling>
        <c:delete val="1"/>
        <c:axPos val="l"/>
        <c:numFmt formatCode="General" sourceLinked="1"/>
        <c:majorTickMark val="out"/>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(R$)'!$K$177:$K$178</c:f>
              <c:strCache>
                <c:ptCount val="2"/>
                <c:pt idx="0">
                  <c:v>DY Anualizado</c:v>
                </c:pt>
                <c:pt idx="1">
                  <c:v>DY 12 meses</c:v>
                </c:pt>
              </c:strCache>
            </c:strRef>
          </c:cat>
          <c:val>
            <c:numRef>
              <c:extLst>
                <c:ext xmlns:c15="http://schemas.microsoft.com/office/drawing/2012/chart" uri="{02D57815-91ED-43cb-92C2-25804820EDAC}">
                  <c15:fullRef>
                    <c15:sqref>'Simulador de Aportes (R$)'!$L$174:$L$179</c15:sqref>
                  </c15:fullRef>
                </c:ext>
              </c:extLst>
              <c:f>'Simulador de Aportes (R$)'!$L$177:$L$178</c:f>
              <c:numCache>
                <c:formatCode>"R$"\ #.##0</c:formatCode>
                <c:ptCount val="2"/>
                <c:pt idx="0" formatCode="0.00%">
                  <c:v>0.12480970192036504</c:v>
                </c:pt>
                <c:pt idx="1" formatCode="0.00%">
                  <c:v>0.12485617780427001</c:v>
                </c:pt>
              </c:numCache>
            </c:numRef>
          </c:val>
          <c:extLst>
            <c:ext xmlns:c16="http://schemas.microsoft.com/office/drawing/2014/chart" uri="{C3380CC4-5D6E-409C-BE32-E72D297353CC}">
              <c16:uniqueId val="{00000000-A800-41F1-BC43-73829DCF0A33}"/>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(R$)'!$K$177:$K$178</c:f>
              <c:strCache>
                <c:ptCount val="2"/>
                <c:pt idx="0">
                  <c:v>DY Anualizado</c:v>
                </c:pt>
                <c:pt idx="1">
                  <c:v>DY 12 meses</c:v>
                </c:pt>
              </c:strCache>
            </c:strRef>
          </c:cat>
          <c:val>
            <c:numRef>
              <c:extLst>
                <c:ext xmlns:c15="http://schemas.microsoft.com/office/drawing/2012/chart" uri="{02D57815-91ED-43cb-92C2-25804820EDAC}">
                  <c15:fullRef>
                    <c15:sqref>'Simulador de Aportes (R$)'!$M$174:$M$179</c15:sqref>
                  </c15:fullRef>
                </c:ext>
              </c:extLst>
              <c:f>'Simulador de Aportes (R$)'!$M$177:$M$178</c:f>
              <c:numCache>
                <c:formatCode>"R$"\ #.##0</c:formatCode>
                <c:ptCount val="2"/>
                <c:pt idx="0" formatCode="0.00%">
                  <c:v>0.12563974253018176</c:v>
                </c:pt>
                <c:pt idx="1" formatCode="0.00%">
                  <c:v>0.12483468905657424</c:v>
                </c:pt>
              </c:numCache>
            </c:numRef>
          </c:val>
          <c:extLst>
            <c:ext xmlns:c16="http://schemas.microsoft.com/office/drawing/2014/chart" uri="{C3380CC4-5D6E-409C-BE32-E72D297353CC}">
              <c16:uniqueId val="{00000001-A800-41F1-BC43-73829DCF0A33}"/>
            </c:ext>
          </c:extLst>
        </c:ser>
        <c:dLbls>
          <c:showLegendKey val="0"/>
          <c:showVal val="0"/>
          <c:showCatName val="0"/>
          <c:showSerName val="0"/>
          <c:showPercent val="0"/>
          <c:showBubbleSize val="0"/>
        </c:dLbls>
        <c:gapWidth val="14"/>
        <c:overlap val="-20"/>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(R$)'!$K$179</c:f>
              <c:strCache>
                <c:ptCount val="1"/>
                <c:pt idx="0">
                  <c:v>Rendimentos</c:v>
                </c:pt>
              </c:strCache>
            </c:strRef>
          </c:cat>
          <c:val>
            <c:numRef>
              <c:extLst>
                <c:ext xmlns:c15="http://schemas.microsoft.com/office/drawing/2012/chart" uri="{02D57815-91ED-43cb-92C2-25804820EDAC}">
                  <c15:fullRef>
                    <c15:sqref>'Simulador de Aportes (R$)'!$L$174:$L$179</c15:sqref>
                  </c15:fullRef>
                </c:ext>
              </c:extLst>
              <c:f>'Simulador de Aportes (R$)'!$L$179</c:f>
              <c:numCache>
                <c:formatCode>"R$"\ #.##0</c:formatCode>
                <c:ptCount val="1"/>
                <c:pt idx="0" formatCode="#,##0">
                  <c:v>10394.157999999999</c:v>
                </c:pt>
              </c:numCache>
            </c:numRef>
          </c:val>
          <c:extLst>
            <c:ext xmlns:c16="http://schemas.microsoft.com/office/drawing/2014/chart" uri="{C3380CC4-5D6E-409C-BE32-E72D297353CC}">
              <c16:uniqueId val="{00000000-58B8-4731-871E-271D89CCFFA9}"/>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(R$)'!$K$179</c:f>
              <c:strCache>
                <c:ptCount val="1"/>
                <c:pt idx="0">
                  <c:v>Rendimentos</c:v>
                </c:pt>
              </c:strCache>
            </c:strRef>
          </c:cat>
          <c:val>
            <c:numRef>
              <c:extLst>
                <c:ext xmlns:c15="http://schemas.microsoft.com/office/drawing/2012/chart" uri="{02D57815-91ED-43cb-92C2-25804820EDAC}">
                  <c15:fullRef>
                    <c15:sqref>'Simulador de Aportes (R$)'!$M$174:$M$179</c15:sqref>
                  </c15:fullRef>
                </c:ext>
              </c:extLst>
              <c:f>'Simulador de Aportes (R$)'!$M$179</c:f>
              <c:numCache>
                <c:formatCode>"R$"\ #.##0</c:formatCode>
                <c:ptCount val="1"/>
                <c:pt idx="0" formatCode="#,##0">
                  <c:v>15855.323</c:v>
                </c:pt>
              </c:numCache>
            </c:numRef>
          </c:val>
          <c:extLst>
            <c:ext xmlns:c16="http://schemas.microsoft.com/office/drawing/2014/chart" uri="{C3380CC4-5D6E-409C-BE32-E72D297353CC}">
              <c16:uniqueId val="{00000001-58B8-4731-871E-271D89CCFFA9}"/>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plotSurface>
          <cx:spPr>
            <a:noFill/>
            <a:ln>
              <a:noFill/>
            </a:ln>
          </cx:spPr>
        </cx:plotSurface>
        <cx:series layoutId="boxWhisker" uniqueId="{19484D02-2A1E-464F-B58F-66C5934C5D1C}" formatIdx="0">
          <cx:tx>
            <cx:txData>
              <cx:f/>
              <cx:v/>
            </cx:txData>
          </cx:tx>
          <cx:spPr>
            <a:solidFill>
              <a:srgbClr val="0B2859"/>
            </a:solidFill>
            <a:ln>
              <a:solidFill>
                <a:srgbClr val="3587FF"/>
              </a:solidFill>
            </a:ln>
          </cx:spPr>
          <cx:dataId val="0"/>
          <cx:layoutPr>
            <cx:visibility meanLine="0" meanMarker="1" nonoutliers="0" outliers="0"/>
            <cx:statistics quartileMethod="exclusive"/>
          </cx:layoutPr>
        </cx:series>
      </cx:plotAreaRegion>
      <cx:axis id="0">
        <cx:catScaling gapWidth="1"/>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b="0">
              <a:solidFill>
                <a:schemeClr val="tx1"/>
              </a:solidFill>
              <a:latin typeface="Arial" panose="020B0604020202020204" pitchFamily="34" charset="0"/>
              <a:cs typeface="Arial" panose="020B0604020202020204" pitchFamily="34" charset="0"/>
            </a:endParaRPr>
          </a:p>
        </cx:txPr>
      </cx:axis>
      <cx:axis id="1">
        <cx:valScaling/>
        <cx:majorGridlines/>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a:solidFill>
                <a:schemeClr val="tx1"/>
              </a:solidFill>
              <a:latin typeface="Arial" panose="020B0604020202020204" pitchFamily="34" charset="0"/>
              <a:cs typeface="Arial" panose="020B0604020202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boxWhisker" uniqueId="{B3997B76-C6E1-4693-9B6D-51AA11026278}" formatIdx="0">
          <cx:spPr>
            <a:solidFill>
              <a:srgbClr val="549CFF"/>
            </a:solidFill>
            <a:ln>
              <a:solidFill>
                <a:srgbClr val="0563C1"/>
              </a:solidFill>
            </a:ln>
          </cx:spPr>
          <cx:dataId val="0"/>
          <cx:layoutPr>
            <cx:visibility meanLine="0" meanMarker="1" nonoutliers="0" outliers="0"/>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svg"/><Relationship Id="rId1" Type="http://schemas.openxmlformats.org/officeDocument/2006/relationships/image" Target="../media/image2.png"/><Relationship Id="rId5" Type="http://schemas.microsoft.com/office/2014/relationships/chartEx" Target="../charts/chartEx2.xml"/><Relationship Id="rId4"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143235</xdr:colOff>
      <xdr:row>2</xdr:row>
      <xdr:rowOff>41020</xdr:rowOff>
    </xdr:from>
    <xdr:to>
      <xdr:col>1</xdr:col>
      <xdr:colOff>2807450</xdr:colOff>
      <xdr:row>7</xdr:row>
      <xdr:rowOff>166487</xdr:rowOff>
    </xdr:to>
    <xdr:pic>
      <xdr:nvPicPr>
        <xdr:cNvPr id="2" name="Imagem 4">
          <a:extLst>
            <a:ext uri="{FF2B5EF4-FFF2-40B4-BE49-F238E27FC236}">
              <a16:creationId xmlns:a16="http://schemas.microsoft.com/office/drawing/2014/main" id="{A672ECD3-D603-471E-AB6A-8F83A244BA52}"/>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55294" y="265138"/>
          <a:ext cx="2664215" cy="10779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6" name="Imagem 31">
          <a:extLst>
            <a:ext uri="{FF2B5EF4-FFF2-40B4-BE49-F238E27FC236}">
              <a16:creationId xmlns:a16="http://schemas.microsoft.com/office/drawing/2014/main" id="{288E8264-11E4-4CFC-B8E6-EBC98F8F727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52917" y="52917"/>
          <a:ext cx="799524" cy="3281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10584</xdr:colOff>
      <xdr:row>0</xdr:row>
      <xdr:rowOff>31750</xdr:rowOff>
    </xdr:from>
    <xdr:to>
      <xdr:col>1</xdr:col>
      <xdr:colOff>810108</xdr:colOff>
      <xdr:row>2</xdr:row>
      <xdr:rowOff>137679</xdr:rowOff>
    </xdr:to>
    <xdr:pic>
      <xdr:nvPicPr>
        <xdr:cNvPr id="8" name="Imagem 31">
          <a:extLst>
            <a:ext uri="{FF2B5EF4-FFF2-40B4-BE49-F238E27FC236}">
              <a16:creationId xmlns:a16="http://schemas.microsoft.com/office/drawing/2014/main" id="{A821A6B4-F68A-457A-A5C1-83651147BC17}"/>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52917" y="31750"/>
          <a:ext cx="799524" cy="328179"/>
        </a:xfrm>
        <a:prstGeom prst="rect">
          <a:avLst/>
        </a:prstGeom>
      </xdr:spPr>
    </xdr:pic>
    <xdr:clientData/>
  </xdr:twoCellAnchor>
  <xdr:twoCellAnchor>
    <xdr:from>
      <xdr:col>0</xdr:col>
      <xdr:colOff>43141</xdr:colOff>
      <xdr:row>26</xdr:row>
      <xdr:rowOff>23531</xdr:rowOff>
    </xdr:from>
    <xdr:to>
      <xdr:col>12</xdr:col>
      <xdr:colOff>984249</xdr:colOff>
      <xdr:row>45</xdr:row>
      <xdr:rowOff>145676</xdr:rowOff>
    </xdr:to>
    <xdr:graphicFrame macro="">
      <xdr:nvGraphicFramePr>
        <xdr:cNvPr id="4" name="Chart 3">
          <a:extLst>
            <a:ext uri="{FF2B5EF4-FFF2-40B4-BE49-F238E27FC236}">
              <a16:creationId xmlns:a16="http://schemas.microsoft.com/office/drawing/2014/main" id="{43BFB57B-5356-4840-8D89-2C2ECAEEF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48</xdr:row>
      <xdr:rowOff>190499</xdr:rowOff>
    </xdr:from>
    <xdr:to>
      <xdr:col>13</xdr:col>
      <xdr:colOff>0</xdr:colOff>
      <xdr:row>68</xdr:row>
      <xdr:rowOff>148166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5676ABB-A4A0-485E-9AEB-CFAE90E4A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100" y="8429624"/>
              <a:ext cx="13154025" cy="3224742"/>
            </a:xfrm>
            <a:prstGeom prst="rect">
              <a:avLst/>
            </a:prstGeom>
            <a:solidFill>
              <a:prstClr val="white"/>
            </a:solidFill>
            <a:ln w="1">
              <a:solidFill>
                <a:prstClr val="green"/>
              </a:solidFill>
            </a:ln>
          </xdr:spPr>
          <xdr:txBody>
            <a:bodyPr vertOverflow="clip" horzOverflow="clip"/>
            <a:lstStyle/>
            <a:p>
              <a:r>
                <a:rPr lang="en-US"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twoCellAnchor>
    <xdr:from>
      <xdr:col>1</xdr:col>
      <xdr:colOff>0</xdr:colOff>
      <xdr:row>71</xdr:row>
      <xdr:rowOff>0</xdr:rowOff>
    </xdr:from>
    <xdr:to>
      <xdr:col>13</xdr:col>
      <xdr:colOff>10584</xdr:colOff>
      <xdr:row>91</xdr:row>
      <xdr:rowOff>10584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F1418F9-169B-4761-AEB7-FC98D8AFC9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100" y="12020550"/>
              <a:ext cx="13164609" cy="3249084"/>
            </a:xfrm>
            <a:prstGeom prst="rect">
              <a:avLst/>
            </a:prstGeom>
            <a:solidFill>
              <a:prstClr val="white"/>
            </a:solidFill>
            <a:ln w="1">
              <a:solidFill>
                <a:prstClr val="green"/>
              </a:solidFill>
            </a:ln>
          </xdr:spPr>
          <xdr:txBody>
            <a:bodyPr vertOverflow="clip" horzOverflow="clip"/>
            <a:lstStyle/>
            <a:p>
              <a:r>
                <a:rPr lang="en-US"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2</xdr:col>
      <xdr:colOff>53799</xdr:colOff>
      <xdr:row>2</xdr:row>
      <xdr:rowOff>137679</xdr:rowOff>
    </xdr:to>
    <xdr:pic>
      <xdr:nvPicPr>
        <xdr:cNvPr id="7" name="Imagem 31">
          <a:extLst>
            <a:ext uri="{FF2B5EF4-FFF2-40B4-BE49-F238E27FC236}">
              <a16:creationId xmlns:a16="http://schemas.microsoft.com/office/drawing/2014/main" id="{2F3BE9A0-5C16-47E5-AD29-AA49171F442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75951" y="31750"/>
          <a:ext cx="803881" cy="318841"/>
        </a:xfrm>
        <a:prstGeom prst="rect">
          <a:avLst/>
        </a:prstGeom>
      </xdr:spPr>
    </xdr:pic>
    <xdr:clientData/>
  </xdr:twoCellAnchor>
  <xdr:twoCellAnchor>
    <xdr:from>
      <xdr:col>6</xdr:col>
      <xdr:colOff>1120588</xdr:colOff>
      <xdr:row>41</xdr:row>
      <xdr:rowOff>57149</xdr:rowOff>
    </xdr:from>
    <xdr:to>
      <xdr:col>17</xdr:col>
      <xdr:colOff>744680</xdr:colOff>
      <xdr:row>58</xdr:row>
      <xdr:rowOff>145677</xdr:rowOff>
    </xdr:to>
    <xdr:graphicFrame macro="">
      <xdr:nvGraphicFramePr>
        <xdr:cNvPr id="4" name="Chart 3">
          <a:extLst>
            <a:ext uri="{FF2B5EF4-FFF2-40B4-BE49-F238E27FC236}">
              <a16:creationId xmlns:a16="http://schemas.microsoft.com/office/drawing/2014/main" id="{C24C036B-63A7-482B-814C-3BE7E8E11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51955</xdr:colOff>
      <xdr:row>60</xdr:row>
      <xdr:rowOff>65809</xdr:rowOff>
    </xdr:from>
    <xdr:to>
      <xdr:col>17</xdr:col>
      <xdr:colOff>705971</xdr:colOff>
      <xdr:row>78</xdr:row>
      <xdr:rowOff>3464</xdr:rowOff>
    </xdr:to>
    <xdr:graphicFrame macro="">
      <xdr:nvGraphicFramePr>
        <xdr:cNvPr id="6" name="Chart 5">
          <a:extLst>
            <a:ext uri="{FF2B5EF4-FFF2-40B4-BE49-F238E27FC236}">
              <a16:creationId xmlns:a16="http://schemas.microsoft.com/office/drawing/2014/main" id="{6DACBF64-0659-4178-971D-2401AE9A0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45944</xdr:rowOff>
    </xdr:from>
    <xdr:to>
      <xdr:col>6</xdr:col>
      <xdr:colOff>11206</xdr:colOff>
      <xdr:row>58</xdr:row>
      <xdr:rowOff>122144</xdr:rowOff>
    </xdr:to>
    <xdr:graphicFrame macro="">
      <xdr:nvGraphicFramePr>
        <xdr:cNvPr id="3" name="Chart 2">
          <a:extLst>
            <a:ext uri="{FF2B5EF4-FFF2-40B4-BE49-F238E27FC236}">
              <a16:creationId xmlns:a16="http://schemas.microsoft.com/office/drawing/2014/main" id="{10EEDD53-FA3B-4289-BCD7-39FACE92B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2</xdr:col>
      <xdr:colOff>53799</xdr:colOff>
      <xdr:row>2</xdr:row>
      <xdr:rowOff>137679</xdr:rowOff>
    </xdr:to>
    <xdr:pic>
      <xdr:nvPicPr>
        <xdr:cNvPr id="2" name="Imagem 31">
          <a:extLst>
            <a:ext uri="{FF2B5EF4-FFF2-40B4-BE49-F238E27FC236}">
              <a16:creationId xmlns:a16="http://schemas.microsoft.com/office/drawing/2014/main" id="{B7358E03-56F7-49F1-AA68-0E53232D80F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80433" y="31750"/>
          <a:ext cx="811566" cy="325004"/>
        </a:xfrm>
        <a:prstGeom prst="rect">
          <a:avLst/>
        </a:prstGeom>
      </xdr:spPr>
    </xdr:pic>
    <xdr:clientData/>
  </xdr:twoCellAnchor>
  <xdr:twoCellAnchor>
    <xdr:from>
      <xdr:col>6</xdr:col>
      <xdr:colOff>1120588</xdr:colOff>
      <xdr:row>41</xdr:row>
      <xdr:rowOff>57149</xdr:rowOff>
    </xdr:from>
    <xdr:to>
      <xdr:col>17</xdr:col>
      <xdr:colOff>744680</xdr:colOff>
      <xdr:row>58</xdr:row>
      <xdr:rowOff>145677</xdr:rowOff>
    </xdr:to>
    <xdr:graphicFrame macro="">
      <xdr:nvGraphicFramePr>
        <xdr:cNvPr id="3" name="Chart 2">
          <a:extLst>
            <a:ext uri="{FF2B5EF4-FFF2-40B4-BE49-F238E27FC236}">
              <a16:creationId xmlns:a16="http://schemas.microsoft.com/office/drawing/2014/main" id="{2186E0D8-9110-45F0-976D-189B03FB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51955</xdr:colOff>
      <xdr:row>60</xdr:row>
      <xdr:rowOff>65809</xdr:rowOff>
    </xdr:from>
    <xdr:to>
      <xdr:col>17</xdr:col>
      <xdr:colOff>705971</xdr:colOff>
      <xdr:row>78</xdr:row>
      <xdr:rowOff>3464</xdr:rowOff>
    </xdr:to>
    <xdr:graphicFrame macro="">
      <xdr:nvGraphicFramePr>
        <xdr:cNvPr id="4" name="Chart 3">
          <a:extLst>
            <a:ext uri="{FF2B5EF4-FFF2-40B4-BE49-F238E27FC236}">
              <a16:creationId xmlns:a16="http://schemas.microsoft.com/office/drawing/2014/main" id="{1F25F473-79C9-4069-B9D1-3810B1C39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45944</xdr:rowOff>
    </xdr:from>
    <xdr:to>
      <xdr:col>6</xdr:col>
      <xdr:colOff>11206</xdr:colOff>
      <xdr:row>58</xdr:row>
      <xdr:rowOff>122144</xdr:rowOff>
    </xdr:to>
    <xdr:graphicFrame macro="">
      <xdr:nvGraphicFramePr>
        <xdr:cNvPr id="5" name="Chart 4">
          <a:extLst>
            <a:ext uri="{FF2B5EF4-FFF2-40B4-BE49-F238E27FC236}">
              <a16:creationId xmlns:a16="http://schemas.microsoft.com/office/drawing/2014/main" id="{C9FF5B7C-DC63-4210-AD7E-BDC02375C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1</xdr:col>
      <xdr:colOff>849416</xdr:colOff>
      <xdr:row>2</xdr:row>
      <xdr:rowOff>137679</xdr:rowOff>
    </xdr:to>
    <xdr:pic>
      <xdr:nvPicPr>
        <xdr:cNvPr id="2" name="Imagem 31">
          <a:extLst>
            <a:ext uri="{FF2B5EF4-FFF2-40B4-BE49-F238E27FC236}">
              <a16:creationId xmlns:a16="http://schemas.microsoft.com/office/drawing/2014/main" id="{B62D02DA-3F2D-4510-AA99-65A0CFB3040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80433" y="31750"/>
          <a:ext cx="811566" cy="325004"/>
        </a:xfrm>
        <a:prstGeom prst="rect">
          <a:avLst/>
        </a:prstGeom>
      </xdr:spPr>
    </xdr:pic>
    <xdr:clientData/>
  </xdr:twoCellAnchor>
  <xdr:twoCellAnchor>
    <xdr:from>
      <xdr:col>8</xdr:col>
      <xdr:colOff>0</xdr:colOff>
      <xdr:row>42</xdr:row>
      <xdr:rowOff>0</xdr:rowOff>
    </xdr:from>
    <xdr:to>
      <xdr:col>12</xdr:col>
      <xdr:colOff>411615</xdr:colOff>
      <xdr:row>60</xdr:row>
      <xdr:rowOff>40820</xdr:rowOff>
    </xdr:to>
    <xdr:graphicFrame macro="">
      <xdr:nvGraphicFramePr>
        <xdr:cNvPr id="13" name="Chart 12">
          <a:extLst>
            <a:ext uri="{FF2B5EF4-FFF2-40B4-BE49-F238E27FC236}">
              <a16:creationId xmlns:a16="http://schemas.microsoft.com/office/drawing/2014/main" id="{EA13371D-C8EC-4FCC-8450-6E6433A6A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42</xdr:row>
      <xdr:rowOff>0</xdr:rowOff>
    </xdr:from>
    <xdr:to>
      <xdr:col>6</xdr:col>
      <xdr:colOff>625928</xdr:colOff>
      <xdr:row>60</xdr:row>
      <xdr:rowOff>40820</xdr:rowOff>
    </xdr:to>
    <xdr:graphicFrame macro="">
      <xdr:nvGraphicFramePr>
        <xdr:cNvPr id="14" name="Chart 13">
          <a:extLst>
            <a:ext uri="{FF2B5EF4-FFF2-40B4-BE49-F238E27FC236}">
              <a16:creationId xmlns:a16="http://schemas.microsoft.com/office/drawing/2014/main" id="{A0A8A888-7945-4628-89DD-EB10DF600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1197428</xdr:colOff>
      <xdr:row>42</xdr:row>
      <xdr:rowOff>0</xdr:rowOff>
    </xdr:from>
    <xdr:to>
      <xdr:col>20</xdr:col>
      <xdr:colOff>707571</xdr:colOff>
      <xdr:row>60</xdr:row>
      <xdr:rowOff>43760</xdr:rowOff>
    </xdr:to>
    <xdr:graphicFrame macro="">
      <xdr:nvGraphicFramePr>
        <xdr:cNvPr id="17" name="Chart 16">
          <a:extLst>
            <a:ext uri="{FF2B5EF4-FFF2-40B4-BE49-F238E27FC236}">
              <a16:creationId xmlns:a16="http://schemas.microsoft.com/office/drawing/2014/main" id="{534EF427-0B31-4843-997F-90E21C935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xdr:colOff>
      <xdr:row>64</xdr:row>
      <xdr:rowOff>81642</xdr:rowOff>
    </xdr:from>
    <xdr:to>
      <xdr:col>4</xdr:col>
      <xdr:colOff>397329</xdr:colOff>
      <xdr:row>82</xdr:row>
      <xdr:rowOff>119061</xdr:rowOff>
    </xdr:to>
    <xdr:graphicFrame macro="">
      <xdr:nvGraphicFramePr>
        <xdr:cNvPr id="25" name="Chart 24">
          <a:extLst>
            <a:ext uri="{FF2B5EF4-FFF2-40B4-BE49-F238E27FC236}">
              <a16:creationId xmlns:a16="http://schemas.microsoft.com/office/drawing/2014/main" id="{2BC5D917-3F12-4997-BF3A-1DC378F3E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822552</xdr:colOff>
      <xdr:row>64</xdr:row>
      <xdr:rowOff>81642</xdr:rowOff>
    </xdr:from>
    <xdr:to>
      <xdr:col>8</xdr:col>
      <xdr:colOff>389845</xdr:colOff>
      <xdr:row>82</xdr:row>
      <xdr:rowOff>119061</xdr:rowOff>
    </xdr:to>
    <xdr:graphicFrame macro="">
      <xdr:nvGraphicFramePr>
        <xdr:cNvPr id="33" name="Chart 32">
          <a:extLst>
            <a:ext uri="{FF2B5EF4-FFF2-40B4-BE49-F238E27FC236}">
              <a16:creationId xmlns:a16="http://schemas.microsoft.com/office/drawing/2014/main" id="{3A87EAEE-C5B5-4AB2-B7FB-AD5A2CEBD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39461</xdr:colOff>
      <xdr:row>64</xdr:row>
      <xdr:rowOff>81642</xdr:rowOff>
    </xdr:from>
    <xdr:to>
      <xdr:col>10</xdr:col>
      <xdr:colOff>967468</xdr:colOff>
      <xdr:row>82</xdr:row>
      <xdr:rowOff>119061</xdr:rowOff>
    </xdr:to>
    <xdr:graphicFrame macro="">
      <xdr:nvGraphicFramePr>
        <xdr:cNvPr id="34" name="Chart 33">
          <a:extLst>
            <a:ext uri="{FF2B5EF4-FFF2-40B4-BE49-F238E27FC236}">
              <a16:creationId xmlns:a16="http://schemas.microsoft.com/office/drawing/2014/main" id="{E1D08CB0-50F4-4338-85AB-5F83E96C8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358548</xdr:colOff>
      <xdr:row>64</xdr:row>
      <xdr:rowOff>81642</xdr:rowOff>
    </xdr:from>
    <xdr:to>
      <xdr:col>15</xdr:col>
      <xdr:colOff>429305</xdr:colOff>
      <xdr:row>82</xdr:row>
      <xdr:rowOff>119061</xdr:rowOff>
    </xdr:to>
    <xdr:graphicFrame macro="">
      <xdr:nvGraphicFramePr>
        <xdr:cNvPr id="35" name="Chart 34">
          <a:extLst>
            <a:ext uri="{FF2B5EF4-FFF2-40B4-BE49-F238E27FC236}">
              <a16:creationId xmlns:a16="http://schemas.microsoft.com/office/drawing/2014/main" id="{72009779-6493-48E0-A8C9-EFAF85252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174172</xdr:colOff>
      <xdr:row>64</xdr:row>
      <xdr:rowOff>81642</xdr:rowOff>
    </xdr:from>
    <xdr:to>
      <xdr:col>21</xdr:col>
      <xdr:colOff>1</xdr:colOff>
      <xdr:row>82</xdr:row>
      <xdr:rowOff>119061</xdr:rowOff>
    </xdr:to>
    <xdr:graphicFrame macro="">
      <xdr:nvGraphicFramePr>
        <xdr:cNvPr id="36" name="Chart 35">
          <a:extLst>
            <a:ext uri="{FF2B5EF4-FFF2-40B4-BE49-F238E27FC236}">
              <a16:creationId xmlns:a16="http://schemas.microsoft.com/office/drawing/2014/main" id="{2D67764A-1F99-4C62-9653-E7E480D7B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4810</xdr:colOff>
      <xdr:row>1</xdr:row>
      <xdr:rowOff>4810</xdr:rowOff>
    </xdr:from>
    <xdr:to>
      <xdr:col>1</xdr:col>
      <xdr:colOff>810684</xdr:colOff>
      <xdr:row>2</xdr:row>
      <xdr:rowOff>152014</xdr:rowOff>
    </xdr:to>
    <xdr:pic>
      <xdr:nvPicPr>
        <xdr:cNvPr id="7" name="Imagem 31">
          <a:extLst>
            <a:ext uri="{FF2B5EF4-FFF2-40B4-BE49-F238E27FC236}">
              <a16:creationId xmlns:a16="http://schemas.microsoft.com/office/drawing/2014/main" id="{6D037212-3D0A-4B31-A3C5-2C5F59D5117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90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615A7213-F3AC-4D43-ADE7-62EB8123DFF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CAD2B9DB-8282-46FB-826E-E54A9E834FF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EE7431E8-C9B2-4AAC-9776-3876F9CCFA82}"/>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1CB9858C-CBEE-46C5-913B-173354FD1B2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CAA54A91-0289-4CAC-8E41-844FB5F74BB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2" name="Imagem 31">
          <a:extLst>
            <a:ext uri="{FF2B5EF4-FFF2-40B4-BE49-F238E27FC236}">
              <a16:creationId xmlns:a16="http://schemas.microsoft.com/office/drawing/2014/main" id="{51E47A98-3F1C-47EC-9506-DFE2CD4791E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38100" y="38100"/>
          <a:ext cx="799524" cy="32288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C987A697-4906-4999-9011-ED0C138A525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FE258A96-A651-4FEC-839B-94CE331DD365}"/>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808524BC-69AA-46EF-A43B-1894B76A168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DD16F482-6BCA-4BAF-9A3D-6116ED0D139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6DDB7C8A-0F54-46B4-A038-F1B3AE5E8EAF}"/>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48BA4B94-3D07-49AF-A370-659F079C921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433BAF68-F3F0-4D2F-BD71-A9A78DE6B4C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2" name="Imagem 31">
          <a:extLst>
            <a:ext uri="{FF2B5EF4-FFF2-40B4-BE49-F238E27FC236}">
              <a16:creationId xmlns:a16="http://schemas.microsoft.com/office/drawing/2014/main" id="{04413FC8-9AC4-4F74-A7B4-C6367A5A82A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38100" y="38100"/>
          <a:ext cx="799524" cy="32288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6" name="Imagem 31">
          <a:extLst>
            <a:ext uri="{FF2B5EF4-FFF2-40B4-BE49-F238E27FC236}">
              <a16:creationId xmlns:a16="http://schemas.microsoft.com/office/drawing/2014/main" id="{FBC129DE-5780-4A87-B29C-FD5243FA291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1</xdr:row>
      <xdr:rowOff>19050</xdr:rowOff>
    </xdr:from>
    <xdr:to>
      <xdr:col>1</xdr:col>
      <xdr:colOff>809049</xdr:colOff>
      <xdr:row>3</xdr:row>
      <xdr:rowOff>4329</xdr:rowOff>
    </xdr:to>
    <xdr:pic>
      <xdr:nvPicPr>
        <xdr:cNvPr id="8" name="Imagem 31">
          <a:extLst>
            <a:ext uri="{FF2B5EF4-FFF2-40B4-BE49-F238E27FC236}">
              <a16:creationId xmlns:a16="http://schemas.microsoft.com/office/drawing/2014/main" id="{DA0903DA-DCC2-4EAB-8DE8-A2BEDBBF89E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7625" y="57150"/>
          <a:ext cx="799524" cy="32817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2721</xdr:colOff>
      <xdr:row>1</xdr:row>
      <xdr:rowOff>36740</xdr:rowOff>
    </xdr:from>
    <xdr:to>
      <xdr:col>2</xdr:col>
      <xdr:colOff>192645</xdr:colOff>
      <xdr:row>2</xdr:row>
      <xdr:rowOff>174419</xdr:rowOff>
    </xdr:to>
    <xdr:pic>
      <xdr:nvPicPr>
        <xdr:cNvPr id="5" name="Imagem 31">
          <a:extLst>
            <a:ext uri="{FF2B5EF4-FFF2-40B4-BE49-F238E27FC236}">
              <a16:creationId xmlns:a16="http://schemas.microsoft.com/office/drawing/2014/main" id="{A04A63D3-E21A-44BB-BED6-20BEAAB85F98}"/>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0821" y="74840"/>
          <a:ext cx="799524" cy="328179"/>
        </a:xfrm>
        <a:prstGeom prst="rect">
          <a:avLst/>
        </a:prstGeom>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ontent.btgpactual.com/research/home/fundos-imobiliarios/carteira-recomendada/6957b374f66f04022e676f40/FII-Janeiro-26"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3979-2B83-453D-9930-661CBA750C03}">
  <sheetPr codeName="Sheet20">
    <tabColor rgb="FF00447C"/>
  </sheetPr>
  <dimension ref="A1:CQ404"/>
  <sheetViews>
    <sheetView showGridLines="0" showRowColHeaders="0" tabSelected="1" zoomScale="85" zoomScaleNormal="85" workbookViewId="0">
      <selection activeCell="D5" sqref="D5:D13"/>
    </sheetView>
  </sheetViews>
  <sheetFormatPr defaultColWidth="0" defaultRowHeight="15" zeroHeight="1" x14ac:dyDescent="0.25"/>
  <cols>
    <col min="1" max="1" width="2" customWidth="1"/>
    <col min="2" max="2" width="48.7109375" style="148" customWidth="1"/>
    <col min="3" max="3" width="3.42578125" style="148" customWidth="1"/>
    <col min="4" max="4" width="31.85546875" style="148" customWidth="1"/>
    <col min="5" max="5" width="2.140625" style="148" customWidth="1"/>
    <col min="6" max="6" width="31.85546875" style="148" customWidth="1"/>
    <col min="7" max="7" width="2.140625" style="148" customWidth="1"/>
    <col min="8" max="8" width="31.85546875" style="148" customWidth="1"/>
    <col min="9" max="9" width="2.140625" style="148" customWidth="1"/>
    <col min="10" max="10" width="31.85546875" style="148" customWidth="1"/>
    <col min="11" max="11" width="2.140625" style="148" customWidth="1"/>
    <col min="12" max="12" width="31.85546875" style="148" customWidth="1"/>
    <col min="13" max="13" width="2.140625" style="148" customWidth="1"/>
    <col min="14" max="14" width="31.85546875" style="148" customWidth="1"/>
    <col min="15" max="15" width="2.140625" customWidth="1"/>
    <col min="16" max="16" width="31.85546875" customWidth="1"/>
    <col min="17" max="17" width="2.140625" style="1" customWidth="1"/>
    <col min="18" max="18" width="30.140625" hidden="1" customWidth="1"/>
    <col min="19" max="19" width="2.140625" hidden="1" customWidth="1"/>
    <col min="20" max="20" width="30.140625" hidden="1" customWidth="1"/>
    <col min="21" max="21" width="2.5703125" hidden="1" customWidth="1"/>
    <col min="22" max="95" width="9.140625" hidden="1"/>
  </cols>
  <sheetData>
    <row r="1" spans="1:20" s="1" customFormat="1" ht="3" customHeight="1" x14ac:dyDescent="0.2">
      <c r="A1" s="2"/>
      <c r="B1" s="2"/>
      <c r="C1" s="2"/>
      <c r="D1" s="2"/>
      <c r="J1" s="74"/>
      <c r="L1" s="74"/>
      <c r="N1" s="74"/>
      <c r="P1" s="74"/>
      <c r="R1" s="74"/>
      <c r="T1" s="74"/>
    </row>
    <row r="2" spans="1:20" s="2" customFormat="1" ht="15" customHeight="1" x14ac:dyDescent="0.2">
      <c r="B2" s="74"/>
      <c r="C2" s="74"/>
      <c r="D2" s="74"/>
      <c r="E2" s="74"/>
      <c r="F2" s="74"/>
      <c r="G2" s="74"/>
      <c r="H2" s="74"/>
      <c r="I2" s="74"/>
      <c r="J2" s="74"/>
      <c r="K2" s="74"/>
      <c r="L2" s="74"/>
      <c r="M2" s="74"/>
      <c r="N2" s="74"/>
      <c r="O2" s="74"/>
      <c r="P2" s="74"/>
      <c r="Q2" s="1"/>
      <c r="R2" s="74"/>
      <c r="T2" s="74"/>
    </row>
    <row r="3" spans="1:20" s="2" customFormat="1" ht="15" customHeight="1" x14ac:dyDescent="0.2">
      <c r="B3" s="71"/>
      <c r="C3" s="4"/>
      <c r="E3" s="1"/>
      <c r="F3" s="1"/>
      <c r="G3" s="1"/>
      <c r="H3" s="1"/>
      <c r="I3" s="1"/>
      <c r="J3" s="74"/>
      <c r="K3" s="1"/>
      <c r="L3" s="74"/>
      <c r="M3" s="1"/>
      <c r="N3" s="74"/>
      <c r="O3" s="1"/>
      <c r="P3" s="74"/>
      <c r="Q3" s="1"/>
    </row>
    <row r="4" spans="1:20" s="2" customFormat="1" ht="15" customHeight="1" x14ac:dyDescent="0.2">
      <c r="B4" s="71"/>
      <c r="C4" s="4"/>
      <c r="F4" s="74"/>
      <c r="J4" s="74"/>
      <c r="L4" s="74"/>
      <c r="N4" s="74"/>
      <c r="P4" s="74"/>
      <c r="Q4" s="1"/>
    </row>
    <row r="5" spans="1:20" s="2" customFormat="1" ht="15" customHeight="1" x14ac:dyDescent="0.2">
      <c r="B5" s="71"/>
      <c r="C5" s="4"/>
      <c r="D5" s="253" t="s">
        <v>191</v>
      </c>
      <c r="F5" s="251" t="s">
        <v>128</v>
      </c>
      <c r="H5" s="251" t="s">
        <v>189</v>
      </c>
      <c r="J5" s="251" t="s">
        <v>190</v>
      </c>
      <c r="L5" s="249" t="s">
        <v>120</v>
      </c>
      <c r="N5" s="249" t="s">
        <v>121</v>
      </c>
      <c r="P5" s="249" t="s">
        <v>122</v>
      </c>
      <c r="Q5" s="1"/>
    </row>
    <row r="6" spans="1:20" s="2" customFormat="1" ht="15" customHeight="1" x14ac:dyDescent="0.2">
      <c r="B6" s="71"/>
      <c r="C6" s="4"/>
      <c r="D6" s="254"/>
      <c r="F6" s="251"/>
      <c r="H6" s="251"/>
      <c r="J6" s="251"/>
      <c r="L6" s="249"/>
      <c r="N6" s="249"/>
      <c r="P6" s="249"/>
      <c r="Q6" s="1"/>
    </row>
    <row r="7" spans="1:20" s="2" customFormat="1" ht="15" customHeight="1" x14ac:dyDescent="0.2">
      <c r="B7" s="72"/>
      <c r="C7" s="4"/>
      <c r="D7" s="254"/>
      <c r="Q7" s="1"/>
    </row>
    <row r="8" spans="1:20" s="2" customFormat="1" ht="15" customHeight="1" x14ac:dyDescent="0.2">
      <c r="B8" s="72"/>
      <c r="C8" s="4"/>
      <c r="D8" s="254"/>
      <c r="F8" s="249" t="s">
        <v>123</v>
      </c>
      <c r="H8" s="249" t="s">
        <v>124</v>
      </c>
      <c r="J8" s="249" t="s">
        <v>20</v>
      </c>
      <c r="L8" s="249" t="s">
        <v>25</v>
      </c>
      <c r="N8" s="249" t="s">
        <v>30</v>
      </c>
      <c r="P8" s="249" t="s">
        <v>43</v>
      </c>
      <c r="Q8" s="1"/>
    </row>
    <row r="9" spans="1:20" s="2" customFormat="1" ht="15" customHeight="1" x14ac:dyDescent="0.2">
      <c r="B9" s="73"/>
      <c r="C9" s="4"/>
      <c r="D9" s="254"/>
      <c r="F9" s="249"/>
      <c r="H9" s="249"/>
      <c r="J9" s="249"/>
      <c r="L9" s="249"/>
      <c r="N9" s="249"/>
      <c r="P9" s="249"/>
      <c r="Q9" s="1"/>
    </row>
    <row r="10" spans="1:20" s="2" customFormat="1" ht="15" customHeight="1" x14ac:dyDescent="0.25">
      <c r="B10" s="255" t="s">
        <v>125</v>
      </c>
      <c r="C10" s="4"/>
      <c r="D10" s="254"/>
      <c r="F10" s="74"/>
      <c r="H10" s="75"/>
      <c r="J10" s="75"/>
      <c r="L10" s="75"/>
      <c r="P10" s="75"/>
      <c r="Q10" s="1"/>
    </row>
    <row r="11" spans="1:20" s="2" customFormat="1" ht="15" customHeight="1" x14ac:dyDescent="0.2">
      <c r="B11" s="255"/>
      <c r="C11" s="4"/>
      <c r="D11" s="254"/>
      <c r="F11" s="249" t="s">
        <v>181</v>
      </c>
      <c r="H11" s="249" t="s">
        <v>113</v>
      </c>
      <c r="J11" s="249" t="s">
        <v>66</v>
      </c>
      <c r="L11" s="249" t="s">
        <v>28</v>
      </c>
      <c r="N11" s="249" t="s">
        <v>180</v>
      </c>
      <c r="P11" s="249" t="s">
        <v>21</v>
      </c>
      <c r="Q11" s="1"/>
    </row>
    <row r="12" spans="1:20" s="2" customFormat="1" ht="15" customHeight="1" thickBot="1" x14ac:dyDescent="0.25">
      <c r="B12" s="255"/>
      <c r="C12" s="4"/>
      <c r="D12" s="254"/>
      <c r="F12" s="249"/>
      <c r="H12" s="249"/>
      <c r="J12" s="249"/>
      <c r="L12" s="249"/>
      <c r="N12" s="249"/>
      <c r="P12" s="249"/>
      <c r="Q12" s="1"/>
      <c r="R12" s="79"/>
      <c r="S12" s="79"/>
      <c r="T12" s="79"/>
    </row>
    <row r="13" spans="1:20" s="2" customFormat="1" ht="15" customHeight="1" thickTop="1" x14ac:dyDescent="0.2">
      <c r="B13" s="255"/>
      <c r="C13" s="4"/>
      <c r="D13" s="254"/>
      <c r="F13" s="74"/>
      <c r="Q13" s="1"/>
    </row>
    <row r="14" spans="1:20" s="2" customFormat="1" ht="15" customHeight="1" thickBot="1" x14ac:dyDescent="0.25">
      <c r="B14" s="255"/>
      <c r="C14" s="4"/>
      <c r="D14" s="79"/>
      <c r="E14" s="79"/>
      <c r="F14" s="79"/>
      <c r="G14" s="79"/>
      <c r="H14" s="79"/>
      <c r="I14" s="79"/>
      <c r="J14" s="79"/>
      <c r="K14" s="79"/>
      <c r="L14" s="79"/>
      <c r="M14" s="79"/>
      <c r="N14" s="79"/>
      <c r="O14" s="79"/>
      <c r="P14" s="79"/>
      <c r="Q14" s="1"/>
    </row>
    <row r="15" spans="1:20" s="2" customFormat="1" ht="15" customHeight="1" thickTop="1" x14ac:dyDescent="0.2">
      <c r="B15" s="255"/>
      <c r="C15" s="4"/>
      <c r="Q15" s="1"/>
    </row>
    <row r="16" spans="1:20" s="2" customFormat="1" ht="15" customHeight="1" x14ac:dyDescent="0.2">
      <c r="B16" s="255"/>
      <c r="C16" s="4"/>
      <c r="D16" s="253" t="s">
        <v>172</v>
      </c>
      <c r="F16" s="253" t="s">
        <v>171</v>
      </c>
      <c r="H16" s="259" t="s">
        <v>188</v>
      </c>
    </row>
    <row r="17" spans="2:19" s="2" customFormat="1" ht="15" customHeight="1" x14ac:dyDescent="0.25">
      <c r="B17" s="76"/>
      <c r="C17" s="4"/>
      <c r="D17" s="254"/>
      <c r="F17" s="254"/>
      <c r="H17" s="260"/>
    </row>
    <row r="18" spans="2:19" s="2" customFormat="1" ht="15" customHeight="1" x14ac:dyDescent="0.25">
      <c r="B18" s="80"/>
      <c r="C18" s="4"/>
      <c r="D18" s="254"/>
      <c r="F18" s="254"/>
      <c r="H18" s="260"/>
    </row>
    <row r="19" spans="2:19" s="2" customFormat="1" ht="15" customHeight="1" x14ac:dyDescent="0.25">
      <c r="B19" s="203" t="s">
        <v>37</v>
      </c>
      <c r="C19" s="4"/>
      <c r="D19" s="254"/>
      <c r="F19" s="254"/>
      <c r="H19" s="260"/>
    </row>
    <row r="20" spans="2:19" s="2" customFormat="1" ht="15" customHeight="1" x14ac:dyDescent="0.2">
      <c r="B20" s="204" t="s">
        <v>112</v>
      </c>
      <c r="C20" s="4"/>
      <c r="D20" s="254"/>
      <c r="F20" s="254"/>
      <c r="H20" s="260"/>
    </row>
    <row r="21" spans="2:19" s="2" customFormat="1" ht="15" customHeight="1" x14ac:dyDescent="0.2">
      <c r="B21" s="205"/>
      <c r="C21" s="4"/>
      <c r="D21" s="254"/>
      <c r="F21" s="254"/>
      <c r="H21" s="260"/>
    </row>
    <row r="22" spans="2:19" s="2" customFormat="1" ht="15" customHeight="1" x14ac:dyDescent="0.25">
      <c r="B22" s="203" t="s">
        <v>95</v>
      </c>
      <c r="C22" s="4"/>
      <c r="D22" s="254"/>
      <c r="F22" s="254"/>
      <c r="H22" s="260"/>
    </row>
    <row r="23" spans="2:19" s="2" customFormat="1" ht="15" customHeight="1" thickBot="1" x14ac:dyDescent="0.25">
      <c r="B23" s="204" t="s">
        <v>112</v>
      </c>
      <c r="C23" s="4"/>
      <c r="D23" s="254"/>
      <c r="F23" s="254"/>
      <c r="H23" s="260"/>
      <c r="R23" s="79"/>
      <c r="S23" s="79"/>
    </row>
    <row r="24" spans="2:19" s="2" customFormat="1" ht="15" customHeight="1" thickTop="1" x14ac:dyDescent="0.2">
      <c r="B24" s="204"/>
      <c r="C24" s="4"/>
      <c r="D24" s="254"/>
      <c r="F24" s="254"/>
      <c r="H24" s="261"/>
    </row>
    <row r="25" spans="2:19" s="2" customFormat="1" ht="15" customHeight="1" thickBot="1" x14ac:dyDescent="0.3">
      <c r="B25" s="203" t="s">
        <v>149</v>
      </c>
      <c r="C25" s="4"/>
      <c r="D25" s="79"/>
      <c r="E25" s="79"/>
      <c r="F25" s="79"/>
      <c r="G25" s="79"/>
      <c r="H25" s="79"/>
      <c r="I25" s="79"/>
      <c r="J25" s="79"/>
      <c r="K25" s="79"/>
      <c r="L25" s="79"/>
      <c r="M25" s="79"/>
      <c r="N25" s="79"/>
      <c r="O25" s="79"/>
      <c r="P25" s="79"/>
      <c r="Q25" s="1"/>
    </row>
    <row r="26" spans="2:19" s="2" customFormat="1" ht="15" customHeight="1" thickTop="1" x14ac:dyDescent="0.2">
      <c r="B26" s="204" t="s">
        <v>148</v>
      </c>
      <c r="C26" s="4"/>
      <c r="Q26" s="1"/>
    </row>
    <row r="27" spans="2:19" s="2" customFormat="1" ht="15" customHeight="1" x14ac:dyDescent="0.25">
      <c r="B27" s="204"/>
      <c r="C27" s="81"/>
      <c r="D27" s="256" t="s">
        <v>136</v>
      </c>
      <c r="E27" s="148"/>
      <c r="F27" s="252" t="s">
        <v>109</v>
      </c>
      <c r="G27" s="148"/>
      <c r="H27" s="250" t="s">
        <v>69</v>
      </c>
      <c r="K27" s="148"/>
      <c r="L27" s="148"/>
      <c r="M27" s="148"/>
      <c r="N27" s="148"/>
      <c r="O27" s="148"/>
      <c r="P27" s="148"/>
      <c r="Q27" s="1"/>
    </row>
    <row r="28" spans="2:19" s="2" customFormat="1" ht="15" customHeight="1" x14ac:dyDescent="0.25">
      <c r="B28" s="203" t="s">
        <v>150</v>
      </c>
      <c r="C28" s="81"/>
      <c r="D28" s="257"/>
      <c r="E28" s="148"/>
      <c r="F28" s="252"/>
      <c r="G28" s="148"/>
      <c r="H28" s="250"/>
      <c r="K28" s="148"/>
      <c r="L28" s="148"/>
      <c r="M28" s="148"/>
      <c r="N28" s="148"/>
      <c r="O28" s="148"/>
      <c r="P28" s="148"/>
      <c r="Q28" s="1"/>
      <c r="S28"/>
    </row>
    <row r="29" spans="2:19" s="2" customFormat="1" ht="15" customHeight="1" x14ac:dyDescent="0.25">
      <c r="B29" s="204" t="s">
        <v>148</v>
      </c>
      <c r="C29" s="81"/>
      <c r="D29" s="258"/>
      <c r="E29" s="148"/>
      <c r="F29" s="252"/>
      <c r="G29" s="148"/>
      <c r="H29" s="250"/>
      <c r="K29" s="148"/>
      <c r="L29" s="148"/>
      <c r="M29" s="148"/>
      <c r="N29" s="148"/>
      <c r="O29" s="148"/>
      <c r="P29" s="148"/>
      <c r="Q29" s="1"/>
      <c r="S29"/>
    </row>
    <row r="30" spans="2:19" s="2" customFormat="1" ht="15" customHeight="1" x14ac:dyDescent="0.25">
      <c r="B30" s="204"/>
      <c r="C30" s="4"/>
      <c r="D30" s="148"/>
      <c r="E30" s="148"/>
      <c r="F30" s="148"/>
      <c r="G30" s="148"/>
      <c r="H30" s="148"/>
      <c r="I30" s="148"/>
      <c r="J30" s="148"/>
      <c r="K30" s="148"/>
      <c r="L30" s="148"/>
      <c r="M30" s="148"/>
      <c r="N30" s="148"/>
      <c r="O30" s="148"/>
      <c r="P30" s="148"/>
      <c r="Q30" s="1"/>
      <c r="R30"/>
      <c r="S30"/>
    </row>
    <row r="31" spans="2:19" s="2" customFormat="1" ht="15" customHeight="1" x14ac:dyDescent="0.25">
      <c r="B31" s="203"/>
      <c r="C31" s="4"/>
      <c r="D31" s="148"/>
      <c r="E31" s="148"/>
      <c r="F31" s="148"/>
      <c r="G31" s="148"/>
      <c r="H31" s="148"/>
      <c r="I31" s="148"/>
      <c r="J31" s="148"/>
      <c r="K31" s="148"/>
      <c r="L31" s="148"/>
      <c r="M31" s="148"/>
      <c r="N31" s="148"/>
      <c r="O31" s="148"/>
      <c r="P31" s="148"/>
      <c r="Q31" s="1"/>
      <c r="R31"/>
      <c r="S31"/>
    </row>
    <row r="32" spans="2:19" s="2" customFormat="1" ht="15" customHeight="1" x14ac:dyDescent="0.25">
      <c r="B32" s="204"/>
      <c r="C32" s="4"/>
      <c r="D32" s="148"/>
      <c r="E32" s="148"/>
      <c r="F32" s="148"/>
      <c r="G32" s="148"/>
      <c r="H32" s="148"/>
      <c r="I32" s="148"/>
      <c r="J32" s="148"/>
      <c r="K32" s="148"/>
      <c r="L32" s="148"/>
      <c r="M32" s="148"/>
      <c r="N32" s="148"/>
      <c r="O32" s="148"/>
      <c r="P32" s="148"/>
      <c r="Q32" s="1"/>
      <c r="R32"/>
      <c r="S32"/>
    </row>
    <row r="33" spans="1:20" s="2" customFormat="1" ht="15" customHeight="1" x14ac:dyDescent="0.25">
      <c r="B33" s="248" t="s">
        <v>217</v>
      </c>
      <c r="C33" s="4"/>
      <c r="D33" s="148"/>
      <c r="E33" s="148"/>
      <c r="F33" s="148"/>
      <c r="G33" s="148"/>
      <c r="H33" s="148"/>
      <c r="I33" s="148"/>
      <c r="J33" s="148"/>
      <c r="K33" s="148"/>
      <c r="L33" s="148"/>
      <c r="M33" s="148"/>
      <c r="N33" s="148"/>
      <c r="O33" s="148"/>
      <c r="P33" s="148"/>
      <c r="Q33" s="1"/>
      <c r="R33"/>
      <c r="S33"/>
    </row>
    <row r="34" spans="1:20" s="2" customFormat="1" ht="15" customHeight="1" x14ac:dyDescent="0.25">
      <c r="B34" s="248"/>
      <c r="C34" s="4"/>
      <c r="E34" s="148"/>
      <c r="F34" s="148"/>
      <c r="G34" s="148"/>
      <c r="H34" s="148"/>
      <c r="I34" s="148"/>
      <c r="J34" s="148"/>
      <c r="K34" s="148"/>
      <c r="L34" s="148"/>
      <c r="M34" s="148"/>
      <c r="N34" s="148"/>
      <c r="O34" s="148"/>
      <c r="P34" s="148"/>
      <c r="Q34" s="1"/>
      <c r="R34"/>
      <c r="S34"/>
    </row>
    <row r="35" spans="1:20" ht="15" customHeight="1" x14ac:dyDescent="0.25">
      <c r="A35" s="2"/>
      <c r="B35" s="248"/>
      <c r="C35" s="4"/>
      <c r="D35"/>
      <c r="O35" s="148"/>
      <c r="P35" s="148"/>
    </row>
    <row r="36" spans="1:20" ht="15" customHeight="1" x14ac:dyDescent="0.25">
      <c r="B36" s="77"/>
      <c r="O36" s="148"/>
      <c r="P36" s="148"/>
    </row>
    <row r="37" spans="1:20" ht="15" hidden="1" customHeight="1" x14ac:dyDescent="0.25">
      <c r="B37" s="77"/>
      <c r="O37" s="148"/>
      <c r="P37" s="148"/>
    </row>
    <row r="38" spans="1:20" ht="15" hidden="1" customHeight="1" thickBot="1" x14ac:dyDescent="0.3">
      <c r="B38" s="77"/>
      <c r="R38" s="79"/>
      <c r="S38" s="79"/>
      <c r="T38" s="79"/>
    </row>
    <row r="39" spans="1:20" ht="15" hidden="1" customHeight="1" thickTop="1" x14ac:dyDescent="0.25">
      <c r="B39" s="78"/>
    </row>
    <row r="40" spans="1:20" ht="15" hidden="1" customHeight="1" x14ac:dyDescent="0.25">
      <c r="B40" s="78"/>
    </row>
    <row r="41" spans="1:20" ht="15" hidden="1" customHeight="1" x14ac:dyDescent="0.25">
      <c r="B41" s="77"/>
    </row>
    <row r="42" spans="1:20" ht="15" hidden="1" customHeight="1" x14ac:dyDescent="0.25">
      <c r="B42" s="76"/>
      <c r="C42" s="4"/>
    </row>
    <row r="43" spans="1:20" ht="15" hidden="1" customHeight="1" x14ac:dyDescent="0.25">
      <c r="B43" s="77"/>
      <c r="C43" s="4"/>
    </row>
    <row r="44" spans="1:20" ht="15" hidden="1" customHeight="1" x14ac:dyDescent="0.25">
      <c r="B44" s="78"/>
      <c r="C44" s="4"/>
    </row>
    <row r="45" spans="1:20" ht="15" hidden="1" customHeight="1" x14ac:dyDescent="0.25">
      <c r="B45" s="77"/>
      <c r="C45" s="4"/>
    </row>
    <row r="46" spans="1:20" ht="15" hidden="1" customHeight="1" x14ac:dyDescent="0.25">
      <c r="B46" s="147"/>
      <c r="C46" s="4"/>
    </row>
    <row r="47" spans="1:20" ht="15" hidden="1" customHeight="1" x14ac:dyDescent="0.25">
      <c r="B47" s="147"/>
      <c r="C47" s="4"/>
    </row>
    <row r="48" spans="1:20" ht="15" hidden="1" customHeight="1" x14ac:dyDescent="0.25">
      <c r="B48" s="149"/>
      <c r="C48" s="4"/>
    </row>
    <row r="49" spans="2:3" ht="15" hidden="1" customHeight="1" x14ac:dyDescent="0.25">
      <c r="B49" s="149"/>
      <c r="C49" s="4"/>
    </row>
    <row r="50" spans="2:3" ht="15" hidden="1" customHeight="1" x14ac:dyDescent="0.25">
      <c r="B50" s="149"/>
      <c r="C50" s="4"/>
    </row>
    <row r="51" spans="2:3" ht="15" hidden="1" customHeight="1" x14ac:dyDescent="0.25">
      <c r="B51" s="149"/>
      <c r="C51" s="4"/>
    </row>
    <row r="52" spans="2:3" ht="15" hidden="1" customHeight="1" x14ac:dyDescent="0.25">
      <c r="B52" s="149"/>
      <c r="C52" s="4"/>
    </row>
    <row r="53" spans="2:3" ht="15" hidden="1" customHeight="1" x14ac:dyDescent="0.25">
      <c r="B53" s="149"/>
      <c r="C53" s="4"/>
    </row>
    <row r="54" spans="2:3" ht="15" hidden="1" customHeight="1" x14ac:dyDescent="0.25">
      <c r="B54" s="149"/>
      <c r="C54" s="4"/>
    </row>
    <row r="55" spans="2:3" ht="15" hidden="1" customHeight="1" x14ac:dyDescent="0.25">
      <c r="B55" s="149"/>
      <c r="C55" s="4"/>
    </row>
    <row r="56" spans="2:3" ht="15" hidden="1" customHeight="1" x14ac:dyDescent="0.25">
      <c r="C56" s="4"/>
    </row>
    <row r="57" spans="2:3" ht="15" hidden="1" customHeight="1" x14ac:dyDescent="0.25"/>
    <row r="58" spans="2:3" ht="15" hidden="1" customHeight="1" x14ac:dyDescent="0.25"/>
    <row r="59" spans="2:3" ht="15" hidden="1" customHeight="1" x14ac:dyDescent="0.25"/>
    <row r="60" spans="2:3" ht="15" hidden="1" customHeight="1" x14ac:dyDescent="0.25"/>
    <row r="61" spans="2:3" ht="15" hidden="1" customHeight="1" x14ac:dyDescent="0.25"/>
    <row r="62" spans="2:3" ht="15" hidden="1" customHeight="1" x14ac:dyDescent="0.25"/>
    <row r="63" spans="2:3" ht="15" hidden="1" customHeight="1" x14ac:dyDescent="0.25"/>
    <row r="64" spans="2:3" ht="15" hidden="1" customHeight="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row r="113" ht="15" hidden="1" customHeight="1" x14ac:dyDescent="0.25"/>
    <row r="114" ht="15" hidden="1" customHeight="1" x14ac:dyDescent="0.25"/>
    <row r="115" ht="15" hidden="1" customHeight="1" x14ac:dyDescent="0.25"/>
    <row r="116" ht="15" hidden="1" customHeight="1" x14ac:dyDescent="0.25"/>
    <row r="117" ht="15" hidden="1" customHeight="1" x14ac:dyDescent="0.25"/>
    <row r="118" ht="15" hidden="1" customHeight="1" x14ac:dyDescent="0.25"/>
    <row r="119" ht="15" hidden="1" customHeight="1" x14ac:dyDescent="0.25"/>
    <row r="120" ht="15" hidden="1" customHeight="1" x14ac:dyDescent="0.25"/>
    <row r="121" ht="15" hidden="1" customHeight="1" x14ac:dyDescent="0.25"/>
    <row r="122" ht="15" hidden="1" customHeight="1" x14ac:dyDescent="0.25"/>
    <row r="123" ht="15" hidden="1" customHeight="1" x14ac:dyDescent="0.25"/>
    <row r="124" ht="15" hidden="1" customHeight="1" x14ac:dyDescent="0.25"/>
    <row r="125" ht="15" hidden="1" customHeight="1" x14ac:dyDescent="0.25"/>
    <row r="126" ht="15" hidden="1" customHeight="1" x14ac:dyDescent="0.25"/>
    <row r="127" ht="15" hidden="1" customHeight="1" x14ac:dyDescent="0.25"/>
    <row r="128" ht="15" hidden="1" customHeight="1" x14ac:dyDescent="0.25"/>
    <row r="129" ht="15" hidden="1" customHeight="1" x14ac:dyDescent="0.25"/>
    <row r="130" ht="15" hidden="1" customHeight="1" x14ac:dyDescent="0.25"/>
    <row r="131" ht="15" hidden="1" customHeight="1" x14ac:dyDescent="0.25"/>
    <row r="132" ht="15" hidden="1" customHeight="1" x14ac:dyDescent="0.25"/>
    <row r="133" ht="15" hidden="1" customHeight="1" x14ac:dyDescent="0.25"/>
    <row r="134" ht="15" hidden="1" customHeight="1" x14ac:dyDescent="0.25"/>
    <row r="135" ht="15" hidden="1" customHeight="1" x14ac:dyDescent="0.25"/>
    <row r="136" ht="15" hidden="1" customHeight="1" x14ac:dyDescent="0.25"/>
    <row r="137" ht="15" hidden="1" customHeight="1" x14ac:dyDescent="0.25"/>
    <row r="138" ht="15" hidden="1" customHeight="1" x14ac:dyDescent="0.25"/>
    <row r="139" ht="15" hidden="1" customHeight="1" x14ac:dyDescent="0.25"/>
    <row r="140" ht="15" hidden="1" customHeight="1" x14ac:dyDescent="0.25"/>
    <row r="141" ht="15" hidden="1" customHeight="1" x14ac:dyDescent="0.25"/>
    <row r="142" ht="15" hidden="1" customHeight="1" x14ac:dyDescent="0.25"/>
    <row r="143" ht="15" hidden="1" customHeight="1" x14ac:dyDescent="0.25"/>
    <row r="144" ht="15" hidden="1" customHeight="1" x14ac:dyDescent="0.25"/>
    <row r="145" ht="15" hidden="1" customHeight="1" x14ac:dyDescent="0.25"/>
    <row r="146" ht="15" hidden="1" customHeight="1" x14ac:dyDescent="0.25"/>
    <row r="147" ht="15" hidden="1" customHeight="1" x14ac:dyDescent="0.25"/>
    <row r="148" ht="15" hidden="1" customHeight="1" x14ac:dyDescent="0.25"/>
    <row r="149" ht="15" hidden="1" customHeight="1" x14ac:dyDescent="0.25"/>
    <row r="150" ht="15" hidden="1" customHeight="1" x14ac:dyDescent="0.25"/>
    <row r="151" ht="15" hidden="1" customHeight="1" x14ac:dyDescent="0.25"/>
    <row r="152" ht="15" hidden="1" customHeight="1" x14ac:dyDescent="0.25"/>
    <row r="153" ht="15" hidden="1" customHeight="1" x14ac:dyDescent="0.25"/>
    <row r="154" ht="15" hidden="1" customHeight="1" x14ac:dyDescent="0.25"/>
    <row r="155" ht="15" hidden="1" customHeight="1" x14ac:dyDescent="0.25"/>
    <row r="156" ht="15" hidden="1" customHeight="1" x14ac:dyDescent="0.25"/>
    <row r="157" ht="15" hidden="1" customHeight="1" x14ac:dyDescent="0.25"/>
    <row r="158" ht="15" hidden="1" customHeight="1" x14ac:dyDescent="0.25"/>
    <row r="159" ht="15" hidden="1" customHeight="1" x14ac:dyDescent="0.25"/>
    <row r="160" ht="15" hidden="1" customHeight="1" x14ac:dyDescent="0.25"/>
    <row r="161" ht="15" hidden="1" customHeight="1" x14ac:dyDescent="0.25"/>
    <row r="162" ht="15" hidden="1" customHeight="1" x14ac:dyDescent="0.25"/>
    <row r="163" ht="15" hidden="1" customHeight="1" x14ac:dyDescent="0.25"/>
    <row r="164" ht="15" hidden="1" customHeight="1" x14ac:dyDescent="0.25"/>
    <row r="165" ht="15" hidden="1" customHeight="1" x14ac:dyDescent="0.25"/>
    <row r="166" ht="15" hidden="1" customHeight="1" x14ac:dyDescent="0.25"/>
    <row r="167" ht="15" hidden="1" customHeight="1" x14ac:dyDescent="0.25"/>
    <row r="168" ht="15" hidden="1" customHeight="1" x14ac:dyDescent="0.25"/>
    <row r="169" ht="15" hidden="1" customHeight="1" x14ac:dyDescent="0.25"/>
    <row r="170" ht="15" hidden="1" customHeight="1" x14ac:dyDescent="0.25"/>
    <row r="171" ht="15" hidden="1" customHeight="1" x14ac:dyDescent="0.25"/>
    <row r="172" ht="15" hidden="1" customHeight="1" x14ac:dyDescent="0.25"/>
    <row r="173" ht="15" hidden="1" customHeight="1" x14ac:dyDescent="0.25"/>
    <row r="174" ht="15" hidden="1" customHeight="1" x14ac:dyDescent="0.25"/>
    <row r="175" ht="15" hidden="1" customHeight="1" x14ac:dyDescent="0.25"/>
    <row r="176" ht="15" hidden="1" customHeight="1" x14ac:dyDescent="0.25"/>
    <row r="177" ht="15" hidden="1" customHeight="1" x14ac:dyDescent="0.25"/>
    <row r="178" ht="15" hidden="1" customHeight="1" x14ac:dyDescent="0.25"/>
    <row r="179" ht="15" hidden="1" customHeight="1" x14ac:dyDescent="0.25"/>
    <row r="180" ht="15" hidden="1" customHeight="1" x14ac:dyDescent="0.25"/>
    <row r="181" ht="15" hidden="1" customHeight="1" x14ac:dyDescent="0.25"/>
    <row r="182" ht="15" hidden="1" customHeight="1" x14ac:dyDescent="0.25"/>
    <row r="183" ht="15" hidden="1" customHeight="1" x14ac:dyDescent="0.25"/>
    <row r="184" ht="15" hidden="1" customHeight="1" x14ac:dyDescent="0.25"/>
    <row r="185" ht="15" hidden="1" customHeight="1" x14ac:dyDescent="0.25"/>
    <row r="186" ht="15" hidden="1" customHeight="1" x14ac:dyDescent="0.25"/>
    <row r="187" ht="15" hidden="1" customHeight="1" x14ac:dyDescent="0.25"/>
    <row r="188" ht="15" hidden="1" customHeight="1" x14ac:dyDescent="0.25"/>
    <row r="189" ht="15" hidden="1" customHeight="1" x14ac:dyDescent="0.25"/>
    <row r="190" ht="15" hidden="1" customHeight="1" x14ac:dyDescent="0.25"/>
    <row r="191" ht="15" hidden="1" customHeight="1" x14ac:dyDescent="0.25"/>
    <row r="192" ht="15" hidden="1" customHeight="1" x14ac:dyDescent="0.25"/>
    <row r="193" ht="15" hidden="1" customHeight="1" x14ac:dyDescent="0.25"/>
    <row r="194" ht="15" hidden="1" customHeight="1" x14ac:dyDescent="0.25"/>
    <row r="195" ht="15" hidden="1" customHeight="1" x14ac:dyDescent="0.25"/>
    <row r="196" ht="15" hidden="1" customHeight="1" x14ac:dyDescent="0.25"/>
    <row r="197" ht="15" hidden="1" customHeight="1" x14ac:dyDescent="0.25"/>
    <row r="198" ht="15" hidden="1" customHeight="1" x14ac:dyDescent="0.25"/>
    <row r="199" ht="15" hidden="1" customHeight="1" x14ac:dyDescent="0.25"/>
    <row r="200" ht="15" hidden="1" customHeight="1" x14ac:dyDescent="0.25"/>
    <row r="201" ht="15" hidden="1" customHeight="1" x14ac:dyDescent="0.25"/>
    <row r="202" ht="15" hidden="1" customHeight="1" x14ac:dyDescent="0.25"/>
    <row r="203" ht="15" hidden="1" customHeight="1" x14ac:dyDescent="0.25"/>
    <row r="204" ht="15" hidden="1" customHeight="1" x14ac:dyDescent="0.25"/>
    <row r="205" ht="15" hidden="1" customHeight="1" x14ac:dyDescent="0.25"/>
    <row r="206" ht="15" hidden="1" customHeight="1" x14ac:dyDescent="0.25"/>
    <row r="207" ht="15" hidden="1" customHeight="1" x14ac:dyDescent="0.25"/>
    <row r="208" ht="15" hidden="1" customHeight="1" x14ac:dyDescent="0.25"/>
    <row r="209" ht="15" hidden="1" customHeight="1" x14ac:dyDescent="0.25"/>
    <row r="210" ht="15" hidden="1" customHeight="1" x14ac:dyDescent="0.25"/>
    <row r="211" ht="15" hidden="1" customHeight="1" x14ac:dyDescent="0.25"/>
    <row r="212" ht="15" hidden="1" customHeight="1" x14ac:dyDescent="0.25"/>
    <row r="213" ht="15" hidden="1" customHeight="1" x14ac:dyDescent="0.25"/>
    <row r="214" ht="15" hidden="1" customHeight="1" x14ac:dyDescent="0.25"/>
    <row r="215" ht="15" hidden="1" customHeight="1" x14ac:dyDescent="0.25"/>
    <row r="216" ht="15" hidden="1" customHeight="1" x14ac:dyDescent="0.25"/>
    <row r="217" ht="15" hidden="1" customHeight="1" x14ac:dyDescent="0.25"/>
    <row r="218" ht="15" hidden="1" customHeight="1" x14ac:dyDescent="0.25"/>
    <row r="219" ht="15" hidden="1" customHeight="1" x14ac:dyDescent="0.25"/>
    <row r="220" ht="15" hidden="1" customHeight="1" x14ac:dyDescent="0.25"/>
    <row r="221" ht="15" hidden="1" customHeight="1" x14ac:dyDescent="0.25"/>
    <row r="222" ht="15" hidden="1" customHeight="1" x14ac:dyDescent="0.25"/>
    <row r="223" ht="15" hidden="1" customHeight="1" x14ac:dyDescent="0.25"/>
    <row r="224" ht="15" hidden="1" customHeight="1" x14ac:dyDescent="0.25"/>
    <row r="225" ht="15" hidden="1" customHeight="1" x14ac:dyDescent="0.25"/>
    <row r="226" ht="15" hidden="1" customHeight="1" x14ac:dyDescent="0.25"/>
    <row r="227" ht="15" hidden="1" customHeight="1" x14ac:dyDescent="0.25"/>
    <row r="228" ht="15" hidden="1" customHeight="1" x14ac:dyDescent="0.25"/>
    <row r="229" ht="15" hidden="1" customHeight="1" x14ac:dyDescent="0.25"/>
    <row r="230" ht="15" hidden="1" customHeight="1" x14ac:dyDescent="0.25"/>
    <row r="231" ht="15" hidden="1" customHeight="1" x14ac:dyDescent="0.25"/>
    <row r="232" ht="15" hidden="1" customHeight="1" x14ac:dyDescent="0.25"/>
    <row r="233" ht="15" hidden="1" customHeight="1" x14ac:dyDescent="0.25"/>
    <row r="234" ht="15" hidden="1" customHeight="1" x14ac:dyDescent="0.25"/>
    <row r="235" ht="15" hidden="1" customHeight="1" x14ac:dyDescent="0.25"/>
    <row r="236" ht="15" hidden="1" customHeight="1" x14ac:dyDescent="0.25"/>
    <row r="237" ht="15" hidden="1" customHeight="1" x14ac:dyDescent="0.25"/>
    <row r="238" ht="15" hidden="1" customHeight="1" x14ac:dyDescent="0.25"/>
    <row r="239" ht="15" hidden="1" customHeight="1" x14ac:dyDescent="0.25"/>
    <row r="240" ht="15" hidden="1" customHeight="1" x14ac:dyDescent="0.25"/>
    <row r="241" ht="15" hidden="1" customHeight="1" x14ac:dyDescent="0.25"/>
    <row r="242" ht="15" hidden="1" customHeight="1" x14ac:dyDescent="0.25"/>
    <row r="243" ht="15" hidden="1" customHeight="1" x14ac:dyDescent="0.25"/>
    <row r="244" ht="15" hidden="1" customHeight="1" x14ac:dyDescent="0.25"/>
    <row r="245" ht="15" hidden="1" customHeight="1" x14ac:dyDescent="0.25"/>
    <row r="246" ht="15" hidden="1" customHeight="1" x14ac:dyDescent="0.25"/>
    <row r="247" ht="15" hidden="1" customHeight="1" x14ac:dyDescent="0.25"/>
    <row r="248" ht="15" hidden="1" customHeight="1" x14ac:dyDescent="0.25"/>
    <row r="249" ht="15" hidden="1" customHeight="1" x14ac:dyDescent="0.25"/>
    <row r="250" ht="15" hidden="1" customHeight="1" x14ac:dyDescent="0.25"/>
    <row r="251" ht="15" hidden="1" customHeight="1" x14ac:dyDescent="0.25"/>
    <row r="252" ht="15" hidden="1" customHeight="1" x14ac:dyDescent="0.25"/>
    <row r="253" ht="15" hidden="1" customHeight="1" x14ac:dyDescent="0.25"/>
    <row r="254" ht="15" hidden="1" customHeight="1" x14ac:dyDescent="0.25"/>
    <row r="255" ht="15" hidden="1" customHeight="1" x14ac:dyDescent="0.25"/>
    <row r="256" ht="15" hidden="1" customHeight="1" x14ac:dyDescent="0.25"/>
    <row r="257" ht="15" hidden="1" customHeight="1" x14ac:dyDescent="0.25"/>
    <row r="258" ht="15" hidden="1" customHeight="1" x14ac:dyDescent="0.25"/>
    <row r="259" ht="15" hidden="1" customHeight="1" x14ac:dyDescent="0.25"/>
    <row r="260" ht="15" hidden="1" customHeight="1" x14ac:dyDescent="0.25"/>
    <row r="261" ht="15" hidden="1" customHeight="1" x14ac:dyDescent="0.25"/>
    <row r="262" ht="15" hidden="1" customHeight="1" x14ac:dyDescent="0.25"/>
    <row r="263" ht="15" hidden="1" customHeight="1" x14ac:dyDescent="0.25"/>
    <row r="264" ht="15" hidden="1" customHeight="1" x14ac:dyDescent="0.25"/>
    <row r="265" ht="15" hidden="1" customHeight="1" x14ac:dyDescent="0.25"/>
    <row r="266" ht="15" hidden="1" customHeight="1" x14ac:dyDescent="0.25"/>
    <row r="267" ht="15" hidden="1" customHeight="1" x14ac:dyDescent="0.25"/>
    <row r="268" ht="15" hidden="1" customHeight="1" x14ac:dyDescent="0.25"/>
    <row r="269" ht="15" hidden="1" customHeight="1" x14ac:dyDescent="0.25"/>
    <row r="270" ht="15" hidden="1" customHeight="1" x14ac:dyDescent="0.25"/>
    <row r="271" ht="15" hidden="1" customHeight="1" x14ac:dyDescent="0.25"/>
    <row r="272" ht="15" hidden="1" customHeight="1" x14ac:dyDescent="0.25"/>
    <row r="273" ht="15" hidden="1" customHeight="1" x14ac:dyDescent="0.25"/>
    <row r="274" ht="15" hidden="1" customHeight="1" x14ac:dyDescent="0.25"/>
    <row r="275" ht="15" hidden="1" customHeight="1" x14ac:dyDescent="0.25"/>
    <row r="276" ht="15" hidden="1" customHeight="1" x14ac:dyDescent="0.25"/>
    <row r="277" ht="15" hidden="1" customHeight="1" x14ac:dyDescent="0.25"/>
    <row r="278" ht="15" hidden="1" customHeight="1" x14ac:dyDescent="0.25"/>
    <row r="279" ht="15" hidden="1" customHeight="1" x14ac:dyDescent="0.25"/>
    <row r="280" ht="15" hidden="1" customHeight="1" x14ac:dyDescent="0.25"/>
    <row r="281" ht="15" hidden="1" customHeight="1" x14ac:dyDescent="0.25"/>
    <row r="282" ht="15" hidden="1" customHeight="1" x14ac:dyDescent="0.25"/>
    <row r="283" ht="15" hidden="1" customHeight="1" x14ac:dyDescent="0.25"/>
    <row r="284" ht="15" hidden="1" customHeight="1" x14ac:dyDescent="0.25"/>
    <row r="285" ht="15" hidden="1" customHeight="1" x14ac:dyDescent="0.25"/>
    <row r="286" ht="15" hidden="1" customHeight="1" x14ac:dyDescent="0.25"/>
    <row r="287" ht="15" hidden="1" customHeight="1" x14ac:dyDescent="0.25"/>
    <row r="288" ht="15" hidden="1" customHeight="1" x14ac:dyDescent="0.25"/>
    <row r="289" ht="15" hidden="1" customHeight="1" x14ac:dyDescent="0.25"/>
    <row r="290" ht="15" hidden="1" customHeight="1" x14ac:dyDescent="0.25"/>
    <row r="291" ht="15" hidden="1" customHeight="1" x14ac:dyDescent="0.25"/>
    <row r="292" ht="15" hidden="1" customHeight="1" x14ac:dyDescent="0.25"/>
    <row r="293" ht="15" hidden="1" customHeight="1" x14ac:dyDescent="0.25"/>
    <row r="294" ht="15" hidden="1" customHeight="1" x14ac:dyDescent="0.25"/>
    <row r="295" ht="15" hidden="1" customHeight="1" x14ac:dyDescent="0.25"/>
    <row r="296" ht="15" hidden="1" customHeight="1" x14ac:dyDescent="0.25"/>
    <row r="297" ht="15" hidden="1" customHeight="1" x14ac:dyDescent="0.25"/>
    <row r="298" ht="15" hidden="1" customHeight="1" x14ac:dyDescent="0.25"/>
    <row r="299" ht="15" hidden="1" customHeight="1" x14ac:dyDescent="0.25"/>
    <row r="300" ht="15" hidden="1" customHeight="1" x14ac:dyDescent="0.25"/>
    <row r="301" ht="15" hidden="1" customHeight="1" x14ac:dyDescent="0.25"/>
    <row r="302" ht="15" hidden="1" customHeight="1" x14ac:dyDescent="0.25"/>
    <row r="303" ht="15" hidden="1" customHeight="1" x14ac:dyDescent="0.25"/>
    <row r="304" ht="15" hidden="1" customHeight="1" x14ac:dyDescent="0.25"/>
    <row r="305" ht="15" hidden="1" customHeight="1" x14ac:dyDescent="0.25"/>
    <row r="306" ht="15" hidden="1" customHeight="1" x14ac:dyDescent="0.25"/>
    <row r="307" ht="15" hidden="1" customHeight="1" x14ac:dyDescent="0.25"/>
    <row r="308" ht="15" hidden="1" customHeight="1" x14ac:dyDescent="0.25"/>
    <row r="309" ht="15" hidden="1" customHeight="1" x14ac:dyDescent="0.25"/>
    <row r="310" ht="15" hidden="1" customHeight="1" x14ac:dyDescent="0.25"/>
    <row r="311" ht="15" hidden="1" customHeight="1" x14ac:dyDescent="0.25"/>
    <row r="312" ht="15" hidden="1" customHeight="1" x14ac:dyDescent="0.25"/>
    <row r="313" ht="15" hidden="1" customHeight="1" x14ac:dyDescent="0.25"/>
    <row r="314" ht="15" hidden="1" customHeight="1" x14ac:dyDescent="0.25"/>
    <row r="315" ht="15" hidden="1" customHeight="1" x14ac:dyDescent="0.25"/>
    <row r="316" ht="15" hidden="1" customHeight="1" x14ac:dyDescent="0.25"/>
    <row r="317" ht="15" hidden="1" customHeight="1" x14ac:dyDescent="0.25"/>
    <row r="318" ht="15" hidden="1" customHeight="1" x14ac:dyDescent="0.25"/>
    <row r="319" ht="15" hidden="1" customHeight="1" x14ac:dyDescent="0.25"/>
    <row r="320" ht="15" hidden="1" customHeight="1" x14ac:dyDescent="0.25"/>
    <row r="321" ht="15" hidden="1" customHeight="1" x14ac:dyDescent="0.25"/>
    <row r="322" ht="15" hidden="1" customHeight="1" x14ac:dyDescent="0.25"/>
    <row r="323" ht="15" hidden="1" customHeight="1" x14ac:dyDescent="0.25"/>
    <row r="324" ht="15" hidden="1" customHeight="1" x14ac:dyDescent="0.25"/>
    <row r="325" ht="15" hidden="1" customHeight="1" x14ac:dyDescent="0.25"/>
    <row r="326" ht="15" hidden="1" customHeight="1" x14ac:dyDescent="0.25"/>
    <row r="327" ht="15" hidden="1" customHeight="1" x14ac:dyDescent="0.25"/>
    <row r="328" ht="15" hidden="1" customHeight="1" x14ac:dyDescent="0.25"/>
    <row r="329" ht="15" hidden="1" customHeight="1" x14ac:dyDescent="0.25"/>
    <row r="330" ht="15" hidden="1" customHeight="1" x14ac:dyDescent="0.25"/>
    <row r="331" ht="15" hidden="1" customHeight="1" x14ac:dyDescent="0.25"/>
    <row r="332" ht="15" hidden="1" customHeight="1" x14ac:dyDescent="0.25"/>
    <row r="333" ht="15" hidden="1" customHeight="1" x14ac:dyDescent="0.25"/>
    <row r="334" ht="15" hidden="1" customHeight="1" x14ac:dyDescent="0.25"/>
    <row r="335" ht="15" hidden="1" customHeight="1" x14ac:dyDescent="0.25"/>
    <row r="336" ht="15" hidden="1" customHeight="1" x14ac:dyDescent="0.25"/>
    <row r="337" ht="15" hidden="1" customHeight="1" x14ac:dyDescent="0.25"/>
    <row r="338" ht="15" hidden="1" customHeight="1" x14ac:dyDescent="0.25"/>
    <row r="339" ht="15" hidden="1" customHeight="1" x14ac:dyDescent="0.25"/>
    <row r="340" ht="15" hidden="1" customHeight="1" x14ac:dyDescent="0.25"/>
    <row r="341" ht="15" hidden="1" customHeight="1" x14ac:dyDescent="0.25"/>
    <row r="342" ht="15" hidden="1" customHeight="1" x14ac:dyDescent="0.25"/>
    <row r="343" ht="15" hidden="1" customHeight="1" x14ac:dyDescent="0.25"/>
    <row r="344" ht="15" hidden="1" customHeight="1" x14ac:dyDescent="0.25"/>
    <row r="345" ht="15" hidden="1" customHeight="1" x14ac:dyDescent="0.25"/>
    <row r="346" ht="15" hidden="1" customHeight="1" x14ac:dyDescent="0.25"/>
    <row r="347" ht="15" hidden="1" customHeight="1" x14ac:dyDescent="0.25"/>
    <row r="348" ht="15" hidden="1" customHeight="1" x14ac:dyDescent="0.25"/>
    <row r="349" ht="15" hidden="1" customHeight="1" x14ac:dyDescent="0.25"/>
    <row r="350" ht="15" hidden="1" customHeight="1" x14ac:dyDescent="0.25"/>
    <row r="351" ht="15" hidden="1" customHeight="1" x14ac:dyDescent="0.25"/>
    <row r="352" ht="15" hidden="1" customHeight="1" x14ac:dyDescent="0.25"/>
    <row r="353" ht="15" hidden="1" customHeight="1" x14ac:dyDescent="0.25"/>
    <row r="354" ht="15" hidden="1" customHeight="1" x14ac:dyDescent="0.25"/>
    <row r="355" ht="15" hidden="1" customHeight="1" x14ac:dyDescent="0.25"/>
    <row r="356" ht="15" hidden="1" customHeight="1" x14ac:dyDescent="0.25"/>
    <row r="357" ht="15" hidden="1" customHeight="1" x14ac:dyDescent="0.25"/>
    <row r="358" ht="15" hidden="1" customHeight="1" x14ac:dyDescent="0.25"/>
    <row r="359" ht="15" hidden="1" customHeight="1" x14ac:dyDescent="0.25"/>
    <row r="360" ht="15" hidden="1" customHeight="1" x14ac:dyDescent="0.25"/>
    <row r="361" ht="15" hidden="1" customHeight="1" x14ac:dyDescent="0.25"/>
    <row r="362" ht="15" hidden="1" customHeight="1" x14ac:dyDescent="0.25"/>
    <row r="363" ht="15" hidden="1" customHeight="1" x14ac:dyDescent="0.25"/>
    <row r="364" ht="15" hidden="1" customHeight="1" x14ac:dyDescent="0.25"/>
    <row r="365" ht="15" hidden="1" customHeight="1" x14ac:dyDescent="0.25"/>
    <row r="366" ht="15" hidden="1" customHeight="1" x14ac:dyDescent="0.25"/>
    <row r="367" ht="15" hidden="1" customHeight="1" x14ac:dyDescent="0.25"/>
    <row r="368" ht="15" hidden="1" customHeight="1" x14ac:dyDescent="0.25"/>
    <row r="369" ht="15" hidden="1" customHeight="1" x14ac:dyDescent="0.25"/>
    <row r="370" ht="15" hidden="1" customHeight="1" x14ac:dyDescent="0.25"/>
    <row r="371" ht="15" hidden="1" customHeight="1" x14ac:dyDescent="0.25"/>
    <row r="372" ht="15" hidden="1" customHeight="1" x14ac:dyDescent="0.25"/>
    <row r="373" ht="15" hidden="1" customHeight="1" x14ac:dyDescent="0.25"/>
    <row r="374" ht="15" hidden="1" customHeight="1" x14ac:dyDescent="0.25"/>
    <row r="375" ht="15" hidden="1" customHeight="1" x14ac:dyDescent="0.25"/>
    <row r="376" ht="15" hidden="1" customHeight="1" x14ac:dyDescent="0.25"/>
    <row r="377" ht="15" hidden="1" customHeight="1" x14ac:dyDescent="0.25"/>
    <row r="378" ht="15" hidden="1" customHeight="1" x14ac:dyDescent="0.25"/>
    <row r="379" ht="15" hidden="1" customHeight="1" x14ac:dyDescent="0.25"/>
    <row r="380" ht="15" hidden="1" customHeight="1" x14ac:dyDescent="0.25"/>
    <row r="381" ht="15" hidden="1" customHeight="1" x14ac:dyDescent="0.25"/>
    <row r="382" ht="15" hidden="1" customHeight="1" x14ac:dyDescent="0.25"/>
    <row r="383" ht="15" hidden="1" customHeight="1" x14ac:dyDescent="0.25"/>
    <row r="384" ht="15" hidden="1" customHeight="1" x14ac:dyDescent="0.25"/>
    <row r="385" ht="15" hidden="1" customHeight="1" x14ac:dyDescent="0.25"/>
    <row r="386" ht="15" hidden="1" customHeight="1" x14ac:dyDescent="0.25"/>
    <row r="387" ht="15" hidden="1" customHeight="1" x14ac:dyDescent="0.25"/>
    <row r="388" ht="15" hidden="1" customHeight="1" x14ac:dyDescent="0.25"/>
    <row r="389" ht="15" hidden="1" customHeight="1" x14ac:dyDescent="0.25"/>
    <row r="390" ht="15" hidden="1" customHeight="1" x14ac:dyDescent="0.25"/>
    <row r="391" ht="15" hidden="1" customHeight="1" x14ac:dyDescent="0.25"/>
    <row r="392" ht="15" hidden="1" customHeight="1" x14ac:dyDescent="0.25"/>
    <row r="393" ht="15" hidden="1" customHeight="1" x14ac:dyDescent="0.25"/>
    <row r="394" ht="15" hidden="1" customHeight="1" x14ac:dyDescent="0.25"/>
    <row r="395" ht="15" hidden="1" customHeight="1" x14ac:dyDescent="0.25"/>
    <row r="396" ht="15" hidden="1" customHeight="1" x14ac:dyDescent="0.25"/>
    <row r="397" ht="15" hidden="1" customHeight="1" x14ac:dyDescent="0.25"/>
    <row r="398" ht="15" hidden="1" customHeight="1" x14ac:dyDescent="0.25"/>
    <row r="399" ht="15" hidden="1" customHeight="1" x14ac:dyDescent="0.25"/>
    <row r="400" ht="15" hidden="1" customHeight="1" x14ac:dyDescent="0.25"/>
    <row r="401" ht="15" hidden="1" customHeight="1" x14ac:dyDescent="0.25"/>
    <row r="402" ht="15" hidden="1" customHeight="1" x14ac:dyDescent="0.25"/>
    <row r="403" ht="15" hidden="1" customHeight="1" x14ac:dyDescent="0.25"/>
    <row r="404" x14ac:dyDescent="0.25"/>
  </sheetData>
  <mergeCells count="27">
    <mergeCell ref="D5:D13"/>
    <mergeCell ref="L5:L6"/>
    <mergeCell ref="F16:F24"/>
    <mergeCell ref="H16:H24"/>
    <mergeCell ref="N5:N6"/>
    <mergeCell ref="F8:F9"/>
    <mergeCell ref="J11:J12"/>
    <mergeCell ref="J8:J9"/>
    <mergeCell ref="L11:L12"/>
    <mergeCell ref="H8:H9"/>
    <mergeCell ref="F5:F6"/>
    <mergeCell ref="B33:B35"/>
    <mergeCell ref="P5:P6"/>
    <mergeCell ref="H27:H29"/>
    <mergeCell ref="H5:H6"/>
    <mergeCell ref="F27:F29"/>
    <mergeCell ref="N11:N12"/>
    <mergeCell ref="P8:P9"/>
    <mergeCell ref="P11:P12"/>
    <mergeCell ref="H11:H12"/>
    <mergeCell ref="L8:L9"/>
    <mergeCell ref="N8:N9"/>
    <mergeCell ref="J5:J6"/>
    <mergeCell ref="F11:F12"/>
    <mergeCell ref="D16:D24"/>
    <mergeCell ref="B10:B16"/>
    <mergeCell ref="D27:D29"/>
  </mergeCells>
  <hyperlinks>
    <hyperlink ref="D5:D13" location="'Stock Guide'!A1" display="'Stock Guide'!A1" xr:uid="{6DBA4E20-418D-4D3A-9AB1-2F7312178A07}"/>
    <hyperlink ref="F5:F6" location="Segmentos!A1" display="Comparativo Setorial" xr:uid="{1538D495-56C2-4C64-A9CE-D39BECFF0FE8}"/>
    <hyperlink ref="H5:H6" location="FIAgro!A1" display="Indicadores de Fiagros" xr:uid="{054EA28D-0293-4596-82CE-1C808101DCF0}"/>
    <hyperlink ref="L5:L6" location="'Recebível (CRI)'!A1" display="Recebíveis" xr:uid="{21EEFF69-5848-43D9-BAB4-66915EA58E7B}"/>
    <hyperlink ref="P5:P6" location="'Laje Corporativa'!A1" display="Lajes Corporativas" xr:uid="{F1D50A54-6B89-4FA3-9034-EA8ACFD5B7F9}"/>
    <hyperlink ref="N5:N6" location="'Galpão Logístico'!A1" display="Galpões Logísticos" xr:uid="{4FD1D5C4-7FB0-4DE3-91E1-B5905E8A557F}"/>
    <hyperlink ref="F8:F9" location="'Shopping Center'!A1" display="Shopping Centers" xr:uid="{84269293-8585-402C-A6E0-38A96D129B84}"/>
    <hyperlink ref="H8:H9" location="Híbrido!A1" display="Híbridos" xr:uid="{446A9285-4052-4831-95A6-DBA844325248}"/>
    <hyperlink ref="J8:J9" location="Educacional!A1" display="Educacional" xr:uid="{F82F6FAD-8C97-49BD-89F6-2784578C4218}"/>
    <hyperlink ref="L8:L9" location="Hospital!A1" display="Hospital" xr:uid="{2D12F6CE-3159-423D-8490-2862DDB76D87}"/>
    <hyperlink ref="N8:N9" location="Residencial!A1" display="Residencial" xr:uid="{6194D802-CF3E-45AD-B5B5-D0C9E41181FE}"/>
    <hyperlink ref="P8:P9" location="'Fundo de Fundos'!A1" display="Fundo de Fundos" xr:uid="{259F7D66-1FC0-43F1-802E-B91EC1A1C0B7}"/>
    <hyperlink ref="H11:H12" location="Agro!A1" display="Agronegócio" xr:uid="{F8DDA752-32E8-495F-9C3F-32C913E46F72}"/>
    <hyperlink ref="J11:J12" location="Desenvolvimento!A1" display="Desenvolvimento" xr:uid="{7CC78F8D-3DE6-4BA9-A0FD-B95F50DA9A1E}"/>
    <hyperlink ref="L11:L12" location="Hotel!A1" display="Hotel" xr:uid="{6A8AA390-E499-4E75-8899-DD259D77D8FC}"/>
    <hyperlink ref="P11:P12" location="Outros!A1" display="Outros" xr:uid="{140C6AED-CF71-4BDE-A53D-FF4F6DCD22DA}"/>
    <hyperlink ref="H27:H29" location="Disclaimer!A1" display="Disclaimer" xr:uid="{C3BF03FD-AAD8-4CFD-A584-F665939BB4CD}"/>
    <hyperlink ref="N11:N12" location="'Renda Urbana'!A1" display="Renda Urbana" xr:uid="{249ACE90-C196-4CA6-9FC1-FB5BD8CD7927}"/>
    <hyperlink ref="J5:J6" location="'FI-Infra'!A1" display="Indicadores de FI-Infras" xr:uid="{88EF01FA-E612-47F1-BEFE-4E3E0C73C675}"/>
    <hyperlink ref="F11:F12" location="'Hedge Funds'!A1" display="Hedge Funds" xr:uid="{8212C00C-D1B1-409A-9783-7179070C1501}"/>
    <hyperlink ref="D16:D24" location="'Simulador de Carteiras (%)'!A1" display="Simulador de Carteira (%)" xr:uid="{714CAEBD-AD0A-4C97-9CAF-FA9142CB5369}"/>
    <hyperlink ref="F16:F24" location="'Simulador de Carteiras (R$)'!A1" display="Simulador de Carteira (R$)" xr:uid="{14029BF1-DE07-4902-9DE5-D03887792503}"/>
    <hyperlink ref="H16:H24" location="'Simulador de Aportes (R$)'!A1" display="Simulador de Aporte (R$)" xr:uid="{D37A91FE-5EA6-410B-8C09-DCD8225CA0F0}"/>
    <hyperlink ref="D27:D29" r:id="rId1" display="Acesse nosso site" xr:uid="{AA19D931-0241-41C6-B4D3-F456B6ACC529}"/>
    <hyperlink ref="F27:F29" location="'Glossário e Fórmulas'!A1" display="Glossário" xr:uid="{39281DF1-DE60-40F9-A52E-61E6ED6C64C9}"/>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8101-891A-460A-AA74-515E21D661B5}">
  <sheetPr codeName="Planilha1">
    <tabColor rgb="FF00447C"/>
  </sheetPr>
  <dimension ref="A1:Z1264"/>
  <sheetViews>
    <sheetView showGridLines="0" zoomScale="90" zoomScaleNormal="90" workbookViewId="0">
      <pane xSplit="2" ySplit="5" topLeftCell="C6" activePane="bottomRight" state="frozen"/>
      <selection activeCell="D5" sqref="D5:D13"/>
      <selection pane="topRight" activeCell="D5" sqref="D5:D13"/>
      <selection pane="bottomLeft" activeCell="D5" sqref="D5:D13"/>
      <selection pane="bottomRight" activeCell="B5" sqref="B5"/>
    </sheetView>
  </sheetViews>
  <sheetFormatPr defaultColWidth="0" defaultRowHeight="12.75" zeroHeight="1" x14ac:dyDescent="0.25"/>
  <cols>
    <col min="1" max="1" width="0.5703125" style="23" customWidth="1"/>
    <col min="2" max="2" width="13.28515625" style="85" customWidth="1"/>
    <col min="3" max="3" width="22.85546875" style="85" customWidth="1"/>
    <col min="4" max="4" width="48" style="85" bestFit="1" customWidth="1"/>
    <col min="5" max="5" width="36.5703125" style="85" customWidth="1"/>
    <col min="6" max="6" width="22.42578125" style="85" customWidth="1"/>
    <col min="7" max="7" width="19.42578125" style="85" customWidth="1"/>
    <col min="8" max="8" width="9" style="85" bestFit="1" customWidth="1"/>
    <col min="9" max="9" width="23.140625" style="240" bestFit="1" customWidth="1"/>
    <col min="10" max="10" width="12.140625" style="238" bestFit="1" customWidth="1"/>
    <col min="11" max="11" width="11.140625" style="238" bestFit="1" customWidth="1"/>
    <col min="12" max="12" width="8.85546875" style="239" bestFit="1" customWidth="1"/>
    <col min="13" max="13" width="17.42578125" style="238" bestFit="1" customWidth="1"/>
    <col min="14" max="14" width="17.42578125" style="240" bestFit="1" customWidth="1"/>
    <col min="15" max="15" width="10.42578125" style="238" bestFit="1" customWidth="1"/>
    <col min="16" max="16" width="10.5703125" style="238" bestFit="1" customWidth="1"/>
    <col min="17" max="17" width="12" style="238" customWidth="1"/>
    <col min="18" max="19" width="16" style="238" bestFit="1" customWidth="1"/>
    <col min="20" max="20" width="16" style="241" customWidth="1"/>
    <col min="21" max="23" width="11.42578125" style="238" customWidth="1"/>
    <col min="24" max="24" width="12.5703125" style="240" customWidth="1"/>
    <col min="25" max="25" width="0.5703125" style="23" customWidth="1"/>
    <col min="26" max="26" width="0" style="23" hidden="1" customWidth="1"/>
    <col min="27" max="16384" width="9.140625" style="23" hidden="1"/>
  </cols>
  <sheetData>
    <row r="1" spans="2:24" ht="3" customHeight="1" thickBot="1" x14ac:dyDescent="0.3">
      <c r="B1" s="23"/>
      <c r="C1" s="23"/>
      <c r="D1" s="23"/>
      <c r="E1" s="23"/>
      <c r="F1" s="23"/>
      <c r="G1" s="23"/>
      <c r="H1" s="23"/>
      <c r="I1" s="220"/>
      <c r="J1" s="220"/>
      <c r="K1" s="220"/>
      <c r="L1" s="220"/>
      <c r="M1" s="220"/>
      <c r="N1" s="220"/>
      <c r="O1" s="220"/>
      <c r="P1" s="220"/>
      <c r="Q1" s="220"/>
      <c r="R1" s="220"/>
      <c r="S1" s="220"/>
      <c r="T1" s="221"/>
      <c r="U1" s="220"/>
      <c r="V1" s="220"/>
      <c r="W1" s="220"/>
      <c r="X1" s="220"/>
    </row>
    <row r="2" spans="2:24" ht="18" customHeight="1" thickBot="1" x14ac:dyDescent="0.3">
      <c r="B2" s="23"/>
      <c r="C2" s="23"/>
      <c r="D2" s="96" t="s">
        <v>57</v>
      </c>
      <c r="E2" s="24"/>
      <c r="F2" s="24"/>
      <c r="G2" s="23"/>
      <c r="H2" s="23"/>
      <c r="I2" s="96" t="s">
        <v>57</v>
      </c>
      <c r="J2" s="220"/>
      <c r="K2" s="220"/>
      <c r="L2" s="211"/>
      <c r="M2" s="220"/>
      <c r="N2" s="220"/>
      <c r="O2" s="220"/>
      <c r="P2" s="220"/>
      <c r="Q2" s="222"/>
      <c r="R2" s="222"/>
      <c r="S2" s="222"/>
      <c r="T2" s="223"/>
      <c r="U2" s="224"/>
      <c r="V2" s="224"/>
      <c r="W2" s="224"/>
      <c r="X2" s="220"/>
    </row>
    <row r="3" spans="2:24" ht="16.5" customHeight="1" thickBot="1" x14ac:dyDescent="0.3">
      <c r="B3" s="23"/>
      <c r="C3" s="23"/>
      <c r="D3" s="23"/>
      <c r="E3" s="23"/>
      <c r="F3" s="23"/>
      <c r="G3" s="23"/>
      <c r="H3" s="23"/>
      <c r="I3" s="220"/>
      <c r="J3" s="220"/>
      <c r="K3" s="220"/>
      <c r="L3" s="220"/>
      <c r="M3" s="220"/>
      <c r="N3" s="220"/>
      <c r="O3" s="220"/>
      <c r="P3" s="220"/>
      <c r="Q3" s="224"/>
      <c r="R3" s="220"/>
      <c r="S3" s="220"/>
      <c r="T3" s="221"/>
      <c r="U3" s="262" t="s">
        <v>0</v>
      </c>
      <c r="V3" s="262"/>
      <c r="W3" s="262"/>
      <c r="X3" s="220"/>
    </row>
    <row r="4" spans="2:24" ht="15.75" customHeight="1" x14ac:dyDescent="0.25">
      <c r="B4" s="88"/>
      <c r="C4" s="88"/>
      <c r="D4" s="88"/>
      <c r="E4" s="88" t="s">
        <v>1</v>
      </c>
      <c r="F4" s="88"/>
      <c r="G4" s="89"/>
      <c r="H4" s="90" t="s">
        <v>2</v>
      </c>
      <c r="I4" s="90" t="s">
        <v>47</v>
      </c>
      <c r="J4" s="90" t="s">
        <v>3</v>
      </c>
      <c r="K4" s="263" t="s">
        <v>4</v>
      </c>
      <c r="L4" s="264"/>
      <c r="M4" s="90" t="s">
        <v>5</v>
      </c>
      <c r="N4" s="90" t="s">
        <v>6</v>
      </c>
      <c r="O4" s="91" t="s">
        <v>7</v>
      </c>
      <c r="P4" s="92"/>
      <c r="Q4" s="91" t="s">
        <v>8</v>
      </c>
      <c r="R4" s="92"/>
      <c r="S4" s="92"/>
      <c r="T4" s="93"/>
      <c r="U4" s="90" t="s">
        <v>9</v>
      </c>
      <c r="V4" s="90" t="s">
        <v>10</v>
      </c>
      <c r="W4" s="90" t="s">
        <v>40</v>
      </c>
      <c r="X4" s="90" t="s">
        <v>237</v>
      </c>
    </row>
    <row r="5" spans="2:24" s="66" customFormat="1" ht="15.75" customHeight="1" x14ac:dyDescent="0.25">
      <c r="B5" s="187" t="s">
        <v>11</v>
      </c>
      <c r="C5" s="187" t="s">
        <v>236</v>
      </c>
      <c r="D5" s="94" t="s">
        <v>12</v>
      </c>
      <c r="E5" s="94" t="s">
        <v>13</v>
      </c>
      <c r="F5" s="94" t="s">
        <v>39</v>
      </c>
      <c r="G5" s="94" t="s">
        <v>14</v>
      </c>
      <c r="H5" s="94" t="s">
        <v>15</v>
      </c>
      <c r="I5" s="94" t="s">
        <v>48</v>
      </c>
      <c r="J5" s="94" t="s">
        <v>16</v>
      </c>
      <c r="K5" s="94" t="s">
        <v>17</v>
      </c>
      <c r="L5" s="94" t="s">
        <v>15</v>
      </c>
      <c r="M5" s="94" t="s">
        <v>16</v>
      </c>
      <c r="N5" s="94" t="s">
        <v>17</v>
      </c>
      <c r="O5" s="94" t="s">
        <v>18</v>
      </c>
      <c r="P5" s="94">
        <v>2025</v>
      </c>
      <c r="Q5" s="94" t="s">
        <v>40</v>
      </c>
      <c r="R5" s="94" t="s">
        <v>104</v>
      </c>
      <c r="S5" s="94" t="s">
        <v>130</v>
      </c>
      <c r="T5" s="95" t="s">
        <v>110</v>
      </c>
      <c r="U5" s="94" t="s">
        <v>15</v>
      </c>
      <c r="V5" s="94" t="s">
        <v>15</v>
      </c>
      <c r="W5" s="94" t="s">
        <v>15</v>
      </c>
      <c r="X5" s="94" t="s">
        <v>44</v>
      </c>
    </row>
    <row r="6" spans="2:24" ht="14.25" customHeight="1" x14ac:dyDescent="0.25">
      <c r="B6" s="82" t="s">
        <v>265</v>
      </c>
      <c r="C6" s="242">
        <v>44625826000111</v>
      </c>
      <c r="D6" s="83" t="s">
        <v>266</v>
      </c>
      <c r="E6" s="83" t="s">
        <v>267</v>
      </c>
      <c r="F6" s="83" t="s">
        <v>268</v>
      </c>
      <c r="G6" s="83" t="s">
        <v>126</v>
      </c>
      <c r="H6" s="243" t="s">
        <v>44</v>
      </c>
      <c r="I6" s="227">
        <v>383825.04862000002</v>
      </c>
      <c r="J6" s="225">
        <v>6.31</v>
      </c>
      <c r="K6" s="225">
        <v>8.0364232640999997</v>
      </c>
      <c r="L6" s="226">
        <v>0.78517516967875356</v>
      </c>
      <c r="M6" s="227">
        <v>151675262.03999999</v>
      </c>
      <c r="N6" s="227">
        <v>207648492.97</v>
      </c>
      <c r="O6" s="228">
        <v>0.73044239267</v>
      </c>
      <c r="P6" s="228">
        <v>1.0183375272999999</v>
      </c>
      <c r="Q6" s="229">
        <v>0.20166402536</v>
      </c>
      <c r="R6" s="229">
        <v>0.17115689381933441</v>
      </c>
      <c r="S6" s="229">
        <v>1.4263074484944533E-2</v>
      </c>
      <c r="T6" s="230">
        <v>0.09</v>
      </c>
      <c r="U6" s="231">
        <v>-4.9698795180999997E-2</v>
      </c>
      <c r="V6" s="231">
        <v>-0.20007913465999999</v>
      </c>
      <c r="W6" s="231">
        <v>-7.9482423980000005E-3</v>
      </c>
      <c r="X6" s="232" t="str">
        <f>IF(OR(B6="",G6="FI-Infra"),"",HYPERLINK("https://content.btgpactual.com/research/ativo/https://content.btgpactual.com/research/ativo/"&amp;B6,"Link"))</f>
        <v>Link</v>
      </c>
    </row>
    <row r="7" spans="2:24" ht="14.25" customHeight="1" x14ac:dyDescent="0.25">
      <c r="B7" s="82" t="s">
        <v>336</v>
      </c>
      <c r="C7" s="242">
        <v>1201140000190</v>
      </c>
      <c r="D7" s="83" t="s">
        <v>337</v>
      </c>
      <c r="E7" s="83" t="s">
        <v>257</v>
      </c>
      <c r="F7" s="83" t="s">
        <v>257</v>
      </c>
      <c r="G7" s="83" t="s">
        <v>61</v>
      </c>
      <c r="H7" s="243">
        <v>0</v>
      </c>
      <c r="I7" s="227">
        <v>56028.050153999997</v>
      </c>
      <c r="J7" s="225">
        <v>74</v>
      </c>
      <c r="K7" s="225">
        <v>81.165236335000003</v>
      </c>
      <c r="L7" s="226">
        <v>0.91172037859378208</v>
      </c>
      <c r="M7" s="227">
        <v>348472068</v>
      </c>
      <c r="N7" s="227">
        <v>521436008.45999998</v>
      </c>
      <c r="O7" s="228">
        <v>0.66829306443406422</v>
      </c>
      <c r="P7" s="228">
        <v>0.71951993708999995</v>
      </c>
      <c r="Q7" s="229">
        <v>9.5945945946000005E-2</v>
      </c>
      <c r="R7" s="229">
        <v>8.9189189189189194E-2</v>
      </c>
      <c r="S7" s="229">
        <v>7.4324324324324328E-3</v>
      </c>
      <c r="T7" s="230">
        <v>0.55000000000000004</v>
      </c>
      <c r="U7" s="231">
        <v>1.2035010941000001E-2</v>
      </c>
      <c r="V7" s="231">
        <v>-2.1690115094000002E-2</v>
      </c>
      <c r="W7" s="231">
        <v>-4.0048698756999998E-2</v>
      </c>
      <c r="X7" s="232" t="str">
        <f t="shared" ref="X7:X70" si="0">IF(OR(B7="",G7="FI-Infra"),"",HYPERLINK("https://content.btgpactual.com/research/ativo/https://content.btgpactual.com/research/ativo/"&amp;B7,"Link"))</f>
        <v>Link</v>
      </c>
    </row>
    <row r="8" spans="2:24" ht="14.25" customHeight="1" x14ac:dyDescent="0.25">
      <c r="B8" s="82" t="s">
        <v>782</v>
      </c>
      <c r="C8" s="242">
        <v>63375304000153</v>
      </c>
      <c r="D8" s="83" t="s">
        <v>44</v>
      </c>
      <c r="E8" s="83" t="s">
        <v>228</v>
      </c>
      <c r="F8" s="83" t="s">
        <v>357</v>
      </c>
      <c r="G8" s="83" t="s">
        <v>61</v>
      </c>
      <c r="H8" s="243">
        <v>0</v>
      </c>
      <c r="I8" s="227">
        <v>17169251.331</v>
      </c>
      <c r="J8" s="225">
        <v>10.84</v>
      </c>
      <c r="K8" s="225">
        <v>0</v>
      </c>
      <c r="L8" s="226"/>
      <c r="M8" s="227">
        <v>509178171.04000002</v>
      </c>
      <c r="N8" s="227">
        <v>468469713.49000001</v>
      </c>
      <c r="O8" s="228">
        <v>1.0868966688299455</v>
      </c>
      <c r="P8" s="228" t="s">
        <v>44</v>
      </c>
      <c r="Q8" s="229" t="s">
        <v>44</v>
      </c>
      <c r="R8" s="229">
        <v>2.2140221402214024E-2</v>
      </c>
      <c r="S8" s="229">
        <v>1.845018450184502E-3</v>
      </c>
      <c r="T8" s="230">
        <v>0.02</v>
      </c>
      <c r="U8" s="231">
        <v>5.5504446481999996E-3</v>
      </c>
      <c r="V8" s="231" t="s">
        <v>44</v>
      </c>
      <c r="W8" s="231" t="s">
        <v>44</v>
      </c>
      <c r="X8" s="232" t="str">
        <f t="shared" si="0"/>
        <v>Link</v>
      </c>
    </row>
    <row r="9" spans="2:24" ht="14.25" customHeight="1" x14ac:dyDescent="0.25">
      <c r="B9" s="82" t="s">
        <v>338</v>
      </c>
      <c r="C9" s="242">
        <v>60077386000161</v>
      </c>
      <c r="D9" s="83" t="s">
        <v>44</v>
      </c>
      <c r="E9" s="83" t="s">
        <v>787</v>
      </c>
      <c r="F9" s="83" t="s">
        <v>167</v>
      </c>
      <c r="G9" s="83" t="s">
        <v>179</v>
      </c>
      <c r="H9" s="243">
        <v>0</v>
      </c>
      <c r="I9" s="227">
        <v>89403.424769000005</v>
      </c>
      <c r="J9" s="225">
        <v>10</v>
      </c>
      <c r="K9" s="225">
        <v>10.02</v>
      </c>
      <c r="L9" s="226">
        <v>0.99800399201596812</v>
      </c>
      <c r="M9" s="227">
        <v>50000000</v>
      </c>
      <c r="N9" s="227">
        <v>51025265.810000002</v>
      </c>
      <c r="O9" s="228">
        <v>0.97990670320429629</v>
      </c>
      <c r="P9" s="228">
        <v>0.97724500566000005</v>
      </c>
      <c r="Q9" s="229">
        <v>0.1615</v>
      </c>
      <c r="R9" s="229">
        <v>0.14400000000000002</v>
      </c>
      <c r="S9" s="229">
        <v>1.2E-2</v>
      </c>
      <c r="T9" s="230">
        <v>0.12</v>
      </c>
      <c r="U9" s="231">
        <v>1.1134614373E-2</v>
      </c>
      <c r="V9" s="231">
        <v>0.11479339528</v>
      </c>
      <c r="W9" s="231">
        <v>0.17553394033</v>
      </c>
      <c r="X9" s="232" t="str">
        <f t="shared" si="0"/>
        <v>Link</v>
      </c>
    </row>
    <row r="10" spans="2:24" ht="14.25" customHeight="1" x14ac:dyDescent="0.25">
      <c r="B10" s="82" t="s">
        <v>339</v>
      </c>
      <c r="C10" s="242">
        <v>36642293000158</v>
      </c>
      <c r="D10" s="83" t="s">
        <v>340</v>
      </c>
      <c r="E10" s="83" t="s">
        <v>787</v>
      </c>
      <c r="F10" s="83" t="s">
        <v>119</v>
      </c>
      <c r="G10" s="83" t="s">
        <v>64</v>
      </c>
      <c r="H10" s="243">
        <v>3.5400000000000002E-3</v>
      </c>
      <c r="I10" s="227">
        <v>681268.42523000005</v>
      </c>
      <c r="J10" s="225">
        <v>93.15</v>
      </c>
      <c r="K10" s="225">
        <v>93.952840425000005</v>
      </c>
      <c r="L10" s="226">
        <v>0.99145485733727357</v>
      </c>
      <c r="M10" s="227">
        <v>492652744.64999998</v>
      </c>
      <c r="N10" s="227">
        <v>503539844.43000001</v>
      </c>
      <c r="O10" s="228">
        <v>0.97837887130396983</v>
      </c>
      <c r="P10" s="228">
        <v>1.0130099168</v>
      </c>
      <c r="Q10" s="229">
        <v>0.12946859902999999</v>
      </c>
      <c r="R10" s="229">
        <v>0.1288244766505636</v>
      </c>
      <c r="S10" s="229">
        <v>1.0735373054213633E-2</v>
      </c>
      <c r="T10" s="230">
        <v>1</v>
      </c>
      <c r="U10" s="231">
        <v>-2.6197980332999999E-3</v>
      </c>
      <c r="V10" s="231">
        <v>5.8189061277999998E-2</v>
      </c>
      <c r="W10" s="231">
        <v>0.16238601818000001</v>
      </c>
      <c r="X10" s="232" t="str">
        <f t="shared" si="0"/>
        <v>Link</v>
      </c>
    </row>
    <row r="11" spans="2:24" ht="14.25" customHeight="1" x14ac:dyDescent="0.25">
      <c r="B11" s="82" t="s">
        <v>269</v>
      </c>
      <c r="C11" s="242">
        <v>43951911000107</v>
      </c>
      <c r="D11" s="83" t="s">
        <v>270</v>
      </c>
      <c r="E11" s="83" t="s">
        <v>271</v>
      </c>
      <c r="F11" s="83" t="s">
        <v>225</v>
      </c>
      <c r="G11" s="83" t="s">
        <v>126</v>
      </c>
      <c r="H11" s="243" t="s">
        <v>44</v>
      </c>
      <c r="I11" s="227">
        <v>274096.55385000003</v>
      </c>
      <c r="J11" s="225">
        <v>7.81</v>
      </c>
      <c r="K11" s="225">
        <v>8.5693506498000005</v>
      </c>
      <c r="L11" s="226">
        <v>0.91138760906957128</v>
      </c>
      <c r="M11" s="227" t="s">
        <v>44</v>
      </c>
      <c r="N11" s="227">
        <v>188986046.13999999</v>
      </c>
      <c r="O11" s="228" t="s">
        <v>44</v>
      </c>
      <c r="P11" s="228" t="s">
        <v>44</v>
      </c>
      <c r="Q11" s="229">
        <v>0.18693982074000001</v>
      </c>
      <c r="R11" s="229">
        <v>0.18437900128040974</v>
      </c>
      <c r="S11" s="229">
        <v>1.5364916773367477E-2</v>
      </c>
      <c r="T11" s="230">
        <v>0.12</v>
      </c>
      <c r="U11" s="231">
        <v>-9.0326633162E-3</v>
      </c>
      <c r="V11" s="231">
        <v>4.1360237624999997E-2</v>
      </c>
      <c r="W11" s="231">
        <v>0.16925284357000001</v>
      </c>
      <c r="X11" s="232" t="str">
        <f t="shared" si="0"/>
        <v>Link</v>
      </c>
    </row>
    <row r="12" spans="2:24" ht="14.25" customHeight="1" x14ac:dyDescent="0.25">
      <c r="B12" s="82" t="s">
        <v>341</v>
      </c>
      <c r="C12" s="242">
        <v>35765826000126</v>
      </c>
      <c r="D12" s="83" t="s">
        <v>342</v>
      </c>
      <c r="E12" s="83" t="s">
        <v>44</v>
      </c>
      <c r="F12" s="83" t="s">
        <v>343</v>
      </c>
      <c r="G12" s="83" t="s">
        <v>63</v>
      </c>
      <c r="H12" s="243">
        <v>0</v>
      </c>
      <c r="I12" s="227">
        <v>293365.46892000001</v>
      </c>
      <c r="J12" s="225">
        <v>64.599999999999994</v>
      </c>
      <c r="K12" s="225">
        <v>64.599999999999994</v>
      </c>
      <c r="L12" s="226">
        <v>1</v>
      </c>
      <c r="M12" s="227">
        <v>311694160.19999999</v>
      </c>
      <c r="N12" s="227">
        <v>365706454.52999997</v>
      </c>
      <c r="O12" s="228">
        <v>0.85230697008228717</v>
      </c>
      <c r="P12" s="228">
        <v>0.68757596225999995</v>
      </c>
      <c r="Q12" s="229">
        <v>6.4396284829999997E-2</v>
      </c>
      <c r="R12" s="229">
        <v>7.058823529411766E-2</v>
      </c>
      <c r="S12" s="229">
        <v>5.8823529411764714E-3</v>
      </c>
      <c r="T12" s="230">
        <v>0.38</v>
      </c>
      <c r="U12" s="231">
        <v>6.5654899372000003E-2</v>
      </c>
      <c r="V12" s="231">
        <v>0.27851466398000002</v>
      </c>
      <c r="W12" s="231">
        <v>0.50746661768000001</v>
      </c>
      <c r="X12" s="232" t="str">
        <f t="shared" si="0"/>
        <v>Link</v>
      </c>
    </row>
    <row r="13" spans="2:24" ht="14.25" customHeight="1" x14ac:dyDescent="0.25">
      <c r="B13" s="82" t="s">
        <v>344</v>
      </c>
      <c r="C13" s="242">
        <v>51472985000199</v>
      </c>
      <c r="D13" s="83" t="s">
        <v>345</v>
      </c>
      <c r="E13" s="83" t="s">
        <v>228</v>
      </c>
      <c r="F13" s="83" t="s">
        <v>268</v>
      </c>
      <c r="G13" s="83" t="s">
        <v>61</v>
      </c>
      <c r="H13" s="243">
        <v>0</v>
      </c>
      <c r="I13" s="227">
        <v>934554.58291999996</v>
      </c>
      <c r="J13" s="225">
        <v>8.3000000000000007</v>
      </c>
      <c r="K13" s="225">
        <v>8.3822129208000007</v>
      </c>
      <c r="L13" s="226">
        <v>0.9901919789467537</v>
      </c>
      <c r="M13" s="227">
        <v>279095617.39999998</v>
      </c>
      <c r="N13" s="227">
        <v>351547711.27999997</v>
      </c>
      <c r="O13" s="228">
        <v>0.79390537456153853</v>
      </c>
      <c r="P13" s="228">
        <v>0.72528443494000006</v>
      </c>
      <c r="Q13" s="229">
        <v>7.2650602410000001E-2</v>
      </c>
      <c r="R13" s="229">
        <v>8.3855421686746992E-2</v>
      </c>
      <c r="S13" s="229">
        <v>6.9879518072289157E-3</v>
      </c>
      <c r="T13" s="230">
        <v>5.8000000000000003E-2</v>
      </c>
      <c r="U13" s="231">
        <v>2.3157677995000001E-2</v>
      </c>
      <c r="V13" s="231">
        <v>8.3783367982000007E-2</v>
      </c>
      <c r="W13" s="231">
        <v>0.19234407625</v>
      </c>
      <c r="X13" s="232" t="str">
        <f t="shared" si="0"/>
        <v>Link</v>
      </c>
    </row>
    <row r="14" spans="2:24" ht="14.25" customHeight="1" x14ac:dyDescent="0.25">
      <c r="B14" s="82" t="s">
        <v>346</v>
      </c>
      <c r="C14" s="242">
        <v>40011324000140</v>
      </c>
      <c r="D14" s="83" t="s">
        <v>347</v>
      </c>
      <c r="E14" s="83" t="s">
        <v>348</v>
      </c>
      <c r="F14" s="83" t="s">
        <v>119</v>
      </c>
      <c r="G14" s="83" t="s">
        <v>64</v>
      </c>
      <c r="H14" s="243">
        <v>0</v>
      </c>
      <c r="I14" s="227">
        <v>225645.14292000001</v>
      </c>
      <c r="J14" s="225">
        <v>7.47</v>
      </c>
      <c r="K14" s="225">
        <v>7.47</v>
      </c>
      <c r="L14" s="226">
        <v>1</v>
      </c>
      <c r="M14" s="227">
        <v>181895725.08000001</v>
      </c>
      <c r="N14" s="227">
        <v>222824289.16</v>
      </c>
      <c r="O14" s="228">
        <v>0.81631910850342249</v>
      </c>
      <c r="P14" s="228">
        <v>0.82419992142999998</v>
      </c>
      <c r="Q14" s="229">
        <v>0.16291834003</v>
      </c>
      <c r="R14" s="229">
        <v>0.16064257028112452</v>
      </c>
      <c r="S14" s="229">
        <v>1.3386880856760376E-2</v>
      </c>
      <c r="T14" s="230">
        <v>0.1</v>
      </c>
      <c r="U14" s="231">
        <v>1.9347240916E-2</v>
      </c>
      <c r="V14" s="231">
        <v>7.2841591750999996E-2</v>
      </c>
      <c r="W14" s="231">
        <v>0.16597329286000001</v>
      </c>
      <c r="X14" s="232" t="str">
        <f t="shared" si="0"/>
        <v>Link</v>
      </c>
    </row>
    <row r="15" spans="2:24" ht="14.25" customHeight="1" x14ac:dyDescent="0.25">
      <c r="B15" s="82" t="s">
        <v>349</v>
      </c>
      <c r="C15" s="242">
        <v>28737771000185</v>
      </c>
      <c r="D15" s="83" t="s">
        <v>350</v>
      </c>
      <c r="E15" s="83" t="s">
        <v>348</v>
      </c>
      <c r="F15" s="83" t="s">
        <v>119</v>
      </c>
      <c r="G15" s="83" t="s">
        <v>19</v>
      </c>
      <c r="H15" s="243">
        <v>1.1610000000000001E-2</v>
      </c>
      <c r="I15" s="227">
        <v>3349769.8029</v>
      </c>
      <c r="J15" s="225">
        <v>9.9700000000000006</v>
      </c>
      <c r="K15" s="225">
        <v>10.348440724</v>
      </c>
      <c r="L15" s="226">
        <v>0.96343016942423765</v>
      </c>
      <c r="M15" s="227">
        <v>1639511675</v>
      </c>
      <c r="N15" s="227">
        <v>1773014664.8</v>
      </c>
      <c r="O15" s="228">
        <v>0.92470282821092209</v>
      </c>
      <c r="P15" s="228">
        <v>1.0121542992000001</v>
      </c>
      <c r="Q15" s="229">
        <v>0.10076228685999999</v>
      </c>
      <c r="R15" s="229">
        <v>0.10110330992978936</v>
      </c>
      <c r="S15" s="229">
        <v>8.4252758274824466E-3</v>
      </c>
      <c r="T15" s="230">
        <v>8.4000000000000005E-2</v>
      </c>
      <c r="U15" s="231">
        <v>2.6472875707000002E-3</v>
      </c>
      <c r="V15" s="231">
        <v>-1.1066423782E-2</v>
      </c>
      <c r="W15" s="231">
        <v>9.9154964297000006E-2</v>
      </c>
      <c r="X15" s="232" t="str">
        <f t="shared" si="0"/>
        <v>Link</v>
      </c>
    </row>
    <row r="16" spans="2:24" ht="14.25" customHeight="1" x14ac:dyDescent="0.25">
      <c r="B16" s="82" t="s">
        <v>352</v>
      </c>
      <c r="C16" s="242">
        <v>43010485000107</v>
      </c>
      <c r="D16" s="83" t="s">
        <v>353</v>
      </c>
      <c r="E16" s="83" t="s">
        <v>760</v>
      </c>
      <c r="F16" s="83" t="s">
        <v>119</v>
      </c>
      <c r="G16" s="83" t="s">
        <v>61</v>
      </c>
      <c r="H16" s="243">
        <v>0</v>
      </c>
      <c r="I16" s="227">
        <v>106699.624</v>
      </c>
      <c r="J16" s="225">
        <v>39.5</v>
      </c>
      <c r="K16" s="225">
        <v>85.704342314000002</v>
      </c>
      <c r="L16" s="226">
        <v>0.46088679912251757</v>
      </c>
      <c r="M16" s="227">
        <v>111751109</v>
      </c>
      <c r="N16" s="227">
        <v>354659785.5</v>
      </c>
      <c r="O16" s="228">
        <v>0.31509382672877073</v>
      </c>
      <c r="P16" s="228">
        <v>0.70719826047000001</v>
      </c>
      <c r="Q16" s="229">
        <v>0.11956440739</v>
      </c>
      <c r="R16" s="229">
        <v>8.3238389772151894E-2</v>
      </c>
      <c r="S16" s="229">
        <v>6.9365324810126581E-3</v>
      </c>
      <c r="T16" s="230">
        <v>0.273993033</v>
      </c>
      <c r="U16" s="231">
        <v>-0.37285087765000002</v>
      </c>
      <c r="V16" s="231">
        <v>-0.53911320088000003</v>
      </c>
      <c r="W16" s="231">
        <v>-0.50857475397999996</v>
      </c>
      <c r="X16" s="232" t="str">
        <f t="shared" si="0"/>
        <v>Link</v>
      </c>
    </row>
    <row r="17" spans="2:24" ht="14.25" customHeight="1" x14ac:dyDescent="0.25">
      <c r="B17" s="82" t="s">
        <v>354</v>
      </c>
      <c r="C17" s="242">
        <v>32006821000121</v>
      </c>
      <c r="D17" s="83" t="s">
        <v>355</v>
      </c>
      <c r="E17" s="83" t="s">
        <v>356</v>
      </c>
      <c r="F17" s="83" t="s">
        <v>357</v>
      </c>
      <c r="G17" s="83" t="s">
        <v>64</v>
      </c>
      <c r="H17" s="243">
        <v>0</v>
      </c>
      <c r="I17" s="227">
        <v>176289.94477</v>
      </c>
      <c r="J17" s="225">
        <v>4.6399999999999997</v>
      </c>
      <c r="K17" s="225">
        <v>6.5043155199999996</v>
      </c>
      <c r="L17" s="226">
        <v>0.71337252716793176</v>
      </c>
      <c r="M17" s="227">
        <v>96173154.719999999</v>
      </c>
      <c r="N17" s="227">
        <v>175124279.91</v>
      </c>
      <c r="O17" s="228">
        <v>0.54917087892909755</v>
      </c>
      <c r="P17" s="228">
        <v>0.80883699633999995</v>
      </c>
      <c r="Q17" s="229">
        <v>0.21120689655</v>
      </c>
      <c r="R17" s="229">
        <v>0.18103448275862072</v>
      </c>
      <c r="S17" s="229">
        <v>1.5086206896551727E-2</v>
      </c>
      <c r="T17" s="230">
        <v>7.0000000000000007E-2</v>
      </c>
      <c r="U17" s="231">
        <v>1.7543859649000001E-2</v>
      </c>
      <c r="V17" s="231">
        <v>-0.24690250516000001</v>
      </c>
      <c r="W17" s="231">
        <v>-0.18560782255</v>
      </c>
      <c r="X17" s="232" t="str">
        <f t="shared" si="0"/>
        <v>Link</v>
      </c>
    </row>
    <row r="18" spans="2:24" ht="14.25" customHeight="1" x14ac:dyDescent="0.25">
      <c r="B18" s="82" t="s">
        <v>788</v>
      </c>
      <c r="C18" s="242">
        <v>53193237000100</v>
      </c>
      <c r="D18" s="83" t="s">
        <v>44</v>
      </c>
      <c r="E18" s="83" t="s">
        <v>44</v>
      </c>
      <c r="F18" s="83" t="s">
        <v>119</v>
      </c>
      <c r="G18" s="83" t="s">
        <v>64</v>
      </c>
      <c r="H18" s="243">
        <v>0</v>
      </c>
      <c r="I18" s="227">
        <v>67940.721384999997</v>
      </c>
      <c r="J18" s="225">
        <v>7.15</v>
      </c>
      <c r="K18" s="225">
        <v>0</v>
      </c>
      <c r="L18" s="226"/>
      <c r="M18" s="227">
        <v>67922447.450000003</v>
      </c>
      <c r="N18" s="227">
        <v>96287692.680000007</v>
      </c>
      <c r="O18" s="228">
        <v>0.70541151791570789</v>
      </c>
      <c r="P18" s="228" t="s">
        <v>44</v>
      </c>
      <c r="Q18" s="229" t="s">
        <v>44</v>
      </c>
      <c r="R18" s="229">
        <v>0.1846153846153846</v>
      </c>
      <c r="S18" s="229">
        <v>1.5384615384615384E-2</v>
      </c>
      <c r="T18" s="230">
        <v>0.11</v>
      </c>
      <c r="U18" s="231">
        <v>-1.1385884894E-2</v>
      </c>
      <c r="V18" s="231" t="s">
        <v>44</v>
      </c>
      <c r="W18" s="231" t="s">
        <v>44</v>
      </c>
      <c r="X18" s="232" t="str">
        <f t="shared" si="0"/>
        <v>Link</v>
      </c>
    </row>
    <row r="19" spans="2:24" ht="14.25" customHeight="1" x14ac:dyDescent="0.25">
      <c r="B19" s="82" t="s">
        <v>358</v>
      </c>
      <c r="C19" s="242">
        <v>44527494000132</v>
      </c>
      <c r="D19" s="83" t="s">
        <v>359</v>
      </c>
      <c r="E19" s="83" t="s">
        <v>360</v>
      </c>
      <c r="F19" s="83" t="s">
        <v>361</v>
      </c>
      <c r="G19" s="83" t="s">
        <v>64</v>
      </c>
      <c r="H19" s="243">
        <v>0</v>
      </c>
      <c r="I19" s="227">
        <v>63631.760461999998</v>
      </c>
      <c r="J19" s="225">
        <v>7.58</v>
      </c>
      <c r="K19" s="225">
        <v>8.2884390972999995</v>
      </c>
      <c r="L19" s="226">
        <v>0.91452683804713275</v>
      </c>
      <c r="M19" s="227">
        <v>65596796.979999997</v>
      </c>
      <c r="N19" s="227">
        <v>78715003.989999995</v>
      </c>
      <c r="O19" s="228">
        <v>0.83334553331577621</v>
      </c>
      <c r="P19" s="228">
        <v>0.84061424151999997</v>
      </c>
      <c r="Q19" s="229">
        <v>0.14577836412</v>
      </c>
      <c r="R19" s="229">
        <v>0.14248021108179418</v>
      </c>
      <c r="S19" s="229">
        <v>1.1873350923482849E-2</v>
      </c>
      <c r="T19" s="230">
        <v>0.09</v>
      </c>
      <c r="U19" s="231">
        <v>-2.3195876289000002E-2</v>
      </c>
      <c r="V19" s="231">
        <v>7.3926030424999997E-2</v>
      </c>
      <c r="W19" s="231">
        <v>0.17499246905999999</v>
      </c>
      <c r="X19" s="232" t="str">
        <f t="shared" si="0"/>
        <v>Link</v>
      </c>
    </row>
    <row r="20" spans="2:24" ht="14.25" customHeight="1" x14ac:dyDescent="0.25">
      <c r="B20" s="82" t="s">
        <v>362</v>
      </c>
      <c r="C20" s="242">
        <v>51890054000100</v>
      </c>
      <c r="D20" s="83" t="s">
        <v>363</v>
      </c>
      <c r="E20" s="83" t="s">
        <v>44</v>
      </c>
      <c r="F20" s="83" t="s">
        <v>167</v>
      </c>
      <c r="G20" s="83" t="s">
        <v>65</v>
      </c>
      <c r="H20" s="243">
        <v>2.0799999999999998E-3</v>
      </c>
      <c r="I20" s="227">
        <v>663731.47</v>
      </c>
      <c r="J20" s="225">
        <v>7.35</v>
      </c>
      <c r="K20" s="225">
        <v>7.5173945128000002</v>
      </c>
      <c r="L20" s="226">
        <v>0.97773237622224363</v>
      </c>
      <c r="M20" s="227">
        <v>308131764.14999998</v>
      </c>
      <c r="N20" s="227">
        <v>360753999.85000002</v>
      </c>
      <c r="O20" s="228">
        <v>0.85413263408893558</v>
      </c>
      <c r="P20" s="228">
        <v>0.89178953473</v>
      </c>
      <c r="Q20" s="229">
        <v>0.12380952381</v>
      </c>
      <c r="R20" s="229">
        <v>0.12244897959183675</v>
      </c>
      <c r="S20" s="229">
        <v>1.0204081632653062E-2</v>
      </c>
      <c r="T20" s="230">
        <v>7.4999999999999997E-2</v>
      </c>
      <c r="U20" s="231">
        <v>-3.3898305081999998E-3</v>
      </c>
      <c r="V20" s="231">
        <v>3.0628095372000001E-2</v>
      </c>
      <c r="W20" s="231">
        <v>9.0816400448999995E-2</v>
      </c>
      <c r="X20" s="232" t="str">
        <f t="shared" si="0"/>
        <v>Link</v>
      </c>
    </row>
    <row r="21" spans="2:24" ht="14.25" customHeight="1" x14ac:dyDescent="0.25">
      <c r="B21" s="82" t="s">
        <v>364</v>
      </c>
      <c r="C21" s="242">
        <v>37180091000102</v>
      </c>
      <c r="D21" s="83" t="s">
        <v>365</v>
      </c>
      <c r="E21" s="83" t="s">
        <v>272</v>
      </c>
      <c r="F21" s="83" t="s">
        <v>272</v>
      </c>
      <c r="G21" s="83" t="s">
        <v>43</v>
      </c>
      <c r="H21" s="243">
        <v>0</v>
      </c>
      <c r="I21" s="227">
        <v>405080.61200000002</v>
      </c>
      <c r="J21" s="225">
        <v>66.099999999999994</v>
      </c>
      <c r="K21" s="225">
        <v>70.094946977999996</v>
      </c>
      <c r="L21" s="226">
        <v>0.94300663385544958</v>
      </c>
      <c r="M21" s="227">
        <v>264657790</v>
      </c>
      <c r="N21" s="227">
        <v>281341316.72000003</v>
      </c>
      <c r="O21" s="228">
        <v>0.94070004749212144</v>
      </c>
      <c r="P21" s="228">
        <v>0.83033553070999999</v>
      </c>
      <c r="Q21" s="229">
        <v>0.1517397882</v>
      </c>
      <c r="R21" s="229">
        <v>0.17246596066565809</v>
      </c>
      <c r="S21" s="229">
        <v>1.4372163388804841E-2</v>
      </c>
      <c r="T21" s="230">
        <v>0.95</v>
      </c>
      <c r="U21" s="231">
        <v>-2.5504938819000001E-2</v>
      </c>
      <c r="V21" s="231">
        <v>0.13847616435999999</v>
      </c>
      <c r="W21" s="231">
        <v>0.23566116745999999</v>
      </c>
      <c r="X21" s="232" t="str">
        <f t="shared" si="0"/>
        <v>Link</v>
      </c>
    </row>
    <row r="22" spans="2:24" ht="14.25" customHeight="1" x14ac:dyDescent="0.25">
      <c r="B22" s="82" t="s">
        <v>273</v>
      </c>
      <c r="C22" s="242">
        <v>42592257000120</v>
      </c>
      <c r="D22" s="83" t="s">
        <v>274</v>
      </c>
      <c r="E22" s="83" t="s">
        <v>272</v>
      </c>
      <c r="F22" s="83" t="s">
        <v>272</v>
      </c>
      <c r="G22" s="83" t="s">
        <v>126</v>
      </c>
      <c r="H22" s="243" t="s">
        <v>44</v>
      </c>
      <c r="I22" s="227">
        <v>322826.90230999998</v>
      </c>
      <c r="J22" s="225">
        <v>61.74</v>
      </c>
      <c r="K22" s="225">
        <v>74.979857722999995</v>
      </c>
      <c r="L22" s="226">
        <v>0.82342114102280195</v>
      </c>
      <c r="M22" s="227">
        <v>247278825.36000001</v>
      </c>
      <c r="N22" s="227">
        <v>373400210.79000002</v>
      </c>
      <c r="O22" s="228">
        <v>0.66223536628000002</v>
      </c>
      <c r="P22" s="228">
        <v>0.83319821368000002</v>
      </c>
      <c r="Q22" s="229">
        <v>0.17039196631</v>
      </c>
      <c r="R22" s="229">
        <v>0.1554907677356657</v>
      </c>
      <c r="S22" s="229">
        <v>1.2957563977972141E-2</v>
      </c>
      <c r="T22" s="230">
        <v>0.8</v>
      </c>
      <c r="U22" s="231">
        <v>-4.5602102334E-2</v>
      </c>
      <c r="V22" s="231">
        <v>-2.2997523735999999E-2</v>
      </c>
      <c r="W22" s="231">
        <v>0.10553177793</v>
      </c>
      <c r="X22" s="232" t="str">
        <f t="shared" si="0"/>
        <v>Link</v>
      </c>
    </row>
    <row r="23" spans="2:24" ht="14.25" customHeight="1" x14ac:dyDescent="0.25">
      <c r="B23" s="82" t="s">
        <v>366</v>
      </c>
      <c r="C23" s="242">
        <v>54375187000137</v>
      </c>
      <c r="D23" s="83" t="s">
        <v>367</v>
      </c>
      <c r="E23" s="83" t="s">
        <v>272</v>
      </c>
      <c r="F23" s="83" t="s">
        <v>272</v>
      </c>
      <c r="G23" s="83" t="s">
        <v>61</v>
      </c>
      <c r="H23" s="243">
        <v>3.0899999999999999E-3</v>
      </c>
      <c r="I23" s="227">
        <v>1108337.868</v>
      </c>
      <c r="J23" s="225">
        <v>4.6100000000000003</v>
      </c>
      <c r="K23" s="225">
        <v>7.2890514930999997</v>
      </c>
      <c r="L23" s="226">
        <v>0.63245540306087056</v>
      </c>
      <c r="M23" s="227">
        <v>456947782.33999997</v>
      </c>
      <c r="N23" s="227">
        <v>970733277.38999999</v>
      </c>
      <c r="O23" s="228">
        <v>0.47072434105544469</v>
      </c>
      <c r="P23" s="228">
        <v>0.73113651696000004</v>
      </c>
      <c r="Q23" s="229">
        <v>0.17787418655000001</v>
      </c>
      <c r="R23" s="229">
        <v>7.8091106290672438E-2</v>
      </c>
      <c r="S23" s="229">
        <v>6.5075921908893698E-3</v>
      </c>
      <c r="T23" s="230">
        <v>0.03</v>
      </c>
      <c r="U23" s="231">
        <v>-0.15722120657999999</v>
      </c>
      <c r="V23" s="231">
        <v>-0.31901697787</v>
      </c>
      <c r="W23" s="231">
        <v>-0.25527842225000003</v>
      </c>
      <c r="X23" s="232" t="str">
        <f t="shared" si="0"/>
        <v>Link</v>
      </c>
    </row>
    <row r="24" spans="2:24" ht="14.25" customHeight="1" x14ac:dyDescent="0.25">
      <c r="B24" s="82" t="s">
        <v>368</v>
      </c>
      <c r="C24" s="242">
        <v>12681340000104</v>
      </c>
      <c r="D24" s="83" t="s">
        <v>369</v>
      </c>
      <c r="E24" s="83" t="s">
        <v>370</v>
      </c>
      <c r="F24" s="83" t="s">
        <v>371</v>
      </c>
      <c r="G24" s="83" t="s">
        <v>62</v>
      </c>
      <c r="H24" s="243">
        <v>0</v>
      </c>
      <c r="I24" s="227">
        <v>70678.016308000006</v>
      </c>
      <c r="J24" s="225">
        <v>102.06</v>
      </c>
      <c r="K24" s="225">
        <v>103.94305435</v>
      </c>
      <c r="L24" s="226">
        <v>0.9818837885631172</v>
      </c>
      <c r="M24" s="227">
        <v>162275400</v>
      </c>
      <c r="N24" s="227">
        <v>164723350.5</v>
      </c>
      <c r="O24" s="228">
        <v>0.98513901949802796</v>
      </c>
      <c r="P24" s="228">
        <v>0.96302071628999997</v>
      </c>
      <c r="Q24" s="229">
        <v>0.14452282970999999</v>
      </c>
      <c r="R24" s="229">
        <v>0.12345679012345678</v>
      </c>
      <c r="S24" s="229">
        <v>1.0288065843621399E-2</v>
      </c>
      <c r="T24" s="230">
        <v>1.05</v>
      </c>
      <c r="U24" s="231">
        <v>-1.1621150494000001E-2</v>
      </c>
      <c r="V24" s="231">
        <v>9.7308533262999999E-2</v>
      </c>
      <c r="W24" s="231">
        <v>0.18693957185999999</v>
      </c>
      <c r="X24" s="232" t="str">
        <f t="shared" si="0"/>
        <v>Link</v>
      </c>
    </row>
    <row r="25" spans="2:24" ht="14.25" customHeight="1" x14ac:dyDescent="0.25">
      <c r="B25" s="82" t="s">
        <v>372</v>
      </c>
      <c r="C25" s="242">
        <v>20216935000117</v>
      </c>
      <c r="D25" s="83" t="s">
        <v>373</v>
      </c>
      <c r="E25" s="83" t="s">
        <v>44</v>
      </c>
      <c r="F25" s="83" t="s">
        <v>44</v>
      </c>
      <c r="G25" s="83" t="s">
        <v>43</v>
      </c>
      <c r="H25" s="243">
        <v>2.1800000000000001E-3</v>
      </c>
      <c r="I25" s="227">
        <v>360065.12215000001</v>
      </c>
      <c r="J25" s="225">
        <v>86.8</v>
      </c>
      <c r="K25" s="225">
        <v>92.977744341000005</v>
      </c>
      <c r="L25" s="226">
        <v>0.93355674108050146</v>
      </c>
      <c r="M25" s="227">
        <v>322812498.39999998</v>
      </c>
      <c r="N25" s="227">
        <v>363291990.06</v>
      </c>
      <c r="O25" s="228">
        <v>0.88857587624402457</v>
      </c>
      <c r="P25" s="228">
        <v>0.85258465228000002</v>
      </c>
      <c r="Q25" s="229">
        <v>0.11970046081999999</v>
      </c>
      <c r="R25" s="229">
        <v>0.11889400921658985</v>
      </c>
      <c r="S25" s="229">
        <v>9.9078341013824883E-3</v>
      </c>
      <c r="T25" s="230">
        <v>0.86</v>
      </c>
      <c r="U25" s="231">
        <v>-1.0938924338E-2</v>
      </c>
      <c r="V25" s="231">
        <v>5.4525613624999997E-2</v>
      </c>
      <c r="W25" s="231">
        <v>0.19145501526</v>
      </c>
      <c r="X25" s="232" t="str">
        <f t="shared" si="0"/>
        <v>Link</v>
      </c>
    </row>
    <row r="26" spans="2:24" ht="14.25" customHeight="1" x14ac:dyDescent="0.25">
      <c r="B26" s="82" t="s">
        <v>374</v>
      </c>
      <c r="C26" s="242">
        <v>22219335000138</v>
      </c>
      <c r="D26" s="83" t="s">
        <v>375</v>
      </c>
      <c r="E26" s="83" t="s">
        <v>376</v>
      </c>
      <c r="F26" s="83" t="s">
        <v>275</v>
      </c>
      <c r="G26" s="83" t="s">
        <v>64</v>
      </c>
      <c r="H26" s="243">
        <v>2.4399999999999999E-3</v>
      </c>
      <c r="I26" s="227">
        <v>346838.47415000002</v>
      </c>
      <c r="J26" s="225">
        <v>57.5</v>
      </c>
      <c r="K26" s="225">
        <v>65.541663127000007</v>
      </c>
      <c r="L26" s="226">
        <v>0.87730456104817356</v>
      </c>
      <c r="M26" s="227">
        <v>359827697.5</v>
      </c>
      <c r="N26" s="227">
        <v>534064507.07999998</v>
      </c>
      <c r="O26" s="228">
        <v>0.67375325027188104</v>
      </c>
      <c r="P26" s="228">
        <v>0.80474642951999997</v>
      </c>
      <c r="Q26" s="229">
        <v>0.16713043478</v>
      </c>
      <c r="R26" s="229">
        <v>0.16695652173913045</v>
      </c>
      <c r="S26" s="229">
        <v>1.391304347826087E-2</v>
      </c>
      <c r="T26" s="230">
        <v>0.8</v>
      </c>
      <c r="U26" s="231">
        <v>-2.6908106279000001E-2</v>
      </c>
      <c r="V26" s="231">
        <v>-8.2624691634000005E-2</v>
      </c>
      <c r="W26" s="231">
        <v>4.8343213146E-2</v>
      </c>
      <c r="X26" s="232" t="str">
        <f t="shared" si="0"/>
        <v>Link</v>
      </c>
    </row>
    <row r="27" spans="2:24" ht="14.25" customHeight="1" x14ac:dyDescent="0.25">
      <c r="B27" s="82" t="s">
        <v>151</v>
      </c>
      <c r="C27" s="242">
        <v>40502607000194</v>
      </c>
      <c r="D27" s="83" t="s">
        <v>152</v>
      </c>
      <c r="E27" s="83" t="s">
        <v>119</v>
      </c>
      <c r="F27" s="83" t="s">
        <v>119</v>
      </c>
      <c r="G27" s="83" t="s">
        <v>118</v>
      </c>
      <c r="H27" s="243" t="s">
        <v>44</v>
      </c>
      <c r="I27" s="227">
        <v>2152614.5191000002</v>
      </c>
      <c r="J27" s="225">
        <v>68.34</v>
      </c>
      <c r="K27" s="225">
        <v>73.712369499000005</v>
      </c>
      <c r="L27" s="226">
        <v>0.92711712382176392</v>
      </c>
      <c r="M27" s="227">
        <v>1238661064.8643422</v>
      </c>
      <c r="N27" s="227">
        <v>1427261458.1700001</v>
      </c>
      <c r="O27" s="228">
        <v>0.8678585537176372</v>
      </c>
      <c r="P27" s="228" t="s">
        <v>44</v>
      </c>
      <c r="Q27" s="229">
        <v>0.13974246415</v>
      </c>
      <c r="R27" s="229">
        <v>0.14925373134328357</v>
      </c>
      <c r="S27" s="229">
        <v>1.2437810945273631E-2</v>
      </c>
      <c r="T27" s="230">
        <v>0.85</v>
      </c>
      <c r="U27" s="231">
        <v>-1.3921387967E-2</v>
      </c>
      <c r="V27" s="231">
        <v>2.6322057026999999E-2</v>
      </c>
      <c r="W27" s="231">
        <v>7.4562210192999995E-2</v>
      </c>
      <c r="X27" s="232" t="str">
        <f t="shared" si="0"/>
        <v/>
      </c>
    </row>
    <row r="28" spans="2:24" ht="14.25" customHeight="1" x14ac:dyDescent="0.25">
      <c r="B28" s="82" t="s">
        <v>243</v>
      </c>
      <c r="C28" s="242">
        <v>42294971000131</v>
      </c>
      <c r="D28" s="83" t="s">
        <v>244</v>
      </c>
      <c r="E28" s="83" t="s">
        <v>245</v>
      </c>
      <c r="F28" s="83" t="s">
        <v>245</v>
      </c>
      <c r="G28" s="83" t="s">
        <v>118</v>
      </c>
      <c r="H28" s="243" t="s">
        <v>44</v>
      </c>
      <c r="I28" s="227">
        <v>201660.78046000001</v>
      </c>
      <c r="J28" s="225">
        <v>74</v>
      </c>
      <c r="K28" s="225">
        <v>78.148843814000003</v>
      </c>
      <c r="L28" s="226">
        <v>0.94691100198648415</v>
      </c>
      <c r="M28" s="227">
        <v>184686461.99274075</v>
      </c>
      <c r="N28" s="227">
        <v>194814015.75</v>
      </c>
      <c r="O28" s="228">
        <v>0.94801424467192497</v>
      </c>
      <c r="P28" s="228" t="s">
        <v>44</v>
      </c>
      <c r="Q28" s="229">
        <v>0.16216216216000001</v>
      </c>
      <c r="R28" s="229">
        <v>0.16216216216216217</v>
      </c>
      <c r="S28" s="229">
        <v>1.3513513513513514E-2</v>
      </c>
      <c r="T28" s="230">
        <v>1</v>
      </c>
      <c r="U28" s="231">
        <v>-4.3927648579E-2</v>
      </c>
      <c r="V28" s="231">
        <v>2.1997344862000001E-2</v>
      </c>
      <c r="W28" s="231">
        <v>0.10698394291</v>
      </c>
      <c r="X28" s="232" t="str">
        <f t="shared" si="0"/>
        <v/>
      </c>
    </row>
    <row r="29" spans="2:24" ht="14.25" customHeight="1" x14ac:dyDescent="0.25">
      <c r="B29" s="82" t="s">
        <v>218</v>
      </c>
      <c r="C29" s="242">
        <v>55239865000105</v>
      </c>
      <c r="D29" s="83" t="s">
        <v>219</v>
      </c>
      <c r="E29" s="83" t="s">
        <v>220</v>
      </c>
      <c r="F29" s="83" t="s">
        <v>221</v>
      </c>
      <c r="G29" s="83" t="s">
        <v>118</v>
      </c>
      <c r="H29" s="243" t="s">
        <v>44</v>
      </c>
      <c r="I29" s="227">
        <v>785178.16431000002</v>
      </c>
      <c r="J29" s="225">
        <v>102.9</v>
      </c>
      <c r="K29" s="225">
        <v>105.99</v>
      </c>
      <c r="L29" s="226">
        <v>0.97084630625530721</v>
      </c>
      <c r="M29" s="227">
        <v>1195315830.2032456</v>
      </c>
      <c r="N29" s="227">
        <v>1170307800.6400001</v>
      </c>
      <c r="O29" s="228">
        <v>1.021368762602086</v>
      </c>
      <c r="P29" s="228" t="s">
        <v>44</v>
      </c>
      <c r="Q29" s="229">
        <v>0.17006802721</v>
      </c>
      <c r="R29" s="229">
        <v>0.1749271137026239</v>
      </c>
      <c r="S29" s="229">
        <v>1.4577259475218658E-2</v>
      </c>
      <c r="T29" s="230">
        <v>1.5</v>
      </c>
      <c r="U29" s="231">
        <v>-1.0957324106E-2</v>
      </c>
      <c r="V29" s="231">
        <v>0.13091286588000001</v>
      </c>
      <c r="W29" s="231">
        <v>0.26665810596</v>
      </c>
      <c r="X29" s="232" t="str">
        <f t="shared" si="0"/>
        <v/>
      </c>
    </row>
    <row r="30" spans="2:24" ht="14.25" customHeight="1" x14ac:dyDescent="0.25">
      <c r="B30" s="82" t="s">
        <v>775</v>
      </c>
      <c r="C30" s="242">
        <v>41076748000155</v>
      </c>
      <c r="D30" s="83" t="s">
        <v>776</v>
      </c>
      <c r="E30" s="83" t="s">
        <v>377</v>
      </c>
      <c r="F30" s="83" t="s">
        <v>119</v>
      </c>
      <c r="G30" s="83" t="s">
        <v>63</v>
      </c>
      <c r="H30" s="243">
        <v>0</v>
      </c>
      <c r="I30" s="227">
        <v>82219.908154000004</v>
      </c>
      <c r="J30" s="225">
        <v>102.52</v>
      </c>
      <c r="K30" s="225">
        <v>104.99</v>
      </c>
      <c r="L30" s="226">
        <v>0.97647394989999048</v>
      </c>
      <c r="M30" s="227">
        <v>164032000</v>
      </c>
      <c r="N30" s="227">
        <v>199025658.15000001</v>
      </c>
      <c r="O30" s="228">
        <v>0.82417514166125116</v>
      </c>
      <c r="P30" s="228">
        <v>0.73769598895999999</v>
      </c>
      <c r="Q30" s="229">
        <v>9.9492781895999999E-2</v>
      </c>
      <c r="R30" s="229">
        <v>0.52672649239172853</v>
      </c>
      <c r="S30" s="229">
        <v>4.3893874365977373E-2</v>
      </c>
      <c r="T30" s="230">
        <v>4.5</v>
      </c>
      <c r="U30" s="231">
        <v>0.14381806</v>
      </c>
      <c r="V30" s="231">
        <v>0.17240820745999999</v>
      </c>
      <c r="W30" s="231">
        <v>0.21023194733</v>
      </c>
      <c r="X30" s="232" t="str">
        <f t="shared" si="0"/>
        <v>Link</v>
      </c>
    </row>
    <row r="31" spans="2:24" ht="14.25" customHeight="1" x14ac:dyDescent="0.25">
      <c r="B31" s="82" t="s">
        <v>378</v>
      </c>
      <c r="C31" s="242">
        <v>34081637000171</v>
      </c>
      <c r="D31" s="83" t="s">
        <v>379</v>
      </c>
      <c r="E31" s="83" t="s">
        <v>380</v>
      </c>
      <c r="F31" s="83" t="s">
        <v>276</v>
      </c>
      <c r="G31" s="83" t="s">
        <v>65</v>
      </c>
      <c r="H31" s="243">
        <v>0</v>
      </c>
      <c r="I31" s="227">
        <v>273254.03031</v>
      </c>
      <c r="J31" s="225">
        <v>30.69</v>
      </c>
      <c r="K31" s="225">
        <v>34.309672726999999</v>
      </c>
      <c r="L31" s="226">
        <v>0.89449993429545316</v>
      </c>
      <c r="M31" s="227">
        <v>142555050</v>
      </c>
      <c r="N31" s="227">
        <v>213489177.11000001</v>
      </c>
      <c r="O31" s="228">
        <v>0.66773900171318146</v>
      </c>
      <c r="P31" s="228">
        <v>0.74207244085000001</v>
      </c>
      <c r="Q31" s="229">
        <v>0.15170739655000001</v>
      </c>
      <c r="R31" s="229">
        <v>0.15249266862170086</v>
      </c>
      <c r="S31" s="229">
        <v>1.2707722385141739E-2</v>
      </c>
      <c r="T31" s="230">
        <v>0.39</v>
      </c>
      <c r="U31" s="231">
        <v>-0.10446834721000001</v>
      </c>
      <c r="V31" s="231">
        <v>-2.6455113398999999E-2</v>
      </c>
      <c r="W31" s="231">
        <v>0.11035083683999999</v>
      </c>
      <c r="X31" s="232" t="str">
        <f t="shared" si="0"/>
        <v>Link</v>
      </c>
    </row>
    <row r="32" spans="2:24" ht="14.25" customHeight="1" x14ac:dyDescent="0.25">
      <c r="B32" s="82" t="s">
        <v>381</v>
      </c>
      <c r="C32" s="242">
        <v>15570431000160</v>
      </c>
      <c r="D32" s="83" t="s">
        <v>382</v>
      </c>
      <c r="E32" s="83" t="s">
        <v>170</v>
      </c>
      <c r="F32" s="83" t="s">
        <v>357</v>
      </c>
      <c r="G32" s="83" t="s">
        <v>62</v>
      </c>
      <c r="H32" s="243">
        <v>0</v>
      </c>
      <c r="I32" s="227">
        <v>33422.893385000003</v>
      </c>
      <c r="J32" s="225">
        <v>39.299999999999997</v>
      </c>
      <c r="K32" s="225">
        <v>70.710091559999995</v>
      </c>
      <c r="L32" s="226">
        <v>0.55579054040189679</v>
      </c>
      <c r="M32" s="227">
        <v>27510000</v>
      </c>
      <c r="N32" s="227">
        <v>48056175.509999998</v>
      </c>
      <c r="O32" s="228">
        <v>0.57245504262559244</v>
      </c>
      <c r="P32" s="228">
        <v>0.94645404621999996</v>
      </c>
      <c r="Q32" s="229">
        <v>0.20992366411999999</v>
      </c>
      <c r="R32" s="229">
        <v>0.15267175572519084</v>
      </c>
      <c r="S32" s="229">
        <v>1.2722646310432571E-2</v>
      </c>
      <c r="T32" s="230">
        <v>0.5</v>
      </c>
      <c r="U32" s="231">
        <v>-2.0314880658000001E-3</v>
      </c>
      <c r="V32" s="231">
        <v>-0.42548165377000002</v>
      </c>
      <c r="W32" s="231">
        <v>-0.36419539379999999</v>
      </c>
      <c r="X32" s="232" t="str">
        <f t="shared" si="0"/>
        <v>Link</v>
      </c>
    </row>
    <row r="33" spans="2:24" ht="14.25" customHeight="1" x14ac:dyDescent="0.25">
      <c r="B33" s="82" t="s">
        <v>153</v>
      </c>
      <c r="C33" s="242">
        <v>41771670000199</v>
      </c>
      <c r="D33" s="83" t="s">
        <v>154</v>
      </c>
      <c r="E33" s="83" t="s">
        <v>226</v>
      </c>
      <c r="F33" s="83" t="s">
        <v>119</v>
      </c>
      <c r="G33" s="83" t="s">
        <v>118</v>
      </c>
      <c r="H33" s="243" t="s">
        <v>44</v>
      </c>
      <c r="I33" s="227">
        <v>921585.66769000003</v>
      </c>
      <c r="J33" s="225">
        <v>7.13</v>
      </c>
      <c r="K33" s="225">
        <v>7.7079947574999998</v>
      </c>
      <c r="L33" s="226">
        <v>0.92501360267044785</v>
      </c>
      <c r="M33" s="227">
        <v>462573714.67376047</v>
      </c>
      <c r="N33" s="227">
        <v>518969333.06</v>
      </c>
      <c r="O33" s="228">
        <v>0.89133150112413406</v>
      </c>
      <c r="P33" s="228" t="s">
        <v>44</v>
      </c>
      <c r="Q33" s="229">
        <v>0.15988779804</v>
      </c>
      <c r="R33" s="229">
        <v>0.1514726507713885</v>
      </c>
      <c r="S33" s="229">
        <v>1.2622720897615708E-2</v>
      </c>
      <c r="T33" s="230">
        <v>0.09</v>
      </c>
      <c r="U33" s="231">
        <v>-5.4376657825999999E-2</v>
      </c>
      <c r="V33" s="231">
        <v>-1.1109069947E-2</v>
      </c>
      <c r="W33" s="231">
        <v>0.14308479064999999</v>
      </c>
      <c r="X33" s="232" t="str">
        <f t="shared" si="0"/>
        <v/>
      </c>
    </row>
    <row r="34" spans="2:24" ht="14.25" customHeight="1" x14ac:dyDescent="0.25">
      <c r="B34" s="82" t="s">
        <v>383</v>
      </c>
      <c r="C34" s="242">
        <v>33046142000149</v>
      </c>
      <c r="D34" s="83" t="s">
        <v>384</v>
      </c>
      <c r="E34" s="83" t="s">
        <v>119</v>
      </c>
      <c r="F34" s="83" t="s">
        <v>119</v>
      </c>
      <c r="G34" s="83" t="s">
        <v>61</v>
      </c>
      <c r="H34" s="243">
        <v>4.1700000000000001E-3</v>
      </c>
      <c r="I34" s="227">
        <v>831205.56414999999</v>
      </c>
      <c r="J34" s="225">
        <v>82.82</v>
      </c>
      <c r="K34" s="225">
        <v>93.957069472000001</v>
      </c>
      <c r="L34" s="226">
        <v>0.88146640231984941</v>
      </c>
      <c r="M34" s="227">
        <v>616325320.89999998</v>
      </c>
      <c r="N34" s="227">
        <v>888931198.85000002</v>
      </c>
      <c r="O34" s="228">
        <v>0.69333298425944878</v>
      </c>
      <c r="P34" s="228">
        <v>0.68751429186000002</v>
      </c>
      <c r="Q34" s="229">
        <v>0.13330113498999999</v>
      </c>
      <c r="R34" s="229">
        <v>0.13330113499154794</v>
      </c>
      <c r="S34" s="229">
        <v>1.1108427915962329E-2</v>
      </c>
      <c r="T34" s="230">
        <v>0.92</v>
      </c>
      <c r="U34" s="231">
        <v>-9.6524073514999992E-3</v>
      </c>
      <c r="V34" s="231">
        <v>5.6117074205999998E-2</v>
      </c>
      <c r="W34" s="231">
        <v>0.20957866121999999</v>
      </c>
      <c r="X34" s="232" t="str">
        <f t="shared" si="0"/>
        <v>Link</v>
      </c>
    </row>
    <row r="35" spans="2:24" ht="14.25" customHeight="1" x14ac:dyDescent="0.25">
      <c r="B35" s="82" t="s">
        <v>23</v>
      </c>
      <c r="C35" s="242">
        <v>20748515000181</v>
      </c>
      <c r="D35" s="83" t="s">
        <v>385</v>
      </c>
      <c r="E35" s="83" t="s">
        <v>44</v>
      </c>
      <c r="F35" s="83" t="s">
        <v>357</v>
      </c>
      <c r="G35" s="83" t="s">
        <v>65</v>
      </c>
      <c r="H35" s="243">
        <v>1.363E-2</v>
      </c>
      <c r="I35" s="227">
        <v>5135986.3602999998</v>
      </c>
      <c r="J35" s="225">
        <v>111.84</v>
      </c>
      <c r="K35" s="225">
        <v>118.10233298</v>
      </c>
      <c r="L35" s="226">
        <v>0.94697536600686383</v>
      </c>
      <c r="M35" s="227">
        <v>2015502527.5</v>
      </c>
      <c r="N35" s="227">
        <v>2070132105.4000001</v>
      </c>
      <c r="O35" s="228">
        <v>0.97361058371226783</v>
      </c>
      <c r="P35" s="228">
        <v>1.0053637572</v>
      </c>
      <c r="Q35" s="229">
        <v>9.7639484977999999E-2</v>
      </c>
      <c r="R35" s="229">
        <v>9.7639484978540775E-2</v>
      </c>
      <c r="S35" s="229">
        <v>8.1366237482117312E-3</v>
      </c>
      <c r="T35" s="230">
        <v>0.91</v>
      </c>
      <c r="U35" s="231">
        <v>-1.9291476674999999E-2</v>
      </c>
      <c r="V35" s="231">
        <v>1.0814625611E-2</v>
      </c>
      <c r="W35" s="231">
        <v>0.12894550842999999</v>
      </c>
      <c r="X35" s="232" t="str">
        <f t="shared" si="0"/>
        <v>Link</v>
      </c>
    </row>
    <row r="36" spans="2:24" ht="14.25" customHeight="1" x14ac:dyDescent="0.25">
      <c r="B36" s="82" t="s">
        <v>22</v>
      </c>
      <c r="C36" s="242">
        <v>8924783000101</v>
      </c>
      <c r="D36" s="83" t="s">
        <v>386</v>
      </c>
      <c r="E36" s="83" t="s">
        <v>119</v>
      </c>
      <c r="F36" s="83" t="s">
        <v>119</v>
      </c>
      <c r="G36" s="83" t="s">
        <v>63</v>
      </c>
      <c r="H36" s="243">
        <v>7.0600000000000003E-3</v>
      </c>
      <c r="I36" s="227">
        <v>1254897.8038000001</v>
      </c>
      <c r="J36" s="225">
        <v>39.19</v>
      </c>
      <c r="K36" s="225">
        <v>47.523353407999998</v>
      </c>
      <c r="L36" s="226">
        <v>0.82464719321349111</v>
      </c>
      <c r="M36" s="227">
        <v>1043951136.3</v>
      </c>
      <c r="N36" s="227">
        <v>2157913144.8000002</v>
      </c>
      <c r="O36" s="228">
        <v>0.48377810701772034</v>
      </c>
      <c r="P36" s="228">
        <v>0.53699017782000003</v>
      </c>
      <c r="Q36" s="229">
        <v>0.12554223015999999</v>
      </c>
      <c r="R36" s="229">
        <v>0.12554223016075527</v>
      </c>
      <c r="S36" s="229">
        <v>1.0461852513396274E-2</v>
      </c>
      <c r="T36" s="230">
        <v>0.41</v>
      </c>
      <c r="U36" s="231">
        <v>-1.8103262876999999E-2</v>
      </c>
      <c r="V36" s="231">
        <v>-8.2991444748000007E-2</v>
      </c>
      <c r="W36" s="231">
        <v>8.4784476302999998E-2</v>
      </c>
      <c r="X36" s="232" t="str">
        <f t="shared" si="0"/>
        <v>Link</v>
      </c>
    </row>
    <row r="37" spans="2:24" ht="14.25" customHeight="1" x14ac:dyDescent="0.25">
      <c r="B37" s="82" t="s">
        <v>263</v>
      </c>
      <c r="C37" s="242">
        <v>52512069000106</v>
      </c>
      <c r="D37" s="83" t="s">
        <v>264</v>
      </c>
      <c r="E37" s="83" t="s">
        <v>220</v>
      </c>
      <c r="F37" s="83" t="s">
        <v>170</v>
      </c>
      <c r="G37" s="83" t="s">
        <v>127</v>
      </c>
      <c r="H37" s="243" t="s">
        <v>44</v>
      </c>
      <c r="I37" s="227">
        <v>133161.37414999999</v>
      </c>
      <c r="J37" s="225">
        <v>65</v>
      </c>
      <c r="K37" s="225">
        <v>87.439805019999994</v>
      </c>
      <c r="L37" s="226">
        <v>0.74336853776300893</v>
      </c>
      <c r="M37" s="227" t="s">
        <v>44</v>
      </c>
      <c r="N37" s="227"/>
      <c r="O37" s="228" t="s">
        <v>44</v>
      </c>
      <c r="P37" s="228" t="s">
        <v>44</v>
      </c>
      <c r="Q37" s="229">
        <v>0.20169230768999999</v>
      </c>
      <c r="R37" s="229" t="s">
        <v>44</v>
      </c>
      <c r="S37" s="229" t="s">
        <v>44</v>
      </c>
      <c r="T37" s="230" t="s">
        <v>44</v>
      </c>
      <c r="U37" s="231">
        <v>-0.14453516109</v>
      </c>
      <c r="V37" s="231">
        <v>-0.16017564036000001</v>
      </c>
      <c r="W37" s="231">
        <v>-0.10927219122</v>
      </c>
      <c r="X37" s="232" t="str">
        <f t="shared" si="0"/>
        <v>Link</v>
      </c>
    </row>
    <row r="38" spans="2:24" ht="14.25" customHeight="1" x14ac:dyDescent="0.25">
      <c r="B38" s="82" t="s">
        <v>387</v>
      </c>
      <c r="C38" s="242">
        <v>48978859000104</v>
      </c>
      <c r="D38" s="83" t="s">
        <v>388</v>
      </c>
      <c r="E38" s="83" t="s">
        <v>389</v>
      </c>
      <c r="F38" s="83" t="s">
        <v>119</v>
      </c>
      <c r="G38" s="83" t="s">
        <v>63</v>
      </c>
      <c r="H38" s="243">
        <v>4.5799999999999999E-3</v>
      </c>
      <c r="I38" s="227">
        <v>760023.74523</v>
      </c>
      <c r="J38" s="225">
        <v>58.3</v>
      </c>
      <c r="K38" s="225">
        <v>62.957465837999997</v>
      </c>
      <c r="L38" s="226">
        <v>0.92602202493371588</v>
      </c>
      <c r="M38" s="227">
        <v>676910339.60000002</v>
      </c>
      <c r="N38" s="227">
        <v>1259237983.2</v>
      </c>
      <c r="O38" s="228">
        <v>0.53755552852672239</v>
      </c>
      <c r="P38" s="228">
        <v>0.51209534005000001</v>
      </c>
      <c r="Q38" s="229">
        <v>0.11132075471</v>
      </c>
      <c r="R38" s="229">
        <v>0.11526586620926244</v>
      </c>
      <c r="S38" s="229">
        <v>9.6054888507718702E-3</v>
      </c>
      <c r="T38" s="230">
        <v>0.56000000000000005</v>
      </c>
      <c r="U38" s="231">
        <v>-1.9307354820999999E-2</v>
      </c>
      <c r="V38" s="231">
        <v>0.11714695093999999</v>
      </c>
      <c r="W38" s="231">
        <v>0.20502184567000001</v>
      </c>
      <c r="X38" s="232" t="str">
        <f t="shared" si="0"/>
        <v>Link</v>
      </c>
    </row>
    <row r="39" spans="2:24" ht="14.25" customHeight="1" x14ac:dyDescent="0.25">
      <c r="B39" s="82" t="s">
        <v>390</v>
      </c>
      <c r="C39" s="242">
        <v>60373688000187</v>
      </c>
      <c r="D39" s="83" t="s">
        <v>44</v>
      </c>
      <c r="E39" s="83" t="s">
        <v>44</v>
      </c>
      <c r="F39" s="83" t="s">
        <v>44</v>
      </c>
      <c r="G39" s="83" t="s">
        <v>21</v>
      </c>
      <c r="H39" s="243">
        <v>0</v>
      </c>
      <c r="I39" s="227">
        <v>94102.874462000007</v>
      </c>
      <c r="J39" s="225">
        <v>58.22</v>
      </c>
      <c r="K39" s="225">
        <v>104</v>
      </c>
      <c r="L39" s="226">
        <v>0.55980769230769234</v>
      </c>
      <c r="M39" s="227">
        <v>78597000</v>
      </c>
      <c r="N39" s="227">
        <v>154781619.11000001</v>
      </c>
      <c r="O39" s="228">
        <v>0.50779285325955126</v>
      </c>
      <c r="P39" s="228">
        <v>0.79255463176999996</v>
      </c>
      <c r="Q39" s="229" t="s">
        <v>44</v>
      </c>
      <c r="R39" s="229" t="s">
        <v>44</v>
      </c>
      <c r="S39" s="229" t="s">
        <v>44</v>
      </c>
      <c r="T39" s="230" t="s">
        <v>44</v>
      </c>
      <c r="U39" s="231">
        <v>-0.22373333333000001</v>
      </c>
      <c r="V39" s="231">
        <v>-0.31538099718000001</v>
      </c>
      <c r="W39" s="231">
        <v>-0.42127236580999999</v>
      </c>
      <c r="X39" s="232" t="str">
        <f t="shared" si="0"/>
        <v>Link</v>
      </c>
    </row>
    <row r="40" spans="2:24" ht="14.25" customHeight="1" x14ac:dyDescent="0.25">
      <c r="B40" s="82" t="s">
        <v>277</v>
      </c>
      <c r="C40" s="242">
        <v>40771109000147</v>
      </c>
      <c r="D40" s="83" t="s">
        <v>278</v>
      </c>
      <c r="E40" s="83" t="s">
        <v>119</v>
      </c>
      <c r="F40" s="83" t="s">
        <v>119</v>
      </c>
      <c r="G40" s="83" t="s">
        <v>127</v>
      </c>
      <c r="H40" s="243" t="s">
        <v>44</v>
      </c>
      <c r="I40" s="227">
        <v>382757.88338000001</v>
      </c>
      <c r="J40" s="225">
        <v>97.99</v>
      </c>
      <c r="K40" s="225">
        <v>112.45192188999999</v>
      </c>
      <c r="L40" s="226">
        <v>0.87139462228003006</v>
      </c>
      <c r="M40" s="227" t="s">
        <v>44</v>
      </c>
      <c r="N40" s="227">
        <v>162727537.78</v>
      </c>
      <c r="O40" s="228" t="s">
        <v>44</v>
      </c>
      <c r="P40" s="228" t="s">
        <v>44</v>
      </c>
      <c r="Q40" s="229">
        <v>0.16124094294999999</v>
      </c>
      <c r="R40" s="229">
        <v>0.15919991835901626</v>
      </c>
      <c r="S40" s="229">
        <v>1.3266659863251354E-2</v>
      </c>
      <c r="T40" s="230">
        <v>1.3</v>
      </c>
      <c r="U40" s="231">
        <v>-1.7023282875999999E-2</v>
      </c>
      <c r="V40" s="231">
        <v>-9.3838131306000008E-3</v>
      </c>
      <c r="W40" s="231">
        <v>0.21600428439</v>
      </c>
      <c r="X40" s="232" t="str">
        <f t="shared" si="0"/>
        <v>Link</v>
      </c>
    </row>
    <row r="41" spans="2:24" ht="14.25" customHeight="1" x14ac:dyDescent="0.25">
      <c r="B41" s="82" t="s">
        <v>391</v>
      </c>
      <c r="C41" s="242">
        <v>36642244000115</v>
      </c>
      <c r="D41" s="83" t="s">
        <v>392</v>
      </c>
      <c r="E41" s="83" t="s">
        <v>119</v>
      </c>
      <c r="F41" s="83" t="s">
        <v>119</v>
      </c>
      <c r="G41" s="83" t="s">
        <v>113</v>
      </c>
      <c r="H41" s="243">
        <v>3.2100000000000002E-3</v>
      </c>
      <c r="I41" s="227">
        <v>510778.95368999999</v>
      </c>
      <c r="J41" s="225">
        <v>79.44</v>
      </c>
      <c r="K41" s="225">
        <v>87.640202833999993</v>
      </c>
      <c r="L41" s="226">
        <v>0.90643331976841646</v>
      </c>
      <c r="M41" s="227">
        <v>475268547.83999997</v>
      </c>
      <c r="N41" s="227">
        <v>693765025.57000005</v>
      </c>
      <c r="O41" s="228">
        <v>0.68505694337865686</v>
      </c>
      <c r="P41" s="228">
        <v>0.72307831355999996</v>
      </c>
      <c r="Q41" s="229">
        <v>0.14791037261000001</v>
      </c>
      <c r="R41" s="229">
        <v>0.15105740181268884</v>
      </c>
      <c r="S41" s="229">
        <v>1.2588116817724069E-2</v>
      </c>
      <c r="T41" s="230">
        <v>1</v>
      </c>
      <c r="U41" s="231">
        <v>-4.4015175598E-2</v>
      </c>
      <c r="V41" s="231">
        <v>3.4292129328999998E-2</v>
      </c>
      <c r="W41" s="231">
        <v>0.18625102498000001</v>
      </c>
      <c r="X41" s="232" t="str">
        <f t="shared" si="0"/>
        <v>Link</v>
      </c>
    </row>
    <row r="42" spans="2:24" ht="14.25" customHeight="1" x14ac:dyDescent="0.25">
      <c r="B42" s="82" t="s">
        <v>117</v>
      </c>
      <c r="C42" s="242">
        <v>9552812000114</v>
      </c>
      <c r="D42" s="83" t="s">
        <v>393</v>
      </c>
      <c r="E42" s="83" t="s">
        <v>119</v>
      </c>
      <c r="F42" s="83" t="s">
        <v>119</v>
      </c>
      <c r="G42" s="83" t="s">
        <v>64</v>
      </c>
      <c r="H42" s="243">
        <v>6.0600000000000003E-3</v>
      </c>
      <c r="I42" s="227">
        <v>3504861.6468000002</v>
      </c>
      <c r="J42" s="225">
        <v>9</v>
      </c>
      <c r="K42" s="225">
        <v>9.1156417582000007</v>
      </c>
      <c r="L42" s="226">
        <v>0.98731392026283016</v>
      </c>
      <c r="M42" s="227">
        <v>895690548</v>
      </c>
      <c r="N42" s="227">
        <v>1003960405.4</v>
      </c>
      <c r="O42" s="228">
        <v>0.8921572436346602</v>
      </c>
      <c r="P42" s="228">
        <v>0.92960381216999999</v>
      </c>
      <c r="Q42" s="229">
        <v>0.13055555556000001</v>
      </c>
      <c r="R42" s="229">
        <v>0.13733333333333334</v>
      </c>
      <c r="S42" s="229">
        <v>1.1444444444444445E-2</v>
      </c>
      <c r="T42" s="230">
        <v>0.10299999999999999</v>
      </c>
      <c r="U42" s="231">
        <v>-4.0443824091000004E-3</v>
      </c>
      <c r="V42" s="231">
        <v>4.8974723013000002E-2</v>
      </c>
      <c r="W42" s="231">
        <v>0.12285467526</v>
      </c>
      <c r="X42" s="232" t="str">
        <f t="shared" si="0"/>
        <v>Link</v>
      </c>
    </row>
    <row r="43" spans="2:24" ht="14.25" customHeight="1" x14ac:dyDescent="0.25">
      <c r="B43" s="82" t="s">
        <v>246</v>
      </c>
      <c r="C43" s="242">
        <v>45188176000157</v>
      </c>
      <c r="D43" s="83" t="s">
        <v>394</v>
      </c>
      <c r="E43" s="83" t="s">
        <v>119</v>
      </c>
      <c r="F43" s="83" t="s">
        <v>119</v>
      </c>
      <c r="G43" s="83" t="s">
        <v>179</v>
      </c>
      <c r="H43" s="243">
        <v>1.187E-2</v>
      </c>
      <c r="I43" s="227">
        <v>3245456.8062</v>
      </c>
      <c r="J43" s="225">
        <v>8.5299999999999994</v>
      </c>
      <c r="K43" s="225">
        <v>9.0729990172000008</v>
      </c>
      <c r="L43" s="226">
        <v>0.94015220147487955</v>
      </c>
      <c r="M43" s="227">
        <v>1755874398.2</v>
      </c>
      <c r="N43" s="227">
        <v>2010623651.5</v>
      </c>
      <c r="O43" s="228">
        <v>0.87329839022337796</v>
      </c>
      <c r="P43" s="228">
        <v>0.88130505707999995</v>
      </c>
      <c r="Q43" s="229">
        <v>0.13845134817999999</v>
      </c>
      <c r="R43" s="229">
        <v>0.14208675263774914</v>
      </c>
      <c r="S43" s="229">
        <v>1.1840562719812429E-2</v>
      </c>
      <c r="T43" s="230">
        <v>0.10100000000000001</v>
      </c>
      <c r="U43" s="231">
        <v>-2.5157172472999999E-2</v>
      </c>
      <c r="V43" s="231">
        <v>3.2057500193000001E-2</v>
      </c>
      <c r="W43" s="231">
        <v>0.18934658730000001</v>
      </c>
      <c r="X43" s="232" t="str">
        <f t="shared" si="0"/>
        <v>Link</v>
      </c>
    </row>
    <row r="44" spans="2:24" ht="14.25" customHeight="1" x14ac:dyDescent="0.25">
      <c r="B44" s="82" t="s">
        <v>24</v>
      </c>
      <c r="C44" s="242">
        <v>11839593000109</v>
      </c>
      <c r="D44" s="83" t="s">
        <v>395</v>
      </c>
      <c r="E44" s="83" t="s">
        <v>119</v>
      </c>
      <c r="F44" s="83" t="s">
        <v>119</v>
      </c>
      <c r="G44" s="83" t="s">
        <v>65</v>
      </c>
      <c r="H44" s="243">
        <v>4.5839999999999999E-2</v>
      </c>
      <c r="I44" s="227">
        <v>12468437.922</v>
      </c>
      <c r="J44" s="225">
        <v>98.37</v>
      </c>
      <c r="K44" s="225">
        <v>101.86788036</v>
      </c>
      <c r="L44" s="226">
        <v>0.96566257835503666</v>
      </c>
      <c r="M44" s="227">
        <v>6978393474.6000004</v>
      </c>
      <c r="N44" s="227">
        <v>7580921710.8999996</v>
      </c>
      <c r="O44" s="228">
        <v>0.92052045130163107</v>
      </c>
      <c r="P44" s="228">
        <v>0.99538269783</v>
      </c>
      <c r="Q44" s="229">
        <v>9.7590728880999997E-2</v>
      </c>
      <c r="R44" s="229">
        <v>9.88106129917658E-2</v>
      </c>
      <c r="S44" s="229">
        <v>8.2342177493138161E-3</v>
      </c>
      <c r="T44" s="230">
        <v>0.81</v>
      </c>
      <c r="U44" s="231">
        <v>-1.6233044410000001E-2</v>
      </c>
      <c r="V44" s="231">
        <v>2.2844674291000001E-2</v>
      </c>
      <c r="W44" s="231">
        <v>9.3649124868999997E-2</v>
      </c>
      <c r="X44" s="232" t="str">
        <f t="shared" si="0"/>
        <v>Link</v>
      </c>
    </row>
    <row r="45" spans="2:24" ht="14.25" customHeight="1" x14ac:dyDescent="0.25">
      <c r="B45" s="82" t="s">
        <v>396</v>
      </c>
      <c r="C45" s="242">
        <v>41076607000132</v>
      </c>
      <c r="D45" s="83" t="s">
        <v>397</v>
      </c>
      <c r="E45" s="83" t="s">
        <v>119</v>
      </c>
      <c r="F45" s="83" t="s">
        <v>119</v>
      </c>
      <c r="G45" s="83" t="s">
        <v>113</v>
      </c>
      <c r="H45" s="243">
        <v>0</v>
      </c>
      <c r="I45" s="227">
        <v>213741.88815000001</v>
      </c>
      <c r="J45" s="225">
        <v>70.28</v>
      </c>
      <c r="K45" s="225">
        <v>71</v>
      </c>
      <c r="L45" s="226">
        <v>0.98985915492957743</v>
      </c>
      <c r="M45" s="227">
        <v>236461206.52000001</v>
      </c>
      <c r="N45" s="227">
        <v>381378840.50999999</v>
      </c>
      <c r="O45" s="228">
        <v>0.62001658561809969</v>
      </c>
      <c r="P45" s="228">
        <v>0.54000021635999995</v>
      </c>
      <c r="Q45" s="229">
        <v>0.11525327262</v>
      </c>
      <c r="R45" s="229">
        <v>0.15367103016505407</v>
      </c>
      <c r="S45" s="229">
        <v>1.2805919180421172E-2</v>
      </c>
      <c r="T45" s="230">
        <v>0.9</v>
      </c>
      <c r="U45" s="231">
        <v>5.6683205533999997E-2</v>
      </c>
      <c r="V45" s="231">
        <v>0.26057852986000002</v>
      </c>
      <c r="W45" s="231">
        <v>0.58306010351000004</v>
      </c>
      <c r="X45" s="232" t="str">
        <f t="shared" si="0"/>
        <v>Link</v>
      </c>
    </row>
    <row r="46" spans="2:24" ht="14.25" customHeight="1" x14ac:dyDescent="0.25">
      <c r="B46" s="82" t="s">
        <v>795</v>
      </c>
      <c r="C46" s="242">
        <v>8098114000128</v>
      </c>
      <c r="D46" s="83" t="s">
        <v>44</v>
      </c>
      <c r="E46" s="83" t="s">
        <v>119</v>
      </c>
      <c r="F46" s="83" t="s">
        <v>119</v>
      </c>
      <c r="G46" s="83"/>
      <c r="H46" s="243">
        <v>0</v>
      </c>
      <c r="I46" s="227">
        <v>907818.42246000003</v>
      </c>
      <c r="J46" s="225">
        <v>83.14</v>
      </c>
      <c r="K46" s="225">
        <v>101.20591281999999</v>
      </c>
      <c r="L46" s="226">
        <v>0.82149350451360326</v>
      </c>
      <c r="M46" s="227">
        <v>739839913.36000001</v>
      </c>
      <c r="N46" s="227">
        <v>772974188.14999998</v>
      </c>
      <c r="O46" s="228">
        <v>0.95713404755558273</v>
      </c>
      <c r="P46" s="228">
        <v>1.2004401044999999</v>
      </c>
      <c r="Q46" s="229">
        <v>0.12689439499999999</v>
      </c>
      <c r="R46" s="229">
        <v>0.12268462833774355</v>
      </c>
      <c r="S46" s="229">
        <v>1.0223719028145296E-2</v>
      </c>
      <c r="T46" s="230">
        <v>0.85</v>
      </c>
      <c r="U46" s="231">
        <v>-3.9924468301999999E-2</v>
      </c>
      <c r="V46" s="231">
        <v>-0.15943819531</v>
      </c>
      <c r="W46" s="231">
        <v>-5.2204560897999998E-2</v>
      </c>
      <c r="X46" s="232" t="str">
        <f t="shared" si="0"/>
        <v>Link</v>
      </c>
    </row>
    <row r="47" spans="2:24" ht="14.25" customHeight="1" x14ac:dyDescent="0.25">
      <c r="B47" s="82" t="s">
        <v>398</v>
      </c>
      <c r="C47" s="242">
        <v>32065364000146</v>
      </c>
      <c r="D47" s="83" t="s">
        <v>399</v>
      </c>
      <c r="E47" s="83" t="s">
        <v>761</v>
      </c>
      <c r="F47" s="83" t="s">
        <v>275</v>
      </c>
      <c r="G47" s="83" t="s">
        <v>64</v>
      </c>
      <c r="H47" s="243">
        <v>5.0000000000000001E-4</v>
      </c>
      <c r="I47" s="227">
        <v>883117.86369000003</v>
      </c>
      <c r="J47" s="225">
        <v>16.510000000000002</v>
      </c>
      <c r="K47" s="225">
        <v>82.338337909000003</v>
      </c>
      <c r="L47" s="226">
        <v>0.20051412767460508</v>
      </c>
      <c r="M47" s="227">
        <v>79847709.239999995</v>
      </c>
      <c r="N47" s="227">
        <v>494055279.42000002</v>
      </c>
      <c r="O47" s="228">
        <v>0.16161695374197363</v>
      </c>
      <c r="P47" s="228">
        <v>1.0516691653000001</v>
      </c>
      <c r="Q47" s="229">
        <v>0.63597819502999997</v>
      </c>
      <c r="R47" s="229" t="s">
        <v>44</v>
      </c>
      <c r="S47" s="229" t="s">
        <v>44</v>
      </c>
      <c r="T47" s="230" t="s">
        <v>44</v>
      </c>
      <c r="U47" s="231">
        <v>4.8253968254000003E-2</v>
      </c>
      <c r="V47" s="231">
        <v>-0.77838583624000002</v>
      </c>
      <c r="W47" s="231">
        <v>-0.76894412350999997</v>
      </c>
      <c r="X47" s="232" t="str">
        <f t="shared" si="0"/>
        <v>Link</v>
      </c>
    </row>
    <row r="48" spans="2:24" ht="14.25" customHeight="1" x14ac:dyDescent="0.25">
      <c r="B48" s="82" t="s">
        <v>400</v>
      </c>
      <c r="C48" s="242">
        <v>43010844000126</v>
      </c>
      <c r="D48" s="83" t="s">
        <v>401</v>
      </c>
      <c r="E48" s="83" t="s">
        <v>402</v>
      </c>
      <c r="F48" s="83" t="s">
        <v>119</v>
      </c>
      <c r="G48" s="83" t="s">
        <v>179</v>
      </c>
      <c r="H48" s="243">
        <v>0</v>
      </c>
      <c r="I48" s="227">
        <v>223966.74462000001</v>
      </c>
      <c r="J48" s="225">
        <v>8.42</v>
      </c>
      <c r="K48" s="225">
        <v>8.9793000000000003</v>
      </c>
      <c r="L48" s="226">
        <v>0.93771229383136767</v>
      </c>
      <c r="M48" s="227">
        <v>570851186.25999999</v>
      </c>
      <c r="N48" s="227">
        <v>716474395.57000005</v>
      </c>
      <c r="O48" s="228">
        <v>0.79675029532053587</v>
      </c>
      <c r="P48" s="228">
        <v>0.85830023626999996</v>
      </c>
      <c r="Q48" s="229">
        <v>0.12232779085000001</v>
      </c>
      <c r="R48" s="229">
        <v>0.12256532066508312</v>
      </c>
      <c r="S48" s="229">
        <v>1.021377672209026E-2</v>
      </c>
      <c r="T48" s="230">
        <v>8.5999999999999993E-2</v>
      </c>
      <c r="U48" s="231">
        <v>-2.4650171437999999E-2</v>
      </c>
      <c r="V48" s="231">
        <v>4.7164543411999998E-3</v>
      </c>
      <c r="W48" s="231">
        <v>9.3599502769999995E-2</v>
      </c>
      <c r="X48" s="232" t="str">
        <f t="shared" si="0"/>
        <v>Link</v>
      </c>
    </row>
    <row r="49" spans="2:24" ht="14.25" customHeight="1" x14ac:dyDescent="0.25">
      <c r="B49" s="82" t="s">
        <v>175</v>
      </c>
      <c r="C49" s="242">
        <v>48973783000116</v>
      </c>
      <c r="D49" s="83" t="s">
        <v>176</v>
      </c>
      <c r="E49" s="83" t="s">
        <v>227</v>
      </c>
      <c r="F49" s="83" t="s">
        <v>119</v>
      </c>
      <c r="G49" s="83" t="s">
        <v>118</v>
      </c>
      <c r="H49" s="243" t="s">
        <v>44</v>
      </c>
      <c r="I49" s="227">
        <v>7124570.9932000004</v>
      </c>
      <c r="J49" s="225">
        <v>95.71</v>
      </c>
      <c r="K49" s="225">
        <v>101.91326871</v>
      </c>
      <c r="L49" s="226">
        <v>0.93913188352684718</v>
      </c>
      <c r="M49" s="227">
        <v>2630219717.0818601</v>
      </c>
      <c r="N49" s="227">
        <v>2793901722.4699998</v>
      </c>
      <c r="O49" s="228">
        <v>0.94141454437293748</v>
      </c>
      <c r="P49" s="228" t="s">
        <v>44</v>
      </c>
      <c r="Q49" s="229">
        <v>0.16926131020999999</v>
      </c>
      <c r="R49" s="229">
        <v>0.12537874830216278</v>
      </c>
      <c r="S49" s="229">
        <v>1.0448229025180233E-2</v>
      </c>
      <c r="T49" s="230">
        <v>1</v>
      </c>
      <c r="U49" s="231">
        <v>-2.9408782070999999E-2</v>
      </c>
      <c r="V49" s="231">
        <v>-6.0782864883999997E-2</v>
      </c>
      <c r="W49" s="231">
        <v>4.2360146060999998E-2</v>
      </c>
      <c r="X49" s="232" t="str">
        <f t="shared" si="0"/>
        <v/>
      </c>
    </row>
    <row r="50" spans="2:24" ht="14.25" customHeight="1" x14ac:dyDescent="0.25">
      <c r="B50" s="82" t="s">
        <v>168</v>
      </c>
      <c r="C50" s="242">
        <v>49005348000160</v>
      </c>
      <c r="D50" s="83" t="s">
        <v>403</v>
      </c>
      <c r="E50" s="83" t="s">
        <v>404</v>
      </c>
      <c r="F50" s="83" t="s">
        <v>119</v>
      </c>
      <c r="G50" s="83" t="s">
        <v>64</v>
      </c>
      <c r="H50" s="243">
        <v>2.47E-3</v>
      </c>
      <c r="I50" s="227">
        <v>2115819.4019999998</v>
      </c>
      <c r="J50" s="225">
        <v>83.99</v>
      </c>
      <c r="K50" s="225">
        <v>90.246144818999994</v>
      </c>
      <c r="L50" s="226">
        <v>0.93067687454630355</v>
      </c>
      <c r="M50" s="227">
        <v>365084624.37</v>
      </c>
      <c r="N50" s="227">
        <v>429449766.14999998</v>
      </c>
      <c r="O50" s="228">
        <v>0.85012183763183546</v>
      </c>
      <c r="P50" s="228">
        <v>0.90246950695000006</v>
      </c>
      <c r="Q50" s="229">
        <v>0.14358852244</v>
      </c>
      <c r="R50" s="229">
        <v>0.14287415168472437</v>
      </c>
      <c r="S50" s="229">
        <v>1.1906179307060364E-2</v>
      </c>
      <c r="T50" s="230">
        <v>1</v>
      </c>
      <c r="U50" s="231">
        <v>-3.8184029021000002E-2</v>
      </c>
      <c r="V50" s="231">
        <v>4.3573507249999997E-2</v>
      </c>
      <c r="W50" s="231">
        <v>8.2571829326999996E-2</v>
      </c>
      <c r="X50" s="232" t="str">
        <f t="shared" si="0"/>
        <v>Link</v>
      </c>
    </row>
    <row r="51" spans="2:24" ht="14.25" customHeight="1" x14ac:dyDescent="0.25">
      <c r="B51" s="82" t="s">
        <v>405</v>
      </c>
      <c r="C51" s="242">
        <v>13551286000145</v>
      </c>
      <c r="D51" s="83" t="s">
        <v>406</v>
      </c>
      <c r="E51" s="83" t="s">
        <v>119</v>
      </c>
      <c r="F51" s="83" t="s">
        <v>119</v>
      </c>
      <c r="G51" s="83" t="s">
        <v>63</v>
      </c>
      <c r="H51" s="243">
        <v>0</v>
      </c>
      <c r="I51" s="227">
        <v>33767.869077000003</v>
      </c>
      <c r="J51" s="225">
        <v>1.38</v>
      </c>
      <c r="K51" s="225">
        <v>2.2310042176999998</v>
      </c>
      <c r="L51" s="226">
        <v>0.61855553165322019</v>
      </c>
      <c r="M51" s="227">
        <v>47106058.5</v>
      </c>
      <c r="N51" s="227">
        <v>218145756.41999999</v>
      </c>
      <c r="O51" s="228">
        <v>0.21593845909753043</v>
      </c>
      <c r="P51" s="228">
        <v>0.27288620185000001</v>
      </c>
      <c r="Q51" s="229">
        <v>6.6568612319000006E-2</v>
      </c>
      <c r="R51" s="229" t="s">
        <v>44</v>
      </c>
      <c r="S51" s="229" t="s">
        <v>44</v>
      </c>
      <c r="T51" s="230" t="s">
        <v>44</v>
      </c>
      <c r="U51" s="231">
        <v>6.1538461538000001E-2</v>
      </c>
      <c r="V51" s="231">
        <v>-0.19493271291</v>
      </c>
      <c r="W51" s="231">
        <v>0.19170021140999999</v>
      </c>
      <c r="X51" s="232" t="str">
        <f t="shared" si="0"/>
        <v>Link</v>
      </c>
    </row>
    <row r="52" spans="2:24" ht="14.25" customHeight="1" x14ac:dyDescent="0.25">
      <c r="B52" s="82" t="s">
        <v>407</v>
      </c>
      <c r="C52" s="242">
        <v>52371756000140</v>
      </c>
      <c r="D52" s="83" t="s">
        <v>408</v>
      </c>
      <c r="E52" s="83" t="s">
        <v>228</v>
      </c>
      <c r="F52" s="83" t="s">
        <v>276</v>
      </c>
      <c r="G52" s="83" t="s">
        <v>65</v>
      </c>
      <c r="H52" s="243">
        <v>0</v>
      </c>
      <c r="I52" s="227">
        <v>124916.47199999999</v>
      </c>
      <c r="J52" s="225">
        <v>10.95</v>
      </c>
      <c r="K52" s="225">
        <v>11.63599368</v>
      </c>
      <c r="L52" s="226">
        <v>0.94104554377860394</v>
      </c>
      <c r="M52" s="227">
        <v>617095462.5</v>
      </c>
      <c r="N52" s="227">
        <v>603664659.27999997</v>
      </c>
      <c r="O52" s="228">
        <v>1.0222487816928345</v>
      </c>
      <c r="P52" s="228">
        <v>1.1878149848999999</v>
      </c>
      <c r="Q52" s="229">
        <v>0.15799086758</v>
      </c>
      <c r="R52" s="229">
        <v>0.14246575342465753</v>
      </c>
      <c r="S52" s="229">
        <v>1.1872146118721462E-2</v>
      </c>
      <c r="T52" s="230">
        <v>0.13</v>
      </c>
      <c r="U52" s="231">
        <v>-1.4690585567E-3</v>
      </c>
      <c r="V52" s="231">
        <v>-4.9507667024000002E-2</v>
      </c>
      <c r="W52" s="231">
        <v>0.13296677904000001</v>
      </c>
      <c r="X52" s="232" t="str">
        <f t="shared" si="0"/>
        <v>Link</v>
      </c>
    </row>
    <row r="53" spans="2:24" ht="14.25" customHeight="1" x14ac:dyDescent="0.25">
      <c r="B53" s="82" t="s">
        <v>777</v>
      </c>
      <c r="C53" s="242">
        <v>48916699000160</v>
      </c>
      <c r="D53" s="83" t="s">
        <v>778</v>
      </c>
      <c r="E53" s="83" t="s">
        <v>228</v>
      </c>
      <c r="F53" s="83" t="s">
        <v>119</v>
      </c>
      <c r="G53" s="83" t="s">
        <v>63</v>
      </c>
      <c r="H53" s="243">
        <v>0</v>
      </c>
      <c r="I53" s="227">
        <v>11259742.075999999</v>
      </c>
      <c r="J53" s="225">
        <v>115</v>
      </c>
      <c r="K53" s="225">
        <v>115</v>
      </c>
      <c r="L53" s="226">
        <v>1</v>
      </c>
      <c r="M53" s="227">
        <v>631267660</v>
      </c>
      <c r="N53" s="227">
        <v>690645142.00999999</v>
      </c>
      <c r="O53" s="228">
        <v>0.91402606288202881</v>
      </c>
      <c r="P53" s="228">
        <v>1.0258315789000001</v>
      </c>
      <c r="Q53" s="229">
        <v>2.5565217391000001E-2</v>
      </c>
      <c r="R53" s="229" t="s">
        <v>44</v>
      </c>
      <c r="S53" s="229" t="s">
        <v>44</v>
      </c>
      <c r="T53" s="230" t="s">
        <v>44</v>
      </c>
      <c r="U53" s="231">
        <v>0</v>
      </c>
      <c r="V53" s="231">
        <v>5.7915576661000001E-2</v>
      </c>
      <c r="W53" s="231">
        <v>9.3962080890999999E-2</v>
      </c>
      <c r="X53" s="232" t="str">
        <f t="shared" si="0"/>
        <v>Link</v>
      </c>
    </row>
    <row r="54" spans="2:24" ht="14.25" customHeight="1" x14ac:dyDescent="0.25">
      <c r="B54" s="82" t="s">
        <v>409</v>
      </c>
      <c r="C54" s="242">
        <v>47896665000199</v>
      </c>
      <c r="D54" s="83" t="s">
        <v>410</v>
      </c>
      <c r="E54" s="83" t="s">
        <v>228</v>
      </c>
      <c r="F54" s="83" t="s">
        <v>119</v>
      </c>
      <c r="G54" s="83" t="s">
        <v>61</v>
      </c>
      <c r="H54" s="243">
        <v>5.1799999999999997E-3</v>
      </c>
      <c r="I54" s="227">
        <v>2208787.6880999999</v>
      </c>
      <c r="J54" s="225">
        <v>9.61</v>
      </c>
      <c r="K54" s="225">
        <v>10.227466505000001</v>
      </c>
      <c r="L54" s="226">
        <v>0.93962664119230954</v>
      </c>
      <c r="M54" s="227">
        <v>1183604540.8</v>
      </c>
      <c r="N54" s="227">
        <v>1449078272.3</v>
      </c>
      <c r="O54" s="228">
        <v>0.81679821126664476</v>
      </c>
      <c r="P54" s="228">
        <v>0.95091004379999999</v>
      </c>
      <c r="Q54" s="229">
        <v>0.14047866805000001</v>
      </c>
      <c r="R54" s="229">
        <v>0.13735691987513007</v>
      </c>
      <c r="S54" s="229">
        <v>1.1446409989594173E-2</v>
      </c>
      <c r="T54" s="230">
        <v>0.11</v>
      </c>
      <c r="U54" s="231">
        <v>3.5439057683000003E-5</v>
      </c>
      <c r="V54" s="231">
        <v>-5.5173871532999998E-2</v>
      </c>
      <c r="W54" s="231">
        <v>0.17260799289000001</v>
      </c>
      <c r="X54" s="232" t="str">
        <f t="shared" si="0"/>
        <v>Link</v>
      </c>
    </row>
    <row r="55" spans="2:24" ht="14.25" customHeight="1" x14ac:dyDescent="0.25">
      <c r="B55" s="82" t="s">
        <v>155</v>
      </c>
      <c r="C55" s="242">
        <v>38065012000177</v>
      </c>
      <c r="D55" s="83" t="s">
        <v>156</v>
      </c>
      <c r="E55" s="83" t="s">
        <v>228</v>
      </c>
      <c r="F55" s="83" t="s">
        <v>119</v>
      </c>
      <c r="G55" s="83" t="s">
        <v>118</v>
      </c>
      <c r="H55" s="243" t="s">
        <v>44</v>
      </c>
      <c r="I55" s="227">
        <v>2258273.3210999998</v>
      </c>
      <c r="J55" s="225">
        <v>81.900000000000006</v>
      </c>
      <c r="K55" s="225">
        <v>86.075775307000001</v>
      </c>
      <c r="L55" s="226">
        <v>0.9514872181852958</v>
      </c>
      <c r="M55" s="227">
        <v>1112422556.9673455</v>
      </c>
      <c r="N55" s="227">
        <v>1226901040.04</v>
      </c>
      <c r="O55" s="228">
        <v>0.90669297739863175</v>
      </c>
      <c r="P55" s="228" t="s">
        <v>44</v>
      </c>
      <c r="Q55" s="229">
        <v>0.15934065934</v>
      </c>
      <c r="R55" s="229">
        <v>0.16849816849816848</v>
      </c>
      <c r="S55" s="229">
        <v>1.404151404151404E-2</v>
      </c>
      <c r="T55" s="230">
        <v>1.1499999999999999</v>
      </c>
      <c r="U55" s="231">
        <v>-4.1924295597999997E-2</v>
      </c>
      <c r="V55" s="231">
        <v>3.6045658520000003E-2</v>
      </c>
      <c r="W55" s="231">
        <v>0.17733016038999999</v>
      </c>
      <c r="X55" s="232" t="str">
        <f t="shared" si="0"/>
        <v/>
      </c>
    </row>
    <row r="56" spans="2:24" ht="14.25" customHeight="1" x14ac:dyDescent="0.25">
      <c r="B56" s="82" t="s">
        <v>279</v>
      </c>
      <c r="C56" s="242">
        <v>42537579000176</v>
      </c>
      <c r="D56" s="83" t="s">
        <v>280</v>
      </c>
      <c r="E56" s="83" t="s">
        <v>228</v>
      </c>
      <c r="F56" s="83" t="s">
        <v>119</v>
      </c>
      <c r="G56" s="83" t="s">
        <v>126</v>
      </c>
      <c r="H56" s="243" t="s">
        <v>44</v>
      </c>
      <c r="I56" s="227">
        <v>217046.75568999999</v>
      </c>
      <c r="J56" s="225">
        <v>7.42</v>
      </c>
      <c r="K56" s="225">
        <v>8.1002747111000009</v>
      </c>
      <c r="L56" s="226">
        <v>0.91601831600009764</v>
      </c>
      <c r="M56" s="227">
        <v>147099110.75999999</v>
      </c>
      <c r="N56" s="227">
        <v>195604315.69</v>
      </c>
      <c r="O56" s="228">
        <v>0.75202385101000002</v>
      </c>
      <c r="P56" s="228">
        <v>1.0043867938</v>
      </c>
      <c r="Q56" s="229">
        <v>0.17991913746999999</v>
      </c>
      <c r="R56" s="229">
        <v>0.17789757412398921</v>
      </c>
      <c r="S56" s="229">
        <v>1.4824797843665768E-2</v>
      </c>
      <c r="T56" s="230">
        <v>0.11</v>
      </c>
      <c r="U56" s="231">
        <v>-3.8877571420999998E-2</v>
      </c>
      <c r="V56" s="231">
        <v>2.4099856090999999E-2</v>
      </c>
      <c r="W56" s="231">
        <v>0.17696390839000001</v>
      </c>
      <c r="X56" s="232" t="str">
        <f t="shared" si="0"/>
        <v>Link</v>
      </c>
    </row>
    <row r="57" spans="2:24" ht="14.25" customHeight="1" x14ac:dyDescent="0.25">
      <c r="B57" s="82" t="s">
        <v>411</v>
      </c>
      <c r="C57" s="242">
        <v>18979895000113</v>
      </c>
      <c r="D57" s="83" t="s">
        <v>412</v>
      </c>
      <c r="E57" s="83" t="s">
        <v>228</v>
      </c>
      <c r="F57" s="83" t="s">
        <v>119</v>
      </c>
      <c r="G57" s="83" t="s">
        <v>179</v>
      </c>
      <c r="H57" s="243">
        <v>1.804E-2</v>
      </c>
      <c r="I57" s="227">
        <v>7710742.7379999999</v>
      </c>
      <c r="J57" s="225">
        <v>7.34</v>
      </c>
      <c r="K57" s="225">
        <v>7.6526571416999998</v>
      </c>
      <c r="L57" s="226">
        <v>0.95914397628030357</v>
      </c>
      <c r="M57" s="227">
        <v>2668113099</v>
      </c>
      <c r="N57" s="227">
        <v>3134199949.8000002</v>
      </c>
      <c r="O57" s="228">
        <v>0.85129000757282824</v>
      </c>
      <c r="P57" s="228">
        <v>0.84417394934000001</v>
      </c>
      <c r="Q57" s="229">
        <v>0.14645776566999999</v>
      </c>
      <c r="R57" s="229">
        <v>0.14713896457765668</v>
      </c>
      <c r="S57" s="229">
        <v>1.226158038147139E-2</v>
      </c>
      <c r="T57" s="230">
        <v>0.09</v>
      </c>
      <c r="U57" s="231">
        <v>-1.1984368216E-2</v>
      </c>
      <c r="V57" s="231">
        <v>3.9467904417000002E-2</v>
      </c>
      <c r="W57" s="231">
        <v>0.16024143658000001</v>
      </c>
      <c r="X57" s="232" t="str">
        <f t="shared" si="0"/>
        <v>Link</v>
      </c>
    </row>
    <row r="58" spans="2:24" ht="14.25" customHeight="1" x14ac:dyDescent="0.25">
      <c r="B58" s="82" t="s">
        <v>413</v>
      </c>
      <c r="C58" s="242">
        <v>34691520000100</v>
      </c>
      <c r="D58" s="83" t="s">
        <v>414</v>
      </c>
      <c r="E58" s="83" t="s">
        <v>228</v>
      </c>
      <c r="F58" s="83" t="s">
        <v>119</v>
      </c>
      <c r="G58" s="83" t="s">
        <v>180</v>
      </c>
      <c r="H58" s="243">
        <v>0</v>
      </c>
      <c r="I58" s="227">
        <v>782631.69738000003</v>
      </c>
      <c r="J58" s="225">
        <v>10.93</v>
      </c>
      <c r="K58" s="225">
        <v>11</v>
      </c>
      <c r="L58" s="226">
        <v>0.99363636363636365</v>
      </c>
      <c r="M58" s="227">
        <v>741335392.85000002</v>
      </c>
      <c r="N58" s="227">
        <v>672494017.32000005</v>
      </c>
      <c r="O58" s="228">
        <v>1.1023672683429129</v>
      </c>
      <c r="P58" s="228">
        <v>1.1112217171000001</v>
      </c>
      <c r="Q58" s="229">
        <v>0.10603842635000001</v>
      </c>
      <c r="R58" s="229">
        <v>0.10978956999085088</v>
      </c>
      <c r="S58" s="229">
        <v>9.1491308325709064E-3</v>
      </c>
      <c r="T58" s="230">
        <v>0.1</v>
      </c>
      <c r="U58" s="231">
        <v>2.6106471369E-2</v>
      </c>
      <c r="V58" s="231">
        <v>7.8789677853000006E-2</v>
      </c>
      <c r="W58" s="231">
        <v>0.18594126694999999</v>
      </c>
      <c r="X58" s="232" t="str">
        <f t="shared" si="0"/>
        <v>Link</v>
      </c>
    </row>
    <row r="59" spans="2:24" ht="14.25" customHeight="1" x14ac:dyDescent="0.25">
      <c r="B59" s="82" t="s">
        <v>281</v>
      </c>
      <c r="C59" s="242">
        <v>48903610000121</v>
      </c>
      <c r="D59" s="83" t="s">
        <v>282</v>
      </c>
      <c r="E59" s="83" t="s">
        <v>44</v>
      </c>
      <c r="F59" s="83" t="s">
        <v>44</v>
      </c>
      <c r="G59" s="83" t="s">
        <v>126</v>
      </c>
      <c r="H59" s="243" t="s">
        <v>44</v>
      </c>
      <c r="I59" s="227">
        <v>639760.11814999999</v>
      </c>
      <c r="J59" s="225">
        <v>91</v>
      </c>
      <c r="K59" s="225">
        <v>98.718461723000004</v>
      </c>
      <c r="L59" s="226">
        <v>0.92181339145399477</v>
      </c>
      <c r="M59" s="227">
        <v>215655076</v>
      </c>
      <c r="N59" s="227">
        <v>242032309.75999999</v>
      </c>
      <c r="O59" s="228">
        <v>0.89101771665999996</v>
      </c>
      <c r="P59" s="228" t="s">
        <v>44</v>
      </c>
      <c r="Q59" s="229">
        <v>0.15989010988999999</v>
      </c>
      <c r="R59" s="229">
        <v>0.16483516483516483</v>
      </c>
      <c r="S59" s="229">
        <v>1.3736263736263736E-2</v>
      </c>
      <c r="T59" s="230">
        <v>1.25</v>
      </c>
      <c r="U59" s="231">
        <v>1.4723678050000001E-3</v>
      </c>
      <c r="V59" s="231">
        <v>4.9417313562999998E-2</v>
      </c>
      <c r="W59" s="231">
        <v>0.11972667111</v>
      </c>
      <c r="X59" s="232" t="str">
        <f t="shared" si="0"/>
        <v>Link</v>
      </c>
    </row>
    <row r="60" spans="2:24" ht="14.25" customHeight="1" x14ac:dyDescent="0.25">
      <c r="B60" s="82" t="s">
        <v>415</v>
      </c>
      <c r="C60" s="242">
        <v>40189596000134</v>
      </c>
      <c r="D60" s="83" t="s">
        <v>416</v>
      </c>
      <c r="E60" s="83" t="s">
        <v>417</v>
      </c>
      <c r="F60" s="83" t="s">
        <v>357</v>
      </c>
      <c r="G60" s="83" t="s">
        <v>62</v>
      </c>
      <c r="H60" s="243">
        <v>0</v>
      </c>
      <c r="I60" s="227">
        <v>230387.03631</v>
      </c>
      <c r="J60" s="225">
        <v>72.61</v>
      </c>
      <c r="K60" s="225">
        <v>77.252197070999998</v>
      </c>
      <c r="L60" s="226">
        <v>0.93990854309640537</v>
      </c>
      <c r="M60" s="227">
        <v>151799990.81</v>
      </c>
      <c r="N60" s="227">
        <v>216319015.81999999</v>
      </c>
      <c r="O60" s="228">
        <v>0.70174131587355892</v>
      </c>
      <c r="P60" s="228">
        <v>0.68768064127999995</v>
      </c>
      <c r="Q60" s="229">
        <v>0.12009365101</v>
      </c>
      <c r="R60" s="229">
        <v>0.11899187439746592</v>
      </c>
      <c r="S60" s="229">
        <v>9.9159895331221593E-3</v>
      </c>
      <c r="T60" s="230">
        <v>0.72</v>
      </c>
      <c r="U60" s="231">
        <v>-2.3796719548999999E-2</v>
      </c>
      <c r="V60" s="231">
        <v>2.0017366530999999E-2</v>
      </c>
      <c r="W60" s="231">
        <v>0.12018267387000001</v>
      </c>
      <c r="X60" s="232" t="str">
        <f t="shared" si="0"/>
        <v>Link</v>
      </c>
    </row>
    <row r="61" spans="2:24" ht="14.25" customHeight="1" x14ac:dyDescent="0.25">
      <c r="B61" s="82" t="s">
        <v>418</v>
      </c>
      <c r="C61" s="242">
        <v>42066916000194</v>
      </c>
      <c r="D61" s="83" t="s">
        <v>419</v>
      </c>
      <c r="E61" s="83" t="s">
        <v>420</v>
      </c>
      <c r="F61" s="83" t="s">
        <v>420</v>
      </c>
      <c r="G61" s="83" t="s">
        <v>43</v>
      </c>
      <c r="H61" s="243">
        <v>0</v>
      </c>
      <c r="I61" s="227">
        <v>102739.90569</v>
      </c>
      <c r="J61" s="225">
        <v>63.5</v>
      </c>
      <c r="K61" s="225">
        <v>71.728543622999993</v>
      </c>
      <c r="L61" s="226">
        <v>0.8852821595507554</v>
      </c>
      <c r="M61" s="227">
        <v>130665601</v>
      </c>
      <c r="N61" s="227">
        <v>161887542.94999999</v>
      </c>
      <c r="O61" s="228">
        <v>0.80713808251668206</v>
      </c>
      <c r="P61" s="228">
        <v>0.79571790347000004</v>
      </c>
      <c r="Q61" s="229">
        <v>0.14488188975999999</v>
      </c>
      <c r="R61" s="229">
        <v>0.14173228346456693</v>
      </c>
      <c r="S61" s="229">
        <v>1.1811023622047244E-2</v>
      </c>
      <c r="T61" s="230">
        <v>0.75</v>
      </c>
      <c r="U61" s="231">
        <v>-1.7717964278999999E-2</v>
      </c>
      <c r="V61" s="231">
        <v>2.9285889705E-3</v>
      </c>
      <c r="W61" s="231">
        <v>0.12010086868</v>
      </c>
      <c r="X61" s="232" t="str">
        <f t="shared" si="0"/>
        <v>Link</v>
      </c>
    </row>
    <row r="62" spans="2:24" ht="14.25" customHeight="1" x14ac:dyDescent="0.25">
      <c r="B62" s="82" t="s">
        <v>421</v>
      </c>
      <c r="C62" s="242">
        <v>38658984000175</v>
      </c>
      <c r="D62" s="83" t="s">
        <v>422</v>
      </c>
      <c r="E62" s="83" t="s">
        <v>423</v>
      </c>
      <c r="F62" s="83" t="s">
        <v>276</v>
      </c>
      <c r="G62" s="83" t="s">
        <v>63</v>
      </c>
      <c r="H62" s="243">
        <v>0</v>
      </c>
      <c r="I62" s="227">
        <v>192737.10691999999</v>
      </c>
      <c r="J62" s="225">
        <v>69.88</v>
      </c>
      <c r="K62" s="225">
        <v>72.817585672999996</v>
      </c>
      <c r="L62" s="226">
        <v>0.95965829344862186</v>
      </c>
      <c r="M62" s="227">
        <v>274244060</v>
      </c>
      <c r="N62" s="227">
        <v>381590023.51999998</v>
      </c>
      <c r="O62" s="228">
        <v>0.71868770957432082</v>
      </c>
      <c r="P62" s="228">
        <v>0.69635709227999998</v>
      </c>
      <c r="Q62" s="229">
        <v>0.12757584429999999</v>
      </c>
      <c r="R62" s="229">
        <v>0.1287922152261019</v>
      </c>
      <c r="S62" s="229">
        <v>1.0732684602175158E-2</v>
      </c>
      <c r="T62" s="230">
        <v>0.75</v>
      </c>
      <c r="U62" s="231">
        <v>-1.8568775886E-3</v>
      </c>
      <c r="V62" s="231">
        <v>0.12180257529000001</v>
      </c>
      <c r="W62" s="231">
        <v>0.40220286976000003</v>
      </c>
      <c r="X62" s="232" t="str">
        <f t="shared" si="0"/>
        <v>Link</v>
      </c>
    </row>
    <row r="63" spans="2:24" ht="14.25" customHeight="1" x14ac:dyDescent="0.25">
      <c r="B63" s="82" t="s">
        <v>796</v>
      </c>
      <c r="C63" s="242">
        <v>12887506000143</v>
      </c>
      <c r="D63" s="83" t="s">
        <v>797</v>
      </c>
      <c r="E63" s="83" t="s">
        <v>420</v>
      </c>
      <c r="F63" s="83" t="s">
        <v>420</v>
      </c>
      <c r="G63" s="83" t="s">
        <v>65</v>
      </c>
      <c r="H63" s="243">
        <v>0</v>
      </c>
      <c r="I63" s="227">
        <v>69439.177383999995</v>
      </c>
      <c r="J63" s="225">
        <v>220</v>
      </c>
      <c r="K63" s="225">
        <v>351.39094298999999</v>
      </c>
      <c r="L63" s="226">
        <v>0.62608329664962603</v>
      </c>
      <c r="M63" s="227">
        <v>11791340</v>
      </c>
      <c r="N63" s="227">
        <v>22181157.370000001</v>
      </c>
      <c r="O63" s="228">
        <v>0.53159263979379989</v>
      </c>
      <c r="P63" s="228">
        <v>0.83198747619000002</v>
      </c>
      <c r="Q63" s="229">
        <v>3.5160540701999997E-2</v>
      </c>
      <c r="R63" s="229">
        <v>5.3968023989999996E-2</v>
      </c>
      <c r="S63" s="229">
        <v>4.4973353324999996E-3</v>
      </c>
      <c r="T63" s="230">
        <v>0.98941377315000001</v>
      </c>
      <c r="U63" s="231">
        <v>-2.6551197618999999E-2</v>
      </c>
      <c r="V63" s="231">
        <v>-0.35022424548999997</v>
      </c>
      <c r="W63" s="231">
        <v>-0.20818248845000001</v>
      </c>
      <c r="X63" s="232" t="str">
        <f t="shared" si="0"/>
        <v>Link</v>
      </c>
    </row>
    <row r="64" spans="2:24" ht="14.25" customHeight="1" x14ac:dyDescent="0.25">
      <c r="B64" s="82" t="s">
        <v>424</v>
      </c>
      <c r="C64" s="242">
        <v>36501233000115</v>
      </c>
      <c r="D64" s="83" t="s">
        <v>425</v>
      </c>
      <c r="E64" s="83" t="s">
        <v>426</v>
      </c>
      <c r="F64" s="83" t="s">
        <v>225</v>
      </c>
      <c r="G64" s="83" t="s">
        <v>64</v>
      </c>
      <c r="H64" s="243">
        <v>2.0600000000000002E-3</v>
      </c>
      <c r="I64" s="227">
        <v>617540.53107000003</v>
      </c>
      <c r="J64" s="225">
        <v>8.35</v>
      </c>
      <c r="K64" s="225">
        <v>8.7410452961999994</v>
      </c>
      <c r="L64" s="226">
        <v>0.95526332572947548</v>
      </c>
      <c r="M64" s="227">
        <v>305187865.75</v>
      </c>
      <c r="N64" s="227">
        <v>346086182.72000003</v>
      </c>
      <c r="O64" s="228">
        <v>0.88182620684660884</v>
      </c>
      <c r="P64" s="228">
        <v>0.92843585754000002</v>
      </c>
      <c r="Q64" s="229">
        <v>0.15233532933999999</v>
      </c>
      <c r="R64" s="229">
        <v>0.15233532934131738</v>
      </c>
      <c r="S64" s="229">
        <v>1.2694610778443114E-2</v>
      </c>
      <c r="T64" s="230">
        <v>0.106</v>
      </c>
      <c r="U64" s="231">
        <v>-1.8109125117E-2</v>
      </c>
      <c r="V64" s="231">
        <v>3.7433233153999997E-2</v>
      </c>
      <c r="W64" s="231">
        <v>0.12705179175</v>
      </c>
      <c r="X64" s="232" t="str">
        <f t="shared" si="0"/>
        <v>Link</v>
      </c>
    </row>
    <row r="65" spans="2:24" ht="14.25" customHeight="1" x14ac:dyDescent="0.25">
      <c r="B65" s="82" t="s">
        <v>798</v>
      </c>
      <c r="C65" s="242">
        <v>43010601000198</v>
      </c>
      <c r="D65" s="83" t="s">
        <v>799</v>
      </c>
      <c r="E65" s="83" t="s">
        <v>426</v>
      </c>
      <c r="F65" s="83" t="s">
        <v>119</v>
      </c>
      <c r="G65" s="83" t="s">
        <v>66</v>
      </c>
      <c r="H65" s="243">
        <v>0</v>
      </c>
      <c r="I65" s="227">
        <v>164577.20491999999</v>
      </c>
      <c r="J65" s="225">
        <v>114.48</v>
      </c>
      <c r="K65" s="225">
        <v>125.48451021</v>
      </c>
      <c r="L65" s="226">
        <v>0.9123038358154022</v>
      </c>
      <c r="M65" s="227">
        <v>142166644.56</v>
      </c>
      <c r="N65" s="227">
        <v>156532302.06</v>
      </c>
      <c r="O65" s="228">
        <v>0.90822560384697126</v>
      </c>
      <c r="P65" s="228">
        <v>0.66440611515000003</v>
      </c>
      <c r="Q65" s="229">
        <v>0.22611497851000001</v>
      </c>
      <c r="R65" s="229">
        <v>0.68448637316561844</v>
      </c>
      <c r="S65" s="229">
        <v>5.7040531097134868E-2</v>
      </c>
      <c r="T65" s="230">
        <v>6.53</v>
      </c>
      <c r="U65" s="231">
        <v>5.5190974539000001E-2</v>
      </c>
      <c r="V65" s="231" t="s">
        <v>44</v>
      </c>
      <c r="W65" s="231">
        <v>1.2087357028000001</v>
      </c>
      <c r="X65" s="232" t="str">
        <f t="shared" si="0"/>
        <v>Link</v>
      </c>
    </row>
    <row r="66" spans="2:24" ht="14.25" customHeight="1" x14ac:dyDescent="0.25">
      <c r="B66" s="82" t="s">
        <v>283</v>
      </c>
      <c r="C66" s="242">
        <v>42888360000111</v>
      </c>
      <c r="D66" s="83" t="s">
        <v>284</v>
      </c>
      <c r="E66" s="83" t="s">
        <v>285</v>
      </c>
      <c r="F66" s="83" t="s">
        <v>167</v>
      </c>
      <c r="G66" s="83" t="s">
        <v>126</v>
      </c>
      <c r="H66" s="243" t="s">
        <v>44</v>
      </c>
      <c r="I66" s="227">
        <v>67361.248923000006</v>
      </c>
      <c r="J66" s="225">
        <v>6.18</v>
      </c>
      <c r="K66" s="225">
        <v>7.1951356581999999</v>
      </c>
      <c r="L66" s="226">
        <v>0.85891361797423627</v>
      </c>
      <c r="M66" s="227">
        <v>41646432.899999999</v>
      </c>
      <c r="N66" s="227">
        <v>65332307.140000001</v>
      </c>
      <c r="O66" s="228">
        <v>0.63745541406999995</v>
      </c>
      <c r="P66" s="228">
        <v>0.95266675563000003</v>
      </c>
      <c r="Q66" s="229">
        <v>0.18284789643999999</v>
      </c>
      <c r="R66" s="229">
        <v>0.17475728155339806</v>
      </c>
      <c r="S66" s="229">
        <v>1.4563106796116505E-2</v>
      </c>
      <c r="T66" s="230">
        <v>0.09</v>
      </c>
      <c r="U66" s="231">
        <v>-9.2458637937999993E-2</v>
      </c>
      <c r="V66" s="231">
        <v>-7.2935999540999996E-2</v>
      </c>
      <c r="W66" s="231">
        <v>3.0944567134000001E-2</v>
      </c>
      <c r="X66" s="232" t="str">
        <f t="shared" si="0"/>
        <v>Link</v>
      </c>
    </row>
    <row r="67" spans="2:24" ht="14.25" customHeight="1" x14ac:dyDescent="0.25">
      <c r="B67" s="82" t="s">
        <v>427</v>
      </c>
      <c r="C67" s="242">
        <v>37087810000137</v>
      </c>
      <c r="D67" s="83" t="s">
        <v>428</v>
      </c>
      <c r="E67" s="83" t="s">
        <v>285</v>
      </c>
      <c r="F67" s="83" t="s">
        <v>276</v>
      </c>
      <c r="G67" s="83" t="s">
        <v>64</v>
      </c>
      <c r="H67" s="243">
        <v>1.5900000000000001E-3</v>
      </c>
      <c r="I67" s="227">
        <v>523631.74985000002</v>
      </c>
      <c r="J67" s="225">
        <v>16.78</v>
      </c>
      <c r="K67" s="225">
        <v>25.139856668</v>
      </c>
      <c r="L67" s="226">
        <v>0.66746601707395226</v>
      </c>
      <c r="M67" s="227">
        <v>235673556.24000001</v>
      </c>
      <c r="N67" s="227">
        <v>1354867346.7</v>
      </c>
      <c r="O67" s="228">
        <v>0.17394585293831261</v>
      </c>
      <c r="P67" s="228">
        <v>0.26498992308000002</v>
      </c>
      <c r="Q67" s="229">
        <v>0.23718712753000001</v>
      </c>
      <c r="R67" s="229">
        <v>0.21454112038140638</v>
      </c>
      <c r="S67" s="229">
        <v>1.7878426698450533E-2</v>
      </c>
      <c r="T67" s="230">
        <v>0.3</v>
      </c>
      <c r="U67" s="231">
        <v>-9.2178394173E-2</v>
      </c>
      <c r="V67" s="231">
        <v>-0.27469493786999999</v>
      </c>
      <c r="W67" s="231">
        <v>-0.29300821567000002</v>
      </c>
      <c r="X67" s="232" t="str">
        <f t="shared" si="0"/>
        <v>Link</v>
      </c>
    </row>
    <row r="68" spans="2:24" ht="14.25" customHeight="1" x14ac:dyDescent="0.25">
      <c r="B68" s="82" t="s">
        <v>750</v>
      </c>
      <c r="C68" s="242">
        <v>58390457000130</v>
      </c>
      <c r="D68" s="83" t="s">
        <v>751</v>
      </c>
      <c r="E68" s="83" t="s">
        <v>227</v>
      </c>
      <c r="F68" s="83" t="s">
        <v>752</v>
      </c>
      <c r="G68" s="83" t="s">
        <v>118</v>
      </c>
      <c r="H68" s="243" t="s">
        <v>44</v>
      </c>
      <c r="I68" s="227">
        <v>1335707.9749</v>
      </c>
      <c r="J68" s="225">
        <v>92.96</v>
      </c>
      <c r="K68" s="225">
        <v>106.36944341</v>
      </c>
      <c r="L68" s="226">
        <v>0.87393519247521645</v>
      </c>
      <c r="M68" s="227">
        <v>953423808.69602883</v>
      </c>
      <c r="N68" s="227">
        <v>994346366.75</v>
      </c>
      <c r="O68" s="228">
        <v>0.95884476534296026</v>
      </c>
      <c r="P68" s="228" t="s">
        <v>44</v>
      </c>
      <c r="Q68" s="229" t="s">
        <v>44</v>
      </c>
      <c r="R68" s="229" t="s">
        <v>44</v>
      </c>
      <c r="S68" s="229">
        <v>1.2908777969018933E-2</v>
      </c>
      <c r="T68" s="230">
        <v>1.2</v>
      </c>
      <c r="U68" s="231">
        <v>-1.7855256207E-2</v>
      </c>
      <c r="V68" s="231">
        <v>2.7603185975999998E-2</v>
      </c>
      <c r="W68" s="231">
        <v>3.0152803297999999E-2</v>
      </c>
      <c r="X68" s="232" t="str">
        <f t="shared" si="0"/>
        <v/>
      </c>
    </row>
    <row r="69" spans="2:24" ht="14.25" customHeight="1" x14ac:dyDescent="0.25">
      <c r="B69" s="82" t="s">
        <v>429</v>
      </c>
      <c r="C69" s="242">
        <v>39863059000149</v>
      </c>
      <c r="D69" s="83" t="s">
        <v>430</v>
      </c>
      <c r="E69" s="83" t="s">
        <v>285</v>
      </c>
      <c r="F69" s="83" t="s">
        <v>275</v>
      </c>
      <c r="G69" s="83" t="s">
        <v>43</v>
      </c>
      <c r="H69" s="243">
        <v>0</v>
      </c>
      <c r="I69" s="227">
        <v>51788.519539000001</v>
      </c>
      <c r="J69" s="225">
        <v>5.12</v>
      </c>
      <c r="K69" s="225">
        <v>5.2780853899000002</v>
      </c>
      <c r="L69" s="226">
        <v>0.9700487244479773</v>
      </c>
      <c r="M69" s="227">
        <v>56368640</v>
      </c>
      <c r="N69" s="227">
        <v>88109343.019999996</v>
      </c>
      <c r="O69" s="228">
        <v>0.63975780624314549</v>
      </c>
      <c r="P69" s="228">
        <v>0.67456034681999999</v>
      </c>
      <c r="Q69" s="229">
        <v>0.20703125</v>
      </c>
      <c r="R69" s="229">
        <v>0.15234375</v>
      </c>
      <c r="S69" s="229">
        <v>1.26953125E-2</v>
      </c>
      <c r="T69" s="230">
        <v>6.5000000000000002E-2</v>
      </c>
      <c r="U69" s="231">
        <v>2.7437426452000002E-3</v>
      </c>
      <c r="V69" s="231">
        <v>5.2319217447999999E-3</v>
      </c>
      <c r="W69" s="231">
        <v>3.0877300975000001E-2</v>
      </c>
      <c r="X69" s="232" t="str">
        <f t="shared" si="0"/>
        <v>Link</v>
      </c>
    </row>
    <row r="70" spans="2:24" ht="14.25" customHeight="1" x14ac:dyDescent="0.25">
      <c r="B70" s="82" t="s">
        <v>800</v>
      </c>
      <c r="C70" s="242">
        <v>15333306000137</v>
      </c>
      <c r="D70" s="83" t="s">
        <v>801</v>
      </c>
      <c r="E70" s="83" t="s">
        <v>119</v>
      </c>
      <c r="F70" s="83" t="s">
        <v>119</v>
      </c>
      <c r="G70" s="83" t="s">
        <v>63</v>
      </c>
      <c r="H70" s="243">
        <v>0</v>
      </c>
      <c r="I70" s="227">
        <v>43946.296769</v>
      </c>
      <c r="J70" s="225">
        <v>13</v>
      </c>
      <c r="K70" s="225">
        <v>15.490247975999999</v>
      </c>
      <c r="L70" s="226">
        <v>0.83923769458963504</v>
      </c>
      <c r="M70" s="227">
        <v>49556715</v>
      </c>
      <c r="N70" s="227">
        <v>162749617.62</v>
      </c>
      <c r="O70" s="228">
        <v>0.30449666011325893</v>
      </c>
      <c r="P70" s="228">
        <v>0.30373063181999999</v>
      </c>
      <c r="Q70" s="229">
        <v>2.7022956923E-2</v>
      </c>
      <c r="R70" s="229">
        <v>3.692307692307692E-2</v>
      </c>
      <c r="S70" s="229">
        <v>3.0769230769230769E-3</v>
      </c>
      <c r="T70" s="230">
        <v>0.04</v>
      </c>
      <c r="U70" s="231">
        <v>-3.345724907E-2</v>
      </c>
      <c r="V70" s="231">
        <v>-2.677190867E-2</v>
      </c>
      <c r="W70" s="231">
        <v>-9.1588081304999999E-2</v>
      </c>
      <c r="X70" s="232" t="str">
        <f t="shared" si="0"/>
        <v>Link</v>
      </c>
    </row>
    <row r="71" spans="2:24" ht="14.25" customHeight="1" x14ac:dyDescent="0.25">
      <c r="B71" s="82" t="s">
        <v>286</v>
      </c>
      <c r="C71" s="242">
        <v>41224330000148</v>
      </c>
      <c r="D71" s="83" t="s">
        <v>287</v>
      </c>
      <c r="E71" s="83" t="s">
        <v>288</v>
      </c>
      <c r="F71" s="83" t="s">
        <v>276</v>
      </c>
      <c r="G71" s="83" t="s">
        <v>126</v>
      </c>
      <c r="H71" s="243" t="s">
        <v>44</v>
      </c>
      <c r="I71" s="227">
        <v>936990.98938000004</v>
      </c>
      <c r="J71" s="225">
        <v>82.21</v>
      </c>
      <c r="K71" s="225">
        <v>92.495097994000005</v>
      </c>
      <c r="L71" s="226">
        <v>0.88880385861457012</v>
      </c>
      <c r="M71" s="227">
        <v>257474649.94</v>
      </c>
      <c r="N71" s="227">
        <v>310197301.57999998</v>
      </c>
      <c r="O71" s="228">
        <v>0.83003510549000004</v>
      </c>
      <c r="P71" s="228">
        <v>1.0237113007</v>
      </c>
      <c r="Q71" s="229">
        <v>0.20411142197000001</v>
      </c>
      <c r="R71" s="229">
        <v>0.20435470137452866</v>
      </c>
      <c r="S71" s="229">
        <v>1.7029558447877388E-2</v>
      </c>
      <c r="T71" s="230">
        <v>1.4</v>
      </c>
      <c r="U71" s="231">
        <v>-4.1137762182E-2</v>
      </c>
      <c r="V71" s="231">
        <v>-2.6380179928E-2</v>
      </c>
      <c r="W71" s="231">
        <v>4.3364073224000002E-2</v>
      </c>
      <c r="X71" s="232" t="str">
        <f t="shared" ref="X71:X134" si="1">IF(OR(B71="",G71="FI-Infra"),"",HYPERLINK("https://content.btgpactual.com/research/ativo/https://content.btgpactual.com/research/ativo/"&amp;B71,"Link"))</f>
        <v>Link</v>
      </c>
    </row>
    <row r="72" spans="2:24" ht="14.25" customHeight="1" x14ac:dyDescent="0.25">
      <c r="B72" s="82" t="s">
        <v>771</v>
      </c>
      <c r="C72" s="242">
        <v>53523736000100</v>
      </c>
      <c r="D72" s="83" t="s">
        <v>772</v>
      </c>
      <c r="E72" s="83" t="s">
        <v>432</v>
      </c>
      <c r="F72" s="83" t="s">
        <v>275</v>
      </c>
      <c r="G72" s="83" t="s">
        <v>21</v>
      </c>
      <c r="H72" s="243">
        <v>0</v>
      </c>
      <c r="I72" s="227">
        <v>160474.10292</v>
      </c>
      <c r="J72" s="225">
        <v>9.9499999999999993</v>
      </c>
      <c r="K72" s="225">
        <v>11.251829838999999</v>
      </c>
      <c r="L72" s="226">
        <v>0.88430061086706768</v>
      </c>
      <c r="M72" s="227">
        <v>49750000</v>
      </c>
      <c r="N72" s="227">
        <v>45275215.350000001</v>
      </c>
      <c r="O72" s="228">
        <v>1.0988351930610971</v>
      </c>
      <c r="P72" s="228">
        <v>1.1510080794999999</v>
      </c>
      <c r="Q72" s="229">
        <v>0.13869346733999999</v>
      </c>
      <c r="R72" s="229">
        <v>0.12060301507537691</v>
      </c>
      <c r="S72" s="229">
        <v>1.0050251256281409E-2</v>
      </c>
      <c r="T72" s="230">
        <v>0.1</v>
      </c>
      <c r="U72" s="231">
        <v>0.14364835278999999</v>
      </c>
      <c r="V72" s="231">
        <v>-3.4252616272999997E-2</v>
      </c>
      <c r="W72" s="231">
        <v>0.14418599981999999</v>
      </c>
      <c r="X72" s="232" t="str">
        <f t="shared" si="1"/>
        <v>Link</v>
      </c>
    </row>
    <row r="73" spans="2:24" ht="14.25" customHeight="1" x14ac:dyDescent="0.25">
      <c r="B73" s="82" t="s">
        <v>433</v>
      </c>
      <c r="C73" s="242">
        <v>41076380000125</v>
      </c>
      <c r="D73" s="83" t="s">
        <v>434</v>
      </c>
      <c r="E73" s="83" t="s">
        <v>435</v>
      </c>
      <c r="F73" s="83" t="s">
        <v>119</v>
      </c>
      <c r="G73" s="83" t="s">
        <v>64</v>
      </c>
      <c r="H73" s="243">
        <v>0</v>
      </c>
      <c r="I73" s="227">
        <v>61523.660615000001</v>
      </c>
      <c r="J73" s="225">
        <v>7.9</v>
      </c>
      <c r="K73" s="225">
        <v>8.3296301877999994</v>
      </c>
      <c r="L73" s="226">
        <v>0.94842145712191916</v>
      </c>
      <c r="M73" s="227">
        <v>86183588.5</v>
      </c>
      <c r="N73" s="227">
        <v>105158520.69</v>
      </c>
      <c r="O73" s="228">
        <v>0.81955877597463755</v>
      </c>
      <c r="P73" s="228">
        <v>0.85865282178000002</v>
      </c>
      <c r="Q73" s="229">
        <v>0.15198665886000001</v>
      </c>
      <c r="R73" s="229">
        <v>0.15189873417721519</v>
      </c>
      <c r="S73" s="229">
        <v>1.2658227848101266E-2</v>
      </c>
      <c r="T73" s="230">
        <v>0.1</v>
      </c>
      <c r="U73" s="231">
        <v>-3.6190157856999999E-2</v>
      </c>
      <c r="V73" s="231">
        <v>5.2225670501E-2</v>
      </c>
      <c r="W73" s="231">
        <v>0.18929683937</v>
      </c>
      <c r="X73" s="232" t="str">
        <f t="shared" si="1"/>
        <v>Link</v>
      </c>
    </row>
    <row r="74" spans="2:24" ht="14.25" customHeight="1" x14ac:dyDescent="0.25">
      <c r="B74" s="82" t="s">
        <v>436</v>
      </c>
      <c r="C74" s="242">
        <v>5437916000127</v>
      </c>
      <c r="D74" s="83" t="s">
        <v>437</v>
      </c>
      <c r="E74" s="83" t="s">
        <v>438</v>
      </c>
      <c r="F74" s="83" t="s">
        <v>438</v>
      </c>
      <c r="G74" s="83" t="s">
        <v>65</v>
      </c>
      <c r="H74" s="243">
        <v>0</v>
      </c>
      <c r="I74" s="227">
        <v>42870.036154000001</v>
      </c>
      <c r="J74" s="225">
        <v>288.62</v>
      </c>
      <c r="K74" s="225">
        <v>346.38836653999999</v>
      </c>
      <c r="L74" s="226">
        <v>0.83322659731030824</v>
      </c>
      <c r="M74" s="227">
        <v>118300431.45999999</v>
      </c>
      <c r="N74" s="227">
        <v>161895063.69</v>
      </c>
      <c r="O74" s="228">
        <v>0.73072290632976988</v>
      </c>
      <c r="P74" s="228">
        <v>0.74930507542000002</v>
      </c>
      <c r="Q74" s="229">
        <v>9.1019333379999998E-2</v>
      </c>
      <c r="R74" s="229">
        <v>7.8996604531910458E-2</v>
      </c>
      <c r="S74" s="229">
        <v>6.5830503776592051E-3</v>
      </c>
      <c r="T74" s="230">
        <v>1.9</v>
      </c>
      <c r="U74" s="231">
        <v>-6.3226225250999996E-2</v>
      </c>
      <c r="V74" s="231">
        <v>1.8431161468000001E-2</v>
      </c>
      <c r="W74" s="231">
        <v>0.36310228503999997</v>
      </c>
      <c r="X74" s="232" t="str">
        <f t="shared" si="1"/>
        <v>Link</v>
      </c>
    </row>
    <row r="75" spans="2:24" ht="14.25" customHeight="1" x14ac:dyDescent="0.25">
      <c r="B75" s="82" t="s">
        <v>439</v>
      </c>
      <c r="C75" s="242">
        <v>41076851000103</v>
      </c>
      <c r="D75" s="83" t="s">
        <v>440</v>
      </c>
      <c r="E75" s="83" t="s">
        <v>271</v>
      </c>
      <c r="F75" s="83" t="s">
        <v>119</v>
      </c>
      <c r="G75" s="83" t="s">
        <v>64</v>
      </c>
      <c r="H75" s="243">
        <v>0</v>
      </c>
      <c r="I75" s="227">
        <v>92661.431385000004</v>
      </c>
      <c r="J75" s="225">
        <v>9.57</v>
      </c>
      <c r="K75" s="225">
        <v>9.57</v>
      </c>
      <c r="L75" s="226">
        <v>1</v>
      </c>
      <c r="M75" s="227">
        <v>134950924.34999999</v>
      </c>
      <c r="N75" s="227">
        <v>136451822.97999999</v>
      </c>
      <c r="O75" s="228">
        <v>0.98900052342855116</v>
      </c>
      <c r="P75" s="228">
        <v>0.96165413030000002</v>
      </c>
      <c r="Q75" s="229">
        <v>0.16300940439</v>
      </c>
      <c r="R75" s="229">
        <v>0.16300940438871475</v>
      </c>
      <c r="S75" s="229">
        <v>1.3584117032392895E-2</v>
      </c>
      <c r="T75" s="230">
        <v>0.13</v>
      </c>
      <c r="U75" s="231">
        <v>1.5792689977E-2</v>
      </c>
      <c r="V75" s="231">
        <v>0.12885356579999999</v>
      </c>
      <c r="W75" s="231">
        <v>0.22113173161999999</v>
      </c>
      <c r="X75" s="232" t="str">
        <f t="shared" si="1"/>
        <v>Link</v>
      </c>
    </row>
    <row r="76" spans="2:24" ht="14.25" customHeight="1" x14ac:dyDescent="0.25">
      <c r="B76" s="82" t="s">
        <v>441</v>
      </c>
      <c r="C76" s="242">
        <v>11179118000145</v>
      </c>
      <c r="D76" s="83" t="s">
        <v>442</v>
      </c>
      <c r="E76" s="83" t="s">
        <v>119</v>
      </c>
      <c r="F76" s="83" t="s">
        <v>119</v>
      </c>
      <c r="G76" s="83" t="s">
        <v>20</v>
      </c>
      <c r="H76" s="243">
        <v>0</v>
      </c>
      <c r="I76" s="227">
        <v>112635.41076</v>
      </c>
      <c r="J76" s="225">
        <v>152.44999999999999</v>
      </c>
      <c r="K76" s="225">
        <v>155.70263</v>
      </c>
      <c r="L76" s="226">
        <v>0.97910998677414751</v>
      </c>
      <c r="M76" s="227">
        <v>105552873.65000001</v>
      </c>
      <c r="N76" s="227">
        <v>154944944.09</v>
      </c>
      <c r="O76" s="228">
        <v>0.6812282534929921</v>
      </c>
      <c r="P76" s="228">
        <v>0.69419026831999997</v>
      </c>
      <c r="Q76" s="229">
        <v>0.13440501766999999</v>
      </c>
      <c r="R76" s="229">
        <v>0.1353886520170548</v>
      </c>
      <c r="S76" s="229">
        <v>1.1282387668087899E-2</v>
      </c>
      <c r="T76" s="230">
        <v>1.72</v>
      </c>
      <c r="U76" s="231">
        <v>1.4400887778999999E-2</v>
      </c>
      <c r="V76" s="231">
        <v>7.9130334502999999E-2</v>
      </c>
      <c r="W76" s="231">
        <v>0.20997868097</v>
      </c>
      <c r="X76" s="232" t="str">
        <f t="shared" si="1"/>
        <v>Link</v>
      </c>
    </row>
    <row r="77" spans="2:24" ht="14.25" customHeight="1" x14ac:dyDescent="0.25">
      <c r="B77" s="82" t="s">
        <v>443</v>
      </c>
      <c r="C77" s="242">
        <v>30567216000102</v>
      </c>
      <c r="D77" s="83" t="s">
        <v>444</v>
      </c>
      <c r="E77" s="83" t="s">
        <v>445</v>
      </c>
      <c r="F77" s="83" t="s">
        <v>445</v>
      </c>
      <c r="G77" s="83" t="s">
        <v>63</v>
      </c>
      <c r="H77" s="243">
        <v>2.7100000000000002E-3</v>
      </c>
      <c r="I77" s="227">
        <v>2171285.6354999999</v>
      </c>
      <c r="J77" s="225">
        <v>77.58</v>
      </c>
      <c r="K77" s="225">
        <v>84.671104940000006</v>
      </c>
      <c r="L77" s="226">
        <v>0.91625118220643353</v>
      </c>
      <c r="M77" s="227">
        <v>546991599.24000001</v>
      </c>
      <c r="N77" s="227">
        <v>685395610.67999995</v>
      </c>
      <c r="O77" s="228">
        <v>0.79806697142007443</v>
      </c>
      <c r="P77" s="228">
        <v>0.88997073895000001</v>
      </c>
      <c r="Q77" s="229">
        <v>0.12374323279</v>
      </c>
      <c r="R77" s="229">
        <v>0.1237432327919567</v>
      </c>
      <c r="S77" s="229">
        <v>1.0311936065996391E-2</v>
      </c>
      <c r="T77" s="230">
        <v>0.8</v>
      </c>
      <c r="U77" s="231">
        <v>-2.1412062568E-2</v>
      </c>
      <c r="V77" s="231">
        <v>-2.2305954874E-2</v>
      </c>
      <c r="W77" s="231">
        <v>6.0009908075E-2</v>
      </c>
      <c r="X77" s="232" t="str">
        <f t="shared" si="1"/>
        <v>Link</v>
      </c>
    </row>
    <row r="78" spans="2:24" ht="14.25" customHeight="1" x14ac:dyDescent="0.25">
      <c r="B78" s="82" t="s">
        <v>446</v>
      </c>
      <c r="C78" s="242">
        <v>11602654000101</v>
      </c>
      <c r="D78" s="83" t="s">
        <v>447</v>
      </c>
      <c r="E78" s="83" t="s">
        <v>119</v>
      </c>
      <c r="F78" s="83" t="s">
        <v>119</v>
      </c>
      <c r="G78" s="83" t="s">
        <v>20</v>
      </c>
      <c r="H78" s="243">
        <v>0</v>
      </c>
      <c r="I78" s="227">
        <v>136279.99708</v>
      </c>
      <c r="J78" s="225">
        <v>119.5</v>
      </c>
      <c r="K78" s="225">
        <v>125.13333301999999</v>
      </c>
      <c r="L78" s="226">
        <v>0.95498135561449782</v>
      </c>
      <c r="M78" s="227">
        <v>415144195</v>
      </c>
      <c r="N78" s="227">
        <v>434612477.42000002</v>
      </c>
      <c r="O78" s="228">
        <v>0.95520542222908544</v>
      </c>
      <c r="P78" s="228">
        <v>1.0113515605000001</v>
      </c>
      <c r="Q78" s="229">
        <v>9.2534854101E-2</v>
      </c>
      <c r="R78" s="229">
        <v>9.338912133891214E-2</v>
      </c>
      <c r="S78" s="229">
        <v>7.782426778242678E-3</v>
      </c>
      <c r="T78" s="230">
        <v>0.93</v>
      </c>
      <c r="U78" s="231">
        <v>-1.2809062087999999E-2</v>
      </c>
      <c r="V78" s="231">
        <v>6.8879743429999998E-3</v>
      </c>
      <c r="W78" s="231">
        <v>4.4858899637000002E-2</v>
      </c>
      <c r="X78" s="232" t="str">
        <f t="shared" si="1"/>
        <v>Link</v>
      </c>
    </row>
    <row r="79" spans="2:24" ht="14.25" customHeight="1" x14ac:dyDescent="0.25">
      <c r="B79" s="82" t="s">
        <v>289</v>
      </c>
      <c r="C79" s="242">
        <v>42405905000191</v>
      </c>
      <c r="D79" s="83" t="s">
        <v>290</v>
      </c>
      <c r="E79" s="83" t="s">
        <v>291</v>
      </c>
      <c r="F79" s="83" t="s">
        <v>275</v>
      </c>
      <c r="G79" s="83" t="s">
        <v>126</v>
      </c>
      <c r="H79" s="243" t="s">
        <v>44</v>
      </c>
      <c r="I79" s="227">
        <v>730606.68354</v>
      </c>
      <c r="J79" s="225">
        <v>7.8</v>
      </c>
      <c r="K79" s="225">
        <v>8.8233397628999999</v>
      </c>
      <c r="L79" s="226">
        <v>0.88401900069598416</v>
      </c>
      <c r="M79" s="227">
        <v>351611902.19999999</v>
      </c>
      <c r="N79" s="227">
        <v>424181943.19999999</v>
      </c>
      <c r="O79" s="228">
        <v>0.82891765629000003</v>
      </c>
      <c r="P79" s="228">
        <v>1.0392226312999999</v>
      </c>
      <c r="Q79" s="229">
        <v>0.17884615384999999</v>
      </c>
      <c r="R79" s="229">
        <v>0.16923076923076924</v>
      </c>
      <c r="S79" s="229">
        <v>1.4102564102564103E-2</v>
      </c>
      <c r="T79" s="230">
        <v>0.11</v>
      </c>
      <c r="U79" s="231">
        <v>-3.2241878709999998E-2</v>
      </c>
      <c r="V79" s="231">
        <v>-4.6815881142999997E-2</v>
      </c>
      <c r="W79" s="231">
        <v>8.6886566531000006E-2</v>
      </c>
      <c r="X79" s="232" t="str">
        <f t="shared" si="1"/>
        <v>Link</v>
      </c>
    </row>
    <row r="80" spans="2:24" ht="14.25" customHeight="1" x14ac:dyDescent="0.25">
      <c r="B80" s="82" t="s">
        <v>448</v>
      </c>
      <c r="C80" s="242">
        <v>17590518000125</v>
      </c>
      <c r="D80" s="83" t="s">
        <v>449</v>
      </c>
      <c r="E80" s="83" t="s">
        <v>450</v>
      </c>
      <c r="F80" s="83" t="s">
        <v>361</v>
      </c>
      <c r="G80" s="83" t="s">
        <v>61</v>
      </c>
      <c r="H80" s="243">
        <v>0</v>
      </c>
      <c r="I80" s="227">
        <v>123064.96707</v>
      </c>
      <c r="J80" s="225">
        <v>47.55</v>
      </c>
      <c r="K80" s="225">
        <v>50.501539117</v>
      </c>
      <c r="L80" s="226">
        <v>0.94155546209865026</v>
      </c>
      <c r="M80" s="227">
        <v>135517500</v>
      </c>
      <c r="N80" s="227">
        <v>199988002.66999999</v>
      </c>
      <c r="O80" s="228">
        <v>0.67762814864258281</v>
      </c>
      <c r="P80" s="228">
        <v>0.66141198247999999</v>
      </c>
      <c r="Q80" s="229">
        <v>0.12155625656999999</v>
      </c>
      <c r="R80" s="229">
        <v>0.12113564668769716</v>
      </c>
      <c r="S80" s="229">
        <v>1.0094637223974764E-2</v>
      </c>
      <c r="T80" s="230">
        <v>0.48</v>
      </c>
      <c r="U80" s="231">
        <v>-2.4014778325999998E-2</v>
      </c>
      <c r="V80" s="231">
        <v>9.2484226404999995E-2</v>
      </c>
      <c r="W80" s="231">
        <v>0.13490406614</v>
      </c>
      <c r="X80" s="232" t="str">
        <f t="shared" si="1"/>
        <v>Link</v>
      </c>
    </row>
    <row r="81" spans="2:24" ht="14.25" customHeight="1" x14ac:dyDescent="0.25">
      <c r="B81" s="82" t="s">
        <v>451</v>
      </c>
      <c r="C81" s="242">
        <v>14217108000145</v>
      </c>
      <c r="D81" s="83" t="s">
        <v>452</v>
      </c>
      <c r="E81" s="83" t="s">
        <v>438</v>
      </c>
      <c r="F81" s="83" t="s">
        <v>438</v>
      </c>
      <c r="G81" s="83" t="s">
        <v>65</v>
      </c>
      <c r="H81" s="243">
        <v>0</v>
      </c>
      <c r="I81" s="227">
        <v>243546.42138000001</v>
      </c>
      <c r="J81" s="225">
        <v>420.6</v>
      </c>
      <c r="K81" s="225">
        <v>474.46107726000002</v>
      </c>
      <c r="L81" s="226">
        <v>0.88647946092639196</v>
      </c>
      <c r="M81" s="227">
        <v>288111000</v>
      </c>
      <c r="N81" s="227">
        <v>407861235.81</v>
      </c>
      <c r="O81" s="228">
        <v>0.70639466245871663</v>
      </c>
      <c r="P81" s="228">
        <v>0.80449940322000002</v>
      </c>
      <c r="Q81" s="229">
        <v>8.9491203042999998E-2</v>
      </c>
      <c r="R81" s="229">
        <v>7.7032810271041363E-2</v>
      </c>
      <c r="S81" s="229">
        <v>6.4194008559201139E-3</v>
      </c>
      <c r="T81" s="230">
        <v>2.7</v>
      </c>
      <c r="U81" s="231">
        <v>-3.7836848605999999E-2</v>
      </c>
      <c r="V81" s="231">
        <v>-7.6574403836999996E-2</v>
      </c>
      <c r="W81" s="231">
        <v>-9.9890723419999994E-2</v>
      </c>
      <c r="X81" s="232" t="str">
        <f t="shared" si="1"/>
        <v>Link</v>
      </c>
    </row>
    <row r="82" spans="2:24" ht="14.25" customHeight="1" x14ac:dyDescent="0.25">
      <c r="B82" s="82" t="s">
        <v>453</v>
      </c>
      <c r="C82" s="242">
        <v>8696175000197</v>
      </c>
      <c r="D82" s="83" t="s">
        <v>454</v>
      </c>
      <c r="E82" s="83" t="s">
        <v>170</v>
      </c>
      <c r="F82" s="83" t="s">
        <v>357</v>
      </c>
      <c r="G82" s="83" t="s">
        <v>19</v>
      </c>
      <c r="H82" s="243">
        <v>0</v>
      </c>
      <c r="I82" s="227">
        <v>266143.17645999999</v>
      </c>
      <c r="J82" s="225">
        <v>123.5</v>
      </c>
      <c r="K82" s="225">
        <v>160.15516668999999</v>
      </c>
      <c r="L82" s="226">
        <v>0.77112716718686591</v>
      </c>
      <c r="M82" s="227">
        <v>114504507</v>
      </c>
      <c r="N82" s="227">
        <v>185396155.19999999</v>
      </c>
      <c r="O82" s="228">
        <v>0.6176207207559179</v>
      </c>
      <c r="P82" s="228">
        <v>0.78840343902999999</v>
      </c>
      <c r="Q82" s="229">
        <v>0.13651821861999999</v>
      </c>
      <c r="R82" s="229">
        <v>0.13797570850202429</v>
      </c>
      <c r="S82" s="229">
        <v>1.1497975708502023E-2</v>
      </c>
      <c r="T82" s="230">
        <v>1.42</v>
      </c>
      <c r="U82" s="231">
        <v>-5.0584255842999998E-2</v>
      </c>
      <c r="V82" s="231">
        <v>-0.15651740074000001</v>
      </c>
      <c r="W82" s="231">
        <v>-7.1509717934999995E-2</v>
      </c>
      <c r="X82" s="232" t="str">
        <f t="shared" si="1"/>
        <v>Link</v>
      </c>
    </row>
    <row r="83" spans="2:24" ht="14.25" customHeight="1" x14ac:dyDescent="0.25">
      <c r="B83" s="82" t="s">
        <v>455</v>
      </c>
      <c r="C83" s="242">
        <v>33884145000151</v>
      </c>
      <c r="D83" s="83" t="s">
        <v>456</v>
      </c>
      <c r="E83" s="83" t="s">
        <v>457</v>
      </c>
      <c r="F83" s="83" t="s">
        <v>275</v>
      </c>
      <c r="G83" s="83" t="s">
        <v>64</v>
      </c>
      <c r="H83" s="243">
        <v>0</v>
      </c>
      <c r="I83" s="227">
        <v>182326.07769000001</v>
      </c>
      <c r="J83" s="225">
        <v>90.4</v>
      </c>
      <c r="K83" s="225">
        <v>93.117337309999996</v>
      </c>
      <c r="L83" s="226">
        <v>0.97081813775501746</v>
      </c>
      <c r="M83" s="227">
        <v>67966697.599999994</v>
      </c>
      <c r="N83" s="227">
        <v>71014333.359999999</v>
      </c>
      <c r="O83" s="228">
        <v>0.95708421644190722</v>
      </c>
      <c r="P83" s="228">
        <v>1.0203294464999999</v>
      </c>
      <c r="Q83" s="229">
        <v>0.14491150442</v>
      </c>
      <c r="R83" s="229">
        <v>0.13938053097345132</v>
      </c>
      <c r="S83" s="229">
        <v>1.161504424778761E-2</v>
      </c>
      <c r="T83" s="230">
        <v>1.05</v>
      </c>
      <c r="U83" s="231">
        <v>-2.7426500797E-2</v>
      </c>
      <c r="V83" s="231">
        <v>2.8416490807999999E-2</v>
      </c>
      <c r="W83" s="231">
        <v>0.10008132426999999</v>
      </c>
      <c r="X83" s="232" t="str">
        <f t="shared" si="1"/>
        <v>Link</v>
      </c>
    </row>
    <row r="84" spans="2:24" ht="14.25" customHeight="1" x14ac:dyDescent="0.25">
      <c r="B84" s="82" t="s">
        <v>458</v>
      </c>
      <c r="C84" s="242">
        <v>4141645000103</v>
      </c>
      <c r="D84" s="83" t="s">
        <v>459</v>
      </c>
      <c r="E84" s="83" t="s">
        <v>445</v>
      </c>
      <c r="F84" s="83" t="s">
        <v>445</v>
      </c>
      <c r="G84" s="83" t="s">
        <v>63</v>
      </c>
      <c r="H84" s="243">
        <v>0</v>
      </c>
      <c r="I84" s="227">
        <v>46743.643077000001</v>
      </c>
      <c r="J84" s="225">
        <v>151.99</v>
      </c>
      <c r="K84" s="225">
        <v>156.48417749999999</v>
      </c>
      <c r="L84" s="226">
        <v>0.97128030723745229</v>
      </c>
      <c r="M84" s="227">
        <v>209848033.30000001</v>
      </c>
      <c r="N84" s="227">
        <v>345893884.73000002</v>
      </c>
      <c r="O84" s="228">
        <v>0.60668327069096495</v>
      </c>
      <c r="P84" s="228">
        <v>0.63523566284999999</v>
      </c>
      <c r="Q84" s="229">
        <v>9.1650766497999997E-2</v>
      </c>
      <c r="R84" s="229">
        <v>9.0795447068886093E-2</v>
      </c>
      <c r="S84" s="229">
        <v>7.5662872557405083E-3</v>
      </c>
      <c r="T84" s="230">
        <v>1.1499999999999999</v>
      </c>
      <c r="U84" s="231">
        <v>2.0983275066E-2</v>
      </c>
      <c r="V84" s="231">
        <v>1.5168083602000001E-2</v>
      </c>
      <c r="W84" s="231">
        <v>0.23554926832</v>
      </c>
      <c r="X84" s="232" t="str">
        <f t="shared" si="1"/>
        <v>Link</v>
      </c>
    </row>
    <row r="85" spans="2:24" ht="14.25" customHeight="1" x14ac:dyDescent="0.25">
      <c r="B85" s="82" t="s">
        <v>292</v>
      </c>
      <c r="C85" s="242">
        <v>42537438000153</v>
      </c>
      <c r="D85" s="83" t="s">
        <v>293</v>
      </c>
      <c r="E85" s="83" t="s">
        <v>294</v>
      </c>
      <c r="F85" s="83" t="s">
        <v>119</v>
      </c>
      <c r="G85" s="83" t="s">
        <v>126</v>
      </c>
      <c r="H85" s="243" t="s">
        <v>44</v>
      </c>
      <c r="I85" s="227">
        <v>65696.942154000004</v>
      </c>
      <c r="J85" s="225">
        <v>6.73</v>
      </c>
      <c r="K85" s="225">
        <v>9.0827235579999996</v>
      </c>
      <c r="L85" s="226">
        <v>0.74096717322991335</v>
      </c>
      <c r="M85" s="227">
        <v>30015476.960000001</v>
      </c>
      <c r="N85" s="227">
        <v>47318286.530000001</v>
      </c>
      <c r="O85" s="228">
        <v>0.63433144267999997</v>
      </c>
      <c r="P85" s="228">
        <v>0.95597436506</v>
      </c>
      <c r="Q85" s="229">
        <v>0.21040118870999999</v>
      </c>
      <c r="R85" s="229">
        <v>0.14799405646359584</v>
      </c>
      <c r="S85" s="229">
        <v>1.2332838038632986E-2</v>
      </c>
      <c r="T85" s="230">
        <v>8.3000000000000004E-2</v>
      </c>
      <c r="U85" s="231">
        <v>-4.7196338462999997E-2</v>
      </c>
      <c r="V85" s="231">
        <v>-0.19167390965</v>
      </c>
      <c r="W85" s="231">
        <v>-5.1780272677E-2</v>
      </c>
      <c r="X85" s="232" t="str">
        <f t="shared" si="1"/>
        <v>Link</v>
      </c>
    </row>
    <row r="86" spans="2:24" ht="14.25" customHeight="1" x14ac:dyDescent="0.25">
      <c r="B86" s="82" t="s">
        <v>460</v>
      </c>
      <c r="C86" s="242">
        <v>332266000131</v>
      </c>
      <c r="D86" s="83" t="s">
        <v>461</v>
      </c>
      <c r="E86" s="83" t="s">
        <v>450</v>
      </c>
      <c r="F86" s="83" t="s">
        <v>361</v>
      </c>
      <c r="G86" s="83" t="s">
        <v>61</v>
      </c>
      <c r="H86" s="243">
        <v>0</v>
      </c>
      <c r="I86" s="227">
        <v>40751.556307999999</v>
      </c>
      <c r="J86" s="225">
        <v>52.99</v>
      </c>
      <c r="K86" s="225">
        <v>75.658087742000006</v>
      </c>
      <c r="L86" s="226">
        <v>0.70038777851087175</v>
      </c>
      <c r="M86" s="227">
        <v>148379895.50999999</v>
      </c>
      <c r="N86" s="227">
        <v>258037314.58000001</v>
      </c>
      <c r="O86" s="228">
        <v>0.57503270700020159</v>
      </c>
      <c r="P86" s="228">
        <v>0.76524613569</v>
      </c>
      <c r="Q86" s="229">
        <v>6.8880920929E-2</v>
      </c>
      <c r="R86" s="229">
        <v>0.10190602000377429</v>
      </c>
      <c r="S86" s="229">
        <v>8.4921683336478572E-3</v>
      </c>
      <c r="T86" s="230">
        <v>0.45</v>
      </c>
      <c r="U86" s="231">
        <v>1.6302263136999999E-2</v>
      </c>
      <c r="V86" s="231">
        <v>-0.21371962228999999</v>
      </c>
      <c r="W86" s="231">
        <v>-0.19963234556000001</v>
      </c>
      <c r="X86" s="232" t="str">
        <f t="shared" si="1"/>
        <v>Link</v>
      </c>
    </row>
    <row r="87" spans="2:24" ht="14.25" customHeight="1" x14ac:dyDescent="0.25">
      <c r="B87" s="82" t="s">
        <v>462</v>
      </c>
      <c r="C87" s="242">
        <v>18085673000157</v>
      </c>
      <c r="D87" s="83" t="s">
        <v>463</v>
      </c>
      <c r="E87" s="83" t="s">
        <v>294</v>
      </c>
      <c r="F87" s="83" t="s">
        <v>119</v>
      </c>
      <c r="G87" s="83" t="s">
        <v>64</v>
      </c>
      <c r="H87" s="243">
        <v>0</v>
      </c>
      <c r="I87" s="227">
        <v>124217.63523</v>
      </c>
      <c r="J87" s="225">
        <v>7.96</v>
      </c>
      <c r="K87" s="225">
        <v>8.3283920793000004</v>
      </c>
      <c r="L87" s="226">
        <v>0.95576672234060289</v>
      </c>
      <c r="M87" s="227">
        <v>121639848.48</v>
      </c>
      <c r="N87" s="227">
        <v>152619736.59</v>
      </c>
      <c r="O87" s="228">
        <v>0.79701256991928349</v>
      </c>
      <c r="P87" s="228">
        <v>0.86103865608999997</v>
      </c>
      <c r="Q87" s="229">
        <v>0.15189698492000001</v>
      </c>
      <c r="R87" s="229">
        <v>0.15075376884422112</v>
      </c>
      <c r="S87" s="229">
        <v>1.2562814070351759E-2</v>
      </c>
      <c r="T87" s="230">
        <v>0.1</v>
      </c>
      <c r="U87" s="231">
        <v>-1.6996083993E-2</v>
      </c>
      <c r="V87" s="231">
        <v>2.9000433195000001E-2</v>
      </c>
      <c r="W87" s="231">
        <v>0.15979948600999999</v>
      </c>
      <c r="X87" s="232" t="str">
        <f t="shared" si="1"/>
        <v>Link</v>
      </c>
    </row>
    <row r="88" spans="2:24" ht="14.25" customHeight="1" x14ac:dyDescent="0.25">
      <c r="B88" s="82" t="s">
        <v>464</v>
      </c>
      <c r="C88" s="242">
        <v>41269052000145</v>
      </c>
      <c r="D88" s="83" t="s">
        <v>465</v>
      </c>
      <c r="E88" s="83" t="s">
        <v>466</v>
      </c>
      <c r="F88" s="83" t="s">
        <v>167</v>
      </c>
      <c r="G88" s="83" t="s">
        <v>64</v>
      </c>
      <c r="H88" s="243">
        <v>0</v>
      </c>
      <c r="I88" s="227">
        <v>291521.05446000001</v>
      </c>
      <c r="J88" s="225">
        <v>8.36</v>
      </c>
      <c r="K88" s="225">
        <v>8.7245309514000002</v>
      </c>
      <c r="L88" s="226">
        <v>0.95821770208271129</v>
      </c>
      <c r="M88" s="227">
        <v>237642421.72</v>
      </c>
      <c r="N88" s="227">
        <v>265144618.58000001</v>
      </c>
      <c r="O88" s="228">
        <v>0.89627473109848543</v>
      </c>
      <c r="P88" s="228">
        <v>0.91961559405000004</v>
      </c>
      <c r="Q88" s="229">
        <v>0.14055023923000001</v>
      </c>
      <c r="R88" s="229">
        <v>0.14354066985645936</v>
      </c>
      <c r="S88" s="229">
        <v>1.1961722488038279E-2</v>
      </c>
      <c r="T88" s="230">
        <v>0.1</v>
      </c>
      <c r="U88" s="231">
        <v>2.3047362118E-2</v>
      </c>
      <c r="V88" s="231">
        <v>3.0714719950999999E-2</v>
      </c>
      <c r="W88" s="231">
        <v>0.12841393634000001</v>
      </c>
      <c r="X88" s="232" t="str">
        <f t="shared" si="1"/>
        <v>Link</v>
      </c>
    </row>
    <row r="89" spans="2:24" ht="14.25" customHeight="1" x14ac:dyDescent="0.25">
      <c r="B89" s="82" t="s">
        <v>467</v>
      </c>
      <c r="C89" s="242">
        <v>37295919000160</v>
      </c>
      <c r="D89" s="83" t="s">
        <v>468</v>
      </c>
      <c r="E89" s="83" t="s">
        <v>466</v>
      </c>
      <c r="F89" s="83" t="s">
        <v>167</v>
      </c>
      <c r="G89" s="83" t="s">
        <v>180</v>
      </c>
      <c r="H89" s="243">
        <v>1.609E-2</v>
      </c>
      <c r="I89" s="227">
        <v>10182115.720000001</v>
      </c>
      <c r="J89" s="225">
        <v>8.23</v>
      </c>
      <c r="K89" s="225">
        <v>8.4667228799000007</v>
      </c>
      <c r="L89" s="226">
        <v>0.97204079036743007</v>
      </c>
      <c r="M89" s="227">
        <v>2380004384.6999998</v>
      </c>
      <c r="N89" s="227">
        <v>2633841713.6999998</v>
      </c>
      <c r="O89" s="228">
        <v>0.90362468341219659</v>
      </c>
      <c r="P89" s="228">
        <v>0.96270049193999996</v>
      </c>
      <c r="Q89" s="229">
        <v>0.12102065613</v>
      </c>
      <c r="R89" s="229">
        <v>0.12102065613608748</v>
      </c>
      <c r="S89" s="229">
        <v>1.008505467800729E-2</v>
      </c>
      <c r="T89" s="230">
        <v>8.3000000000000004E-2</v>
      </c>
      <c r="U89" s="231">
        <v>1.0187799189000001E-2</v>
      </c>
      <c r="V89" s="231">
        <v>-1.7552150395E-2</v>
      </c>
      <c r="W89" s="231">
        <v>1.6892300408000001E-2</v>
      </c>
      <c r="X89" s="232" t="str">
        <f t="shared" si="1"/>
        <v>Link</v>
      </c>
    </row>
    <row r="90" spans="2:24" ht="14.25" customHeight="1" x14ac:dyDescent="0.25">
      <c r="B90" s="82" t="s">
        <v>247</v>
      </c>
      <c r="C90" s="242">
        <v>37037297000170</v>
      </c>
      <c r="D90" s="83" t="s">
        <v>248</v>
      </c>
      <c r="E90" s="83" t="s">
        <v>249</v>
      </c>
      <c r="F90" s="83" t="s">
        <v>229</v>
      </c>
      <c r="G90" s="83" t="s">
        <v>126</v>
      </c>
      <c r="H90" s="243" t="s">
        <v>44</v>
      </c>
      <c r="I90" s="227">
        <v>175486.43831</v>
      </c>
      <c r="J90" s="225">
        <v>47.6</v>
      </c>
      <c r="K90" s="225">
        <v>60.261122807</v>
      </c>
      <c r="L90" s="226">
        <v>0.78989567042170561</v>
      </c>
      <c r="M90" s="227">
        <v>83341174</v>
      </c>
      <c r="N90" s="227">
        <v>149068440.56</v>
      </c>
      <c r="O90" s="228">
        <v>0.55907993460000005</v>
      </c>
      <c r="P90" s="228">
        <v>0.98534229437999998</v>
      </c>
      <c r="Q90" s="229">
        <v>0.17100840336000001</v>
      </c>
      <c r="R90" s="229">
        <v>0.17142857142857143</v>
      </c>
      <c r="S90" s="229">
        <v>1.4285714285714287E-2</v>
      </c>
      <c r="T90" s="230">
        <v>0.68</v>
      </c>
      <c r="U90" s="231">
        <v>-4.1577920076000002E-2</v>
      </c>
      <c r="V90" s="231">
        <v>-2.2174865898999998E-3</v>
      </c>
      <c r="W90" s="231">
        <v>8.8767230096000002E-2</v>
      </c>
      <c r="X90" s="232" t="str">
        <f t="shared" si="1"/>
        <v>Link</v>
      </c>
    </row>
    <row r="91" spans="2:24" ht="14.25" customHeight="1" x14ac:dyDescent="0.25">
      <c r="B91" s="82" t="s">
        <v>469</v>
      </c>
      <c r="C91" s="242">
        <v>38293897000161</v>
      </c>
      <c r="D91" s="83" t="s">
        <v>470</v>
      </c>
      <c r="E91" s="83" t="s">
        <v>249</v>
      </c>
      <c r="F91" s="83" t="s">
        <v>119</v>
      </c>
      <c r="G91" s="83" t="s">
        <v>64</v>
      </c>
      <c r="H91" s="243">
        <v>0</v>
      </c>
      <c r="I91" s="227">
        <v>195513.29323000001</v>
      </c>
      <c r="J91" s="225">
        <v>65.5</v>
      </c>
      <c r="K91" s="225">
        <v>67.539784710000006</v>
      </c>
      <c r="L91" s="226">
        <v>0.96979876795938325</v>
      </c>
      <c r="M91" s="227">
        <v>95227764.5</v>
      </c>
      <c r="N91" s="227">
        <v>134189501.94</v>
      </c>
      <c r="O91" s="228">
        <v>0.70965137453583427</v>
      </c>
      <c r="P91" s="228">
        <v>0.71912245011999998</v>
      </c>
      <c r="Q91" s="229">
        <v>0.15465648855</v>
      </c>
      <c r="R91" s="229">
        <v>0.15572519083969466</v>
      </c>
      <c r="S91" s="229">
        <v>1.2977099236641221E-2</v>
      </c>
      <c r="T91" s="230">
        <v>0.85</v>
      </c>
      <c r="U91" s="231">
        <v>9.5420332344999994E-3</v>
      </c>
      <c r="V91" s="231">
        <v>0.10162363969</v>
      </c>
      <c r="W91" s="231">
        <v>0.21820784319</v>
      </c>
      <c r="X91" s="232" t="str">
        <f t="shared" si="1"/>
        <v>Link</v>
      </c>
    </row>
    <row r="92" spans="2:24" ht="14.25" customHeight="1" x14ac:dyDescent="0.25">
      <c r="B92" s="82" t="s">
        <v>471</v>
      </c>
      <c r="C92" s="242">
        <v>26614291000100</v>
      </c>
      <c r="D92" s="83" t="s">
        <v>472</v>
      </c>
      <c r="E92" s="83" t="s">
        <v>473</v>
      </c>
      <c r="F92" s="83" t="s">
        <v>276</v>
      </c>
      <c r="G92" s="83" t="s">
        <v>65</v>
      </c>
      <c r="H92" s="243">
        <v>1.312E-2</v>
      </c>
      <c r="I92" s="227">
        <v>14955584.321</v>
      </c>
      <c r="J92" s="225">
        <v>9.06</v>
      </c>
      <c r="K92" s="225">
        <v>10.002555215999999</v>
      </c>
      <c r="L92" s="226">
        <v>0.90576855656919586</v>
      </c>
      <c r="M92" s="227">
        <v>1941074775.8</v>
      </c>
      <c r="N92" s="227">
        <v>2378493625.6999998</v>
      </c>
      <c r="O92" s="228">
        <v>0.8160941676809137</v>
      </c>
      <c r="P92" s="228">
        <v>0.88231353929</v>
      </c>
      <c r="Q92" s="229">
        <v>0.13245033112999999</v>
      </c>
      <c r="R92" s="229">
        <v>0.13245033112582782</v>
      </c>
      <c r="S92" s="229">
        <v>1.1037527593818985E-2</v>
      </c>
      <c r="T92" s="230">
        <v>0.1</v>
      </c>
      <c r="U92" s="231">
        <v>-8.7548712888999999E-2</v>
      </c>
      <c r="V92" s="231">
        <v>-8.9866661665000003E-3</v>
      </c>
      <c r="W92" s="231">
        <v>6.7338015377000002E-2</v>
      </c>
      <c r="X92" s="232" t="str">
        <f t="shared" si="1"/>
        <v>Link</v>
      </c>
    </row>
    <row r="93" spans="2:24" ht="14.25" customHeight="1" x14ac:dyDescent="0.25">
      <c r="B93" s="82" t="s">
        <v>789</v>
      </c>
      <c r="C93" s="242">
        <v>58378463000171</v>
      </c>
      <c r="D93" s="83" t="s">
        <v>44</v>
      </c>
      <c r="E93" s="83" t="s">
        <v>249</v>
      </c>
      <c r="F93" s="83" t="s">
        <v>276</v>
      </c>
      <c r="G93" s="83" t="s">
        <v>65</v>
      </c>
      <c r="H93" s="243">
        <v>0</v>
      </c>
      <c r="I93" s="227">
        <v>52862.427077</v>
      </c>
      <c r="J93" s="225">
        <v>109.45</v>
      </c>
      <c r="K93" s="225">
        <v>109.45</v>
      </c>
      <c r="L93" s="226">
        <v>1</v>
      </c>
      <c r="M93" s="227">
        <v>164722250</v>
      </c>
      <c r="N93" s="227">
        <v>160995777.77000001</v>
      </c>
      <c r="O93" s="228">
        <v>1.0231463972634343</v>
      </c>
      <c r="P93" s="228">
        <v>1.0455132697</v>
      </c>
      <c r="Q93" s="229">
        <v>9.3695751485000006E-2</v>
      </c>
      <c r="R93" s="229">
        <v>0.15897670169026953</v>
      </c>
      <c r="S93" s="229">
        <v>1.3248058474189127E-2</v>
      </c>
      <c r="T93" s="230">
        <v>1.45</v>
      </c>
      <c r="U93" s="231">
        <v>9.6630274183999998E-3</v>
      </c>
      <c r="V93" s="231">
        <v>9.9966569064999997E-2</v>
      </c>
      <c r="W93" s="231">
        <v>0.14652298976</v>
      </c>
      <c r="X93" s="232" t="str">
        <f t="shared" si="1"/>
        <v>Link</v>
      </c>
    </row>
    <row r="94" spans="2:24" ht="14.25" customHeight="1" x14ac:dyDescent="0.25">
      <c r="B94" s="82" t="s">
        <v>474</v>
      </c>
      <c r="C94" s="242">
        <v>54483412000159</v>
      </c>
      <c r="D94" s="83" t="s">
        <v>475</v>
      </c>
      <c r="E94" s="83" t="s">
        <v>762</v>
      </c>
      <c r="F94" s="83" t="s">
        <v>167</v>
      </c>
      <c r="G94" s="83" t="s">
        <v>65</v>
      </c>
      <c r="H94" s="243">
        <v>0</v>
      </c>
      <c r="I94" s="227">
        <v>238942.00154</v>
      </c>
      <c r="J94" s="225">
        <v>8.06</v>
      </c>
      <c r="K94" s="225">
        <v>8.9542400360999999</v>
      </c>
      <c r="L94" s="226">
        <v>0.90013222423178596</v>
      </c>
      <c r="M94" s="227">
        <v>199082000</v>
      </c>
      <c r="N94" s="227">
        <v>239325462.59</v>
      </c>
      <c r="O94" s="228">
        <v>0.83184629769652629</v>
      </c>
      <c r="P94" s="228">
        <v>0.93999128783999997</v>
      </c>
      <c r="Q94" s="229">
        <v>0.11910669975</v>
      </c>
      <c r="R94" s="229">
        <v>0.11910669975186104</v>
      </c>
      <c r="S94" s="229">
        <v>9.9255583126550868E-3</v>
      </c>
      <c r="T94" s="230">
        <v>0.08</v>
      </c>
      <c r="U94" s="231">
        <v>-2.657004831E-2</v>
      </c>
      <c r="V94" s="231">
        <v>-4.5293107079999999E-2</v>
      </c>
      <c r="W94" s="231">
        <v>0.12255915565</v>
      </c>
      <c r="X94" s="232" t="str">
        <f t="shared" si="1"/>
        <v>Link</v>
      </c>
    </row>
    <row r="95" spans="2:24" ht="14.25" customHeight="1" x14ac:dyDescent="0.25">
      <c r="B95" s="82" t="s">
        <v>476</v>
      </c>
      <c r="C95" s="242">
        <v>11769604000113</v>
      </c>
      <c r="D95" s="83" t="s">
        <v>477</v>
      </c>
      <c r="E95" s="83" t="s">
        <v>228</v>
      </c>
      <c r="F95" s="83" t="s">
        <v>573</v>
      </c>
      <c r="G95" s="83" t="s">
        <v>61</v>
      </c>
      <c r="H95" s="243">
        <v>0</v>
      </c>
      <c r="I95" s="227">
        <v>11013193.926000001</v>
      </c>
      <c r="J95" s="225">
        <v>11.1</v>
      </c>
      <c r="K95" s="225">
        <v>11.99</v>
      </c>
      <c r="L95" s="226">
        <v>0.92577147623019174</v>
      </c>
      <c r="M95" s="227">
        <v>1066822140.9</v>
      </c>
      <c r="N95" s="227">
        <v>1219824372.4000001</v>
      </c>
      <c r="O95" s="228">
        <v>0.87457027834345635</v>
      </c>
      <c r="P95" s="228">
        <v>0.81033670353999998</v>
      </c>
      <c r="Q95" s="229" t="s">
        <v>44</v>
      </c>
      <c r="R95" s="229" t="s">
        <v>44</v>
      </c>
      <c r="S95" s="229" t="s">
        <v>44</v>
      </c>
      <c r="T95" s="230" t="s">
        <v>44</v>
      </c>
      <c r="U95" s="231">
        <v>-7.1129707112000007E-2</v>
      </c>
      <c r="V95" s="231">
        <v>1.2045992817999999E-2</v>
      </c>
      <c r="W95" s="231">
        <v>0.23283565016999999</v>
      </c>
      <c r="X95" s="232" t="str">
        <f t="shared" si="1"/>
        <v>Link</v>
      </c>
    </row>
    <row r="96" spans="2:24" ht="14.25" customHeight="1" x14ac:dyDescent="0.25">
      <c r="B96" s="82" t="s">
        <v>478</v>
      </c>
      <c r="C96" s="242">
        <v>23740527000158</v>
      </c>
      <c r="D96" s="83" t="s">
        <v>479</v>
      </c>
      <c r="E96" s="83" t="s">
        <v>370</v>
      </c>
      <c r="F96" s="83" t="s">
        <v>371</v>
      </c>
      <c r="G96" s="83" t="s">
        <v>63</v>
      </c>
      <c r="H96" s="243">
        <v>6.3400000000000001E-3</v>
      </c>
      <c r="I96" s="227">
        <v>683578.75584999996</v>
      </c>
      <c r="J96" s="225">
        <v>78.05</v>
      </c>
      <c r="K96" s="225">
        <v>83.308849238999997</v>
      </c>
      <c r="L96" s="226">
        <v>0.93687526250766961</v>
      </c>
      <c r="M96" s="227">
        <v>936600000</v>
      </c>
      <c r="N96" s="227">
        <v>1216454221.7</v>
      </c>
      <c r="O96" s="228">
        <v>0.769942660637979</v>
      </c>
      <c r="P96" s="228">
        <v>0.80962466379999998</v>
      </c>
      <c r="Q96" s="229">
        <v>0.13837283791999999</v>
      </c>
      <c r="R96" s="229">
        <v>1.4606021780909674E-2</v>
      </c>
      <c r="S96" s="229">
        <v>1.2171684817424728E-3</v>
      </c>
      <c r="T96" s="230">
        <v>9.5000000000000001E-2</v>
      </c>
      <c r="U96" s="231">
        <v>-1.6135131726999999E-2</v>
      </c>
      <c r="V96" s="231">
        <v>2.5378629654E-2</v>
      </c>
      <c r="W96" s="231">
        <v>0.17107412323999999</v>
      </c>
      <c r="X96" s="232" t="str">
        <f t="shared" si="1"/>
        <v>Link</v>
      </c>
    </row>
    <row r="97" spans="2:24" ht="14.25" customHeight="1" x14ac:dyDescent="0.25">
      <c r="B97" s="82" t="s">
        <v>182</v>
      </c>
      <c r="C97" s="242">
        <v>15447108000102</v>
      </c>
      <c r="D97" s="83" t="s">
        <v>480</v>
      </c>
      <c r="E97" s="83" t="s">
        <v>119</v>
      </c>
      <c r="F97" s="83" t="s">
        <v>119</v>
      </c>
      <c r="G97" s="83" t="s">
        <v>61</v>
      </c>
      <c r="H97" s="243">
        <v>5.47E-3</v>
      </c>
      <c r="I97" s="227">
        <v>408066.76753999997</v>
      </c>
      <c r="J97" s="225">
        <v>37.03</v>
      </c>
      <c r="K97" s="225">
        <v>47.157718525999996</v>
      </c>
      <c r="L97" s="226">
        <v>0.78523730912859646</v>
      </c>
      <c r="M97" s="227">
        <v>862718867.08000004</v>
      </c>
      <c r="N97" s="227">
        <v>2024450865.5999999</v>
      </c>
      <c r="O97" s="228">
        <v>0.42614957060185815</v>
      </c>
      <c r="P97" s="228">
        <v>0.51023188712</v>
      </c>
      <c r="Q97" s="229">
        <v>0.19443694302</v>
      </c>
      <c r="R97" s="229">
        <v>0.13610586011342155</v>
      </c>
      <c r="S97" s="229">
        <v>1.1342155009451795E-2</v>
      </c>
      <c r="T97" s="230">
        <v>0.42</v>
      </c>
      <c r="U97" s="231">
        <v>-8.6581154413999994E-2</v>
      </c>
      <c r="V97" s="231">
        <v>-0.14218842612999999</v>
      </c>
      <c r="W97" s="231">
        <v>-2.0717713223000001E-3</v>
      </c>
      <c r="X97" s="232" t="str">
        <f t="shared" si="1"/>
        <v>Link</v>
      </c>
    </row>
    <row r="98" spans="2:24" ht="14.25" customHeight="1" x14ac:dyDescent="0.25">
      <c r="B98" s="82" t="s">
        <v>481</v>
      </c>
      <c r="C98" s="242">
        <v>30578417000105</v>
      </c>
      <c r="D98" s="83" t="s">
        <v>482</v>
      </c>
      <c r="E98" s="83" t="s">
        <v>766</v>
      </c>
      <c r="F98" s="83" t="s">
        <v>268</v>
      </c>
      <c r="G98" s="83" t="s">
        <v>64</v>
      </c>
      <c r="H98" s="243">
        <v>3.5799999999999998E-3</v>
      </c>
      <c r="I98" s="227">
        <v>1102674.7289</v>
      </c>
      <c r="J98" s="225">
        <v>65.2</v>
      </c>
      <c r="K98" s="225">
        <v>74.385293625000003</v>
      </c>
      <c r="L98" s="226">
        <v>0.87651734398863845</v>
      </c>
      <c r="M98" s="227">
        <v>529866251.60000002</v>
      </c>
      <c r="N98" s="227">
        <v>766391171.64999998</v>
      </c>
      <c r="O98" s="228">
        <v>0.69137833419874317</v>
      </c>
      <c r="P98" s="228">
        <v>0.79269858366000001</v>
      </c>
      <c r="Q98" s="229">
        <v>0.17668711656</v>
      </c>
      <c r="R98" s="229">
        <v>0.17484662576687116</v>
      </c>
      <c r="S98" s="229">
        <v>1.4570552147239263E-2</v>
      </c>
      <c r="T98" s="230">
        <v>0.95</v>
      </c>
      <c r="U98" s="231">
        <v>-7.7532541031000005E-2</v>
      </c>
      <c r="V98" s="231">
        <v>-5.5531933382E-2</v>
      </c>
      <c r="W98" s="231">
        <v>-3.7804541736000001E-2</v>
      </c>
      <c r="X98" s="232" t="str">
        <f t="shared" si="1"/>
        <v>Link</v>
      </c>
    </row>
    <row r="99" spans="2:24" ht="14.25" customHeight="1" x14ac:dyDescent="0.25">
      <c r="B99" s="82" t="s">
        <v>484</v>
      </c>
      <c r="C99" s="242">
        <v>4066582000160</v>
      </c>
      <c r="D99" s="83" t="s">
        <v>485</v>
      </c>
      <c r="E99" s="83" t="s">
        <v>119</v>
      </c>
      <c r="F99" s="83" t="s">
        <v>119</v>
      </c>
      <c r="G99" s="83" t="s">
        <v>25</v>
      </c>
      <c r="H99" s="243">
        <v>0</v>
      </c>
      <c r="I99" s="227">
        <v>37732.930923</v>
      </c>
      <c r="J99" s="225">
        <v>279.5</v>
      </c>
      <c r="K99" s="225">
        <v>309.28324644999998</v>
      </c>
      <c r="L99" s="226">
        <v>0.90370236088809663</v>
      </c>
      <c r="M99" s="227">
        <v>55900000</v>
      </c>
      <c r="N99" s="227">
        <v>65911171.509999998</v>
      </c>
      <c r="O99" s="228">
        <v>0.84811115808370796</v>
      </c>
      <c r="P99" s="228">
        <v>1.0311693032</v>
      </c>
      <c r="Q99" s="229">
        <v>0.18171962222999999</v>
      </c>
      <c r="R99" s="229">
        <v>0.10948121731663685</v>
      </c>
      <c r="S99" s="229">
        <v>9.1234347763864045E-3</v>
      </c>
      <c r="T99" s="230">
        <v>2.5500000200000001</v>
      </c>
      <c r="U99" s="231">
        <v>4.5031022685999997E-2</v>
      </c>
      <c r="V99" s="231">
        <v>5.4640544800000003E-2</v>
      </c>
      <c r="W99" s="231">
        <v>0.29712592913000002</v>
      </c>
      <c r="X99" s="232" t="str">
        <f t="shared" si="1"/>
        <v>Link</v>
      </c>
    </row>
    <row r="100" spans="2:24" ht="14.25" customHeight="1" x14ac:dyDescent="0.25">
      <c r="B100" s="82" t="s">
        <v>486</v>
      </c>
      <c r="C100" s="242">
        <v>30248180000196</v>
      </c>
      <c r="D100" s="83" t="s">
        <v>487</v>
      </c>
      <c r="E100" s="83" t="s">
        <v>483</v>
      </c>
      <c r="F100" s="83" t="s">
        <v>276</v>
      </c>
      <c r="G100" s="83" t="s">
        <v>64</v>
      </c>
      <c r="H100" s="243">
        <v>2.0600000000000002E-3</v>
      </c>
      <c r="I100" s="227">
        <v>606898.75199999998</v>
      </c>
      <c r="J100" s="225">
        <v>13.75</v>
      </c>
      <c r="K100" s="225">
        <v>20.977021396000001</v>
      </c>
      <c r="L100" s="226">
        <v>0.65547914264996243</v>
      </c>
      <c r="M100" s="227">
        <v>303657789.93000001</v>
      </c>
      <c r="N100" s="227">
        <v>2237851095.1999998</v>
      </c>
      <c r="O100" s="228">
        <v>0.13569168680674068</v>
      </c>
      <c r="P100" s="228">
        <v>0.19849279818000001</v>
      </c>
      <c r="Q100" s="229">
        <v>0.24654545454999999</v>
      </c>
      <c r="R100" s="229">
        <v>0.20945454545454545</v>
      </c>
      <c r="S100" s="229">
        <v>1.7454545454545455E-2</v>
      </c>
      <c r="T100" s="230">
        <v>0.24</v>
      </c>
      <c r="U100" s="231">
        <v>-0.15415884928000001</v>
      </c>
      <c r="V100" s="231">
        <v>-0.26293307912000002</v>
      </c>
      <c r="W100" s="231">
        <v>-0.26060395781000001</v>
      </c>
      <c r="X100" s="232" t="str">
        <f t="shared" si="1"/>
        <v>Link</v>
      </c>
    </row>
    <row r="101" spans="2:24" ht="14.25" customHeight="1" x14ac:dyDescent="0.25">
      <c r="B101" s="82" t="s">
        <v>488</v>
      </c>
      <c r="C101" s="242">
        <v>18307582000119</v>
      </c>
      <c r="D101" s="83" t="s">
        <v>489</v>
      </c>
      <c r="E101" s="83" t="s">
        <v>450</v>
      </c>
      <c r="F101" s="83" t="s">
        <v>361</v>
      </c>
      <c r="G101" s="83" t="s">
        <v>43</v>
      </c>
      <c r="H101" s="243">
        <v>9.4299999999999991E-3</v>
      </c>
      <c r="I101" s="227">
        <v>2090390.6688000001</v>
      </c>
      <c r="J101" s="225">
        <v>6.18</v>
      </c>
      <c r="K101" s="225">
        <v>6.7292444010999999</v>
      </c>
      <c r="L101" s="226">
        <v>0.91837948388228885</v>
      </c>
      <c r="M101" s="227">
        <v>1349897400</v>
      </c>
      <c r="N101" s="227">
        <v>1666400939.9000001</v>
      </c>
      <c r="O101" s="228">
        <v>0.81006759398551864</v>
      </c>
      <c r="P101" s="228">
        <v>0.84109209679999997</v>
      </c>
      <c r="Q101" s="229">
        <v>0.11326860841</v>
      </c>
      <c r="R101" s="229">
        <v>0.11650485436893204</v>
      </c>
      <c r="S101" s="229">
        <v>9.7087378640776708E-3</v>
      </c>
      <c r="T101" s="230">
        <v>0.06</v>
      </c>
      <c r="U101" s="231">
        <v>-2.6771653542999999E-2</v>
      </c>
      <c r="V101" s="231">
        <v>4.3618579548000003E-4</v>
      </c>
      <c r="W101" s="231">
        <v>0.17611109473</v>
      </c>
      <c r="X101" s="232" t="str">
        <f t="shared" si="1"/>
        <v>Link</v>
      </c>
    </row>
    <row r="102" spans="2:24" ht="14.25" customHeight="1" x14ac:dyDescent="0.25">
      <c r="B102" s="82" t="s">
        <v>783</v>
      </c>
      <c r="C102" s="242">
        <v>53466467000198</v>
      </c>
      <c r="D102" s="83" t="s">
        <v>784</v>
      </c>
      <c r="E102" s="83" t="s">
        <v>450</v>
      </c>
      <c r="F102" s="83" t="s">
        <v>361</v>
      </c>
      <c r="G102" s="83" t="s">
        <v>65</v>
      </c>
      <c r="H102" s="243">
        <v>0</v>
      </c>
      <c r="I102" s="227">
        <v>69261.906000000003</v>
      </c>
      <c r="J102" s="225">
        <v>8.5399999999999991</v>
      </c>
      <c r="K102" s="225">
        <v>9.3928687783000004</v>
      </c>
      <c r="L102" s="226">
        <v>0.90920039463658298</v>
      </c>
      <c r="M102" s="227">
        <v>224275789.08000001</v>
      </c>
      <c r="N102" s="227">
        <v>255088732.75999999</v>
      </c>
      <c r="O102" s="228">
        <v>0.87920695929368897</v>
      </c>
      <c r="P102" s="228">
        <v>0.98764264522</v>
      </c>
      <c r="Q102" s="229">
        <v>0.10257611241</v>
      </c>
      <c r="R102" s="229">
        <v>0.10117096018735364</v>
      </c>
      <c r="S102" s="229">
        <v>8.4309133489461358E-3</v>
      </c>
      <c r="T102" s="230">
        <v>7.1999999999999995E-2</v>
      </c>
      <c r="U102" s="231">
        <v>-2.6003649635999999E-2</v>
      </c>
      <c r="V102" s="231">
        <v>-3.5481551451000001E-2</v>
      </c>
      <c r="W102" s="231">
        <v>0.10660037979</v>
      </c>
      <c r="X102" s="232" t="str">
        <f t="shared" si="1"/>
        <v>Link</v>
      </c>
    </row>
    <row r="103" spans="2:24" ht="14.25" customHeight="1" x14ac:dyDescent="0.25">
      <c r="B103" s="82" t="s">
        <v>27</v>
      </c>
      <c r="C103" s="242">
        <v>8431747000106</v>
      </c>
      <c r="D103" s="83" t="s">
        <v>490</v>
      </c>
      <c r="E103" s="83" t="s">
        <v>450</v>
      </c>
      <c r="F103" s="83" t="s">
        <v>361</v>
      </c>
      <c r="G103" s="83" t="s">
        <v>61</v>
      </c>
      <c r="H103" s="243">
        <v>1.6240000000000001E-2</v>
      </c>
      <c r="I103" s="227">
        <v>4435500.8685999997</v>
      </c>
      <c r="J103" s="225">
        <v>18.600000000000001</v>
      </c>
      <c r="K103" s="225">
        <v>20.328382660999999</v>
      </c>
      <c r="L103" s="226">
        <v>0.91497687298478991</v>
      </c>
      <c r="M103" s="227">
        <v>2685016503.5999999</v>
      </c>
      <c r="N103" s="227">
        <v>2922626205.5999999</v>
      </c>
      <c r="O103" s="228">
        <v>0.91869993448196707</v>
      </c>
      <c r="P103" s="228">
        <v>0.95664715868000005</v>
      </c>
      <c r="Q103" s="229">
        <v>0.10376344086</v>
      </c>
      <c r="R103" s="229">
        <v>0.10967741935483871</v>
      </c>
      <c r="S103" s="229">
        <v>9.1397849462365593E-3</v>
      </c>
      <c r="T103" s="230">
        <v>0.17</v>
      </c>
      <c r="U103" s="231">
        <v>-1.9504480761E-2</v>
      </c>
      <c r="V103" s="231">
        <v>-5.9386744851999997E-3</v>
      </c>
      <c r="W103" s="231">
        <v>8.8335596847E-2</v>
      </c>
      <c r="X103" s="232" t="str">
        <f t="shared" si="1"/>
        <v>Link</v>
      </c>
    </row>
    <row r="104" spans="2:24" ht="14.25" customHeight="1" x14ac:dyDescent="0.25">
      <c r="B104" s="82" t="s">
        <v>491</v>
      </c>
      <c r="C104" s="242">
        <v>11160521000122</v>
      </c>
      <c r="D104" s="83" t="s">
        <v>492</v>
      </c>
      <c r="E104" s="83" t="s">
        <v>44</v>
      </c>
      <c r="F104" s="83" t="s">
        <v>225</v>
      </c>
      <c r="G104" s="83" t="s">
        <v>64</v>
      </c>
      <c r="H104" s="243">
        <v>9.58E-3</v>
      </c>
      <c r="I104" s="227">
        <v>3163262.2404999998</v>
      </c>
      <c r="J104" s="225">
        <v>91.94</v>
      </c>
      <c r="K104" s="225">
        <v>95.728365499000006</v>
      </c>
      <c r="L104" s="226">
        <v>0.9604258833914846</v>
      </c>
      <c r="M104" s="227">
        <v>1417540665.5999999</v>
      </c>
      <c r="N104" s="227">
        <v>1501746013.5999999</v>
      </c>
      <c r="O104" s="228">
        <v>0.94392836921994405</v>
      </c>
      <c r="P104" s="228">
        <v>0.98585788940999997</v>
      </c>
      <c r="Q104" s="229">
        <v>0.12834457255000001</v>
      </c>
      <c r="R104" s="229">
        <v>0.13051990428540353</v>
      </c>
      <c r="S104" s="229">
        <v>1.0876658690450293E-2</v>
      </c>
      <c r="T104" s="230">
        <v>1</v>
      </c>
      <c r="U104" s="231">
        <v>-1.2247529007E-2</v>
      </c>
      <c r="V104" s="231">
        <v>1.6047271580000001E-2</v>
      </c>
      <c r="W104" s="231">
        <v>0.12107651206</v>
      </c>
      <c r="X104" s="232" t="str">
        <f t="shared" si="1"/>
        <v>Link</v>
      </c>
    </row>
    <row r="105" spans="2:24" ht="14.25" customHeight="1" x14ac:dyDescent="0.25">
      <c r="B105" s="82" t="s">
        <v>493</v>
      </c>
      <c r="C105" s="242">
        <v>11728688000147</v>
      </c>
      <c r="D105" s="83" t="s">
        <v>494</v>
      </c>
      <c r="E105" s="83" t="s">
        <v>44</v>
      </c>
      <c r="F105" s="83" t="s">
        <v>225</v>
      </c>
      <c r="G105" s="83" t="s">
        <v>65</v>
      </c>
      <c r="H105" s="243">
        <v>4.2209999999999998E-2</v>
      </c>
      <c r="I105" s="227">
        <v>15893904.380000001</v>
      </c>
      <c r="J105" s="225">
        <v>147.21</v>
      </c>
      <c r="K105" s="225">
        <v>153.42795942000001</v>
      </c>
      <c r="L105" s="226">
        <v>0.95947310096865268</v>
      </c>
      <c r="M105" s="227">
        <v>6713032881.3999996</v>
      </c>
      <c r="N105" s="227">
        <v>7589554105.3999996</v>
      </c>
      <c r="O105" s="228">
        <v>0.88450952298023</v>
      </c>
      <c r="P105" s="228">
        <v>0.93920761363000005</v>
      </c>
      <c r="Q105" s="229">
        <v>9.0143332654E-2</v>
      </c>
      <c r="R105" s="229">
        <v>9.537395557367026E-2</v>
      </c>
      <c r="S105" s="229">
        <v>7.9478296311391878E-3</v>
      </c>
      <c r="T105" s="230">
        <v>1.17</v>
      </c>
      <c r="U105" s="231">
        <v>6.5641025631000003E-3</v>
      </c>
      <c r="V105" s="231">
        <v>-1.0372854954E-2</v>
      </c>
      <c r="W105" s="231">
        <v>5.8111392971E-2</v>
      </c>
      <c r="X105" s="232" t="str">
        <f t="shared" si="1"/>
        <v>Link</v>
      </c>
    </row>
    <row r="106" spans="2:24" ht="14.25" customHeight="1" x14ac:dyDescent="0.25">
      <c r="B106" s="82" t="s">
        <v>495</v>
      </c>
      <c r="C106" s="242">
        <v>9072017000129</v>
      </c>
      <c r="D106" s="83" t="s">
        <v>496</v>
      </c>
      <c r="E106" s="83" t="s">
        <v>44</v>
      </c>
      <c r="F106" s="83" t="s">
        <v>225</v>
      </c>
      <c r="G106" s="83" t="s">
        <v>63</v>
      </c>
      <c r="H106" s="243">
        <v>9.2200000000000008E-3</v>
      </c>
      <c r="I106" s="227">
        <v>2175603.8135000002</v>
      </c>
      <c r="J106" s="225">
        <v>115.42</v>
      </c>
      <c r="K106" s="225">
        <v>128.25362849000001</v>
      </c>
      <c r="L106" s="226">
        <v>0.89993555238087741</v>
      </c>
      <c r="M106" s="227">
        <v>1364006667.0999999</v>
      </c>
      <c r="N106" s="227">
        <v>1732940877.7</v>
      </c>
      <c r="O106" s="228">
        <v>0.78710513708369656</v>
      </c>
      <c r="P106" s="228">
        <v>0.82930299631000004</v>
      </c>
      <c r="Q106" s="229">
        <v>9.9636111592999996E-2</v>
      </c>
      <c r="R106" s="229">
        <v>8.8372898977646858E-2</v>
      </c>
      <c r="S106" s="229">
        <v>7.3644082481372376E-3</v>
      </c>
      <c r="T106" s="230">
        <v>0.85</v>
      </c>
      <c r="U106" s="231">
        <v>-2.9676334594999999E-2</v>
      </c>
      <c r="V106" s="231">
        <v>-7.2185225389999998E-3</v>
      </c>
      <c r="W106" s="231">
        <v>0.14481985879000001</v>
      </c>
      <c r="X106" s="232" t="str">
        <f t="shared" si="1"/>
        <v>Link</v>
      </c>
    </row>
    <row r="107" spans="2:24" ht="14.25" customHeight="1" x14ac:dyDescent="0.25">
      <c r="B107" s="82" t="s">
        <v>26</v>
      </c>
      <c r="C107" s="242">
        <v>29641226000153</v>
      </c>
      <c r="D107" s="83" t="s">
        <v>497</v>
      </c>
      <c r="E107" s="83" t="s">
        <v>44</v>
      </c>
      <c r="F107" s="83" t="s">
        <v>225</v>
      </c>
      <c r="G107" s="83" t="s">
        <v>180</v>
      </c>
      <c r="H107" s="243">
        <v>2.7119999999999998E-2</v>
      </c>
      <c r="I107" s="227">
        <v>6397340.5813999996</v>
      </c>
      <c r="J107" s="225">
        <v>114.99</v>
      </c>
      <c r="K107" s="225">
        <v>129.54987625000001</v>
      </c>
      <c r="L107" s="226">
        <v>0.88761180889202107</v>
      </c>
      <c r="M107" s="227">
        <v>2855685118</v>
      </c>
      <c r="N107" s="227">
        <v>3183738355.8000002</v>
      </c>
      <c r="O107" s="228">
        <v>0.89695973690728492</v>
      </c>
      <c r="P107" s="228">
        <v>0.96326797883000004</v>
      </c>
      <c r="Q107" s="229">
        <v>0.10348725976000001</v>
      </c>
      <c r="R107" s="229">
        <v>9.9139055570049567E-2</v>
      </c>
      <c r="S107" s="229">
        <v>8.2615879641707978E-3</v>
      </c>
      <c r="T107" s="230">
        <v>0.95</v>
      </c>
      <c r="U107" s="231">
        <v>-7.4899436846000006E-2</v>
      </c>
      <c r="V107" s="231">
        <v>-2.8146796115000001E-2</v>
      </c>
      <c r="W107" s="231">
        <v>3.2426524423000001E-2</v>
      </c>
      <c r="X107" s="232" t="str">
        <f t="shared" si="1"/>
        <v>Link</v>
      </c>
    </row>
    <row r="108" spans="2:24" ht="14.25" customHeight="1" x14ac:dyDescent="0.25">
      <c r="B108" s="82" t="s">
        <v>498</v>
      </c>
      <c r="C108" s="242">
        <v>27486542000172</v>
      </c>
      <c r="D108" s="83" t="s">
        <v>499</v>
      </c>
      <c r="E108" s="83" t="s">
        <v>450</v>
      </c>
      <c r="F108" s="83" t="s">
        <v>361</v>
      </c>
      <c r="G108" s="83" t="s">
        <v>65</v>
      </c>
      <c r="H108" s="243">
        <v>0</v>
      </c>
      <c r="I108" s="227">
        <v>84624.037385000003</v>
      </c>
      <c r="J108" s="225">
        <v>9.43</v>
      </c>
      <c r="K108" s="225">
        <v>9.7257263157999994</v>
      </c>
      <c r="L108" s="226">
        <v>0.96959339526965971</v>
      </c>
      <c r="M108" s="227">
        <v>400775000</v>
      </c>
      <c r="N108" s="227">
        <v>504488043.88</v>
      </c>
      <c r="O108" s="228">
        <v>0.79441922333313075</v>
      </c>
      <c r="P108" s="228">
        <v>0.76347460751999996</v>
      </c>
      <c r="Q108" s="229">
        <v>0.10042417815</v>
      </c>
      <c r="R108" s="229">
        <v>9.1622481442205722E-2</v>
      </c>
      <c r="S108" s="229">
        <v>7.6352067868504766E-3</v>
      </c>
      <c r="T108" s="230">
        <v>7.1999999999999995E-2</v>
      </c>
      <c r="U108" s="231">
        <v>2.1213406762000001E-4</v>
      </c>
      <c r="V108" s="231">
        <v>9.5994216625999995E-2</v>
      </c>
      <c r="W108" s="231">
        <v>0.26999226719000002</v>
      </c>
      <c r="X108" s="232" t="str">
        <f t="shared" si="1"/>
        <v>Link</v>
      </c>
    </row>
    <row r="109" spans="2:24" ht="14.25" customHeight="1" x14ac:dyDescent="0.25">
      <c r="B109" s="82" t="s">
        <v>500</v>
      </c>
      <c r="C109" s="242">
        <v>31894369000119</v>
      </c>
      <c r="D109" s="83" t="s">
        <v>501</v>
      </c>
      <c r="E109" s="83" t="s">
        <v>450</v>
      </c>
      <c r="F109" s="83" t="s">
        <v>361</v>
      </c>
      <c r="G109" s="83" t="s">
        <v>63</v>
      </c>
      <c r="H109" s="243">
        <v>0</v>
      </c>
      <c r="I109" s="227">
        <v>289964.60723000002</v>
      </c>
      <c r="J109" s="225">
        <v>33</v>
      </c>
      <c r="K109" s="225">
        <v>35.97</v>
      </c>
      <c r="L109" s="226">
        <v>0.91743119266055051</v>
      </c>
      <c r="M109" s="227">
        <v>119071887</v>
      </c>
      <c r="N109" s="227">
        <v>232411330.18000001</v>
      </c>
      <c r="O109" s="228">
        <v>0.51233253950132351</v>
      </c>
      <c r="P109" s="228">
        <v>0.51582508658000004</v>
      </c>
      <c r="Q109" s="229" t="s">
        <v>44</v>
      </c>
      <c r="R109" s="229" t="s">
        <v>44</v>
      </c>
      <c r="S109" s="229" t="s">
        <v>44</v>
      </c>
      <c r="T109" s="230" t="s">
        <v>44</v>
      </c>
      <c r="U109" s="231">
        <v>-2.9411764706000001E-2</v>
      </c>
      <c r="V109" s="231">
        <v>9.7074468085000004E-2</v>
      </c>
      <c r="W109" s="231">
        <v>0.15384615385</v>
      </c>
      <c r="X109" s="232" t="str">
        <f t="shared" si="1"/>
        <v>Link</v>
      </c>
    </row>
    <row r="110" spans="2:24" ht="14.25" customHeight="1" x14ac:dyDescent="0.25">
      <c r="B110" s="82" t="s">
        <v>779</v>
      </c>
      <c r="C110" s="242">
        <v>35586415000173</v>
      </c>
      <c r="D110" s="83" t="s">
        <v>780</v>
      </c>
      <c r="E110" s="83" t="s">
        <v>450</v>
      </c>
      <c r="F110" s="83" t="s">
        <v>361</v>
      </c>
      <c r="G110" s="83" t="s">
        <v>61</v>
      </c>
      <c r="H110" s="243">
        <v>0</v>
      </c>
      <c r="I110" s="227">
        <v>285950.06414999999</v>
      </c>
      <c r="J110" s="225">
        <v>91.99</v>
      </c>
      <c r="K110" s="225">
        <v>94.378899247999996</v>
      </c>
      <c r="L110" s="226">
        <v>0.97468820608171458</v>
      </c>
      <c r="M110" s="227">
        <v>648620754.08000004</v>
      </c>
      <c r="N110" s="227">
        <v>664384321.05999994</v>
      </c>
      <c r="O110" s="228">
        <v>0.97627342115050253</v>
      </c>
      <c r="P110" s="228">
        <v>0.95139997074000004</v>
      </c>
      <c r="Q110" s="229">
        <v>8.5009240134999997E-2</v>
      </c>
      <c r="R110" s="229">
        <v>7.9573866724643977E-2</v>
      </c>
      <c r="S110" s="229">
        <v>6.6311555603869986E-3</v>
      </c>
      <c r="T110" s="230">
        <v>0.61</v>
      </c>
      <c r="U110" s="231">
        <v>4.7602778726000002E-2</v>
      </c>
      <c r="V110" s="231">
        <v>5.7375646652999997E-2</v>
      </c>
      <c r="W110" s="231">
        <v>0.11915997511</v>
      </c>
      <c r="X110" s="232" t="str">
        <f t="shared" si="1"/>
        <v>Link</v>
      </c>
    </row>
    <row r="111" spans="2:24" ht="14.25" customHeight="1" x14ac:dyDescent="0.25">
      <c r="B111" s="82" t="s">
        <v>502</v>
      </c>
      <c r="C111" s="242">
        <v>35507262000121</v>
      </c>
      <c r="D111" s="83" t="s">
        <v>503</v>
      </c>
      <c r="E111" s="83" t="s">
        <v>450</v>
      </c>
      <c r="F111" s="83" t="s">
        <v>361</v>
      </c>
      <c r="G111" s="83" t="s">
        <v>64</v>
      </c>
      <c r="H111" s="243">
        <v>0</v>
      </c>
      <c r="I111" s="227">
        <v>169201.02077</v>
      </c>
      <c r="J111" s="225">
        <v>8.08</v>
      </c>
      <c r="K111" s="225">
        <v>8.5065090361000006</v>
      </c>
      <c r="L111" s="226">
        <v>0.94986086133689185</v>
      </c>
      <c r="M111" s="227">
        <v>417622209.36000001</v>
      </c>
      <c r="N111" s="227">
        <v>456443984.70999998</v>
      </c>
      <c r="O111" s="228">
        <v>0.91494733932211803</v>
      </c>
      <c r="P111" s="228">
        <v>0.91497609870999996</v>
      </c>
      <c r="Q111" s="229">
        <v>0.12747524752</v>
      </c>
      <c r="R111" s="229">
        <v>0.1410891089108911</v>
      </c>
      <c r="S111" s="229">
        <v>1.1757425742574257E-2</v>
      </c>
      <c r="T111" s="230">
        <v>9.5000000000000001E-2</v>
      </c>
      <c r="U111" s="231">
        <v>-1.5234613040000001E-2</v>
      </c>
      <c r="V111" s="231">
        <v>7.1829105160000004E-2</v>
      </c>
      <c r="W111" s="231">
        <v>0.11364476955</v>
      </c>
      <c r="X111" s="232" t="str">
        <f t="shared" si="1"/>
        <v>Link</v>
      </c>
    </row>
    <row r="112" spans="2:24" ht="14.25" customHeight="1" x14ac:dyDescent="0.25">
      <c r="B112" s="82" t="s">
        <v>504</v>
      </c>
      <c r="C112" s="242">
        <v>35360687000150</v>
      </c>
      <c r="D112" s="83" t="s">
        <v>505</v>
      </c>
      <c r="E112" s="83" t="s">
        <v>506</v>
      </c>
      <c r="F112" s="83" t="s">
        <v>275</v>
      </c>
      <c r="G112" s="83" t="s">
        <v>64</v>
      </c>
      <c r="H112" s="243">
        <v>1.24E-3</v>
      </c>
      <c r="I112" s="227">
        <v>610925.78446</v>
      </c>
      <c r="J112" s="225">
        <v>72.63</v>
      </c>
      <c r="K112" s="225">
        <v>79.122578469000004</v>
      </c>
      <c r="L112" s="226">
        <v>0.91794278454229372</v>
      </c>
      <c r="M112" s="227">
        <v>183489526.80000001</v>
      </c>
      <c r="N112" s="227">
        <v>224820666.88999999</v>
      </c>
      <c r="O112" s="228">
        <v>0.81615951655270902</v>
      </c>
      <c r="P112" s="228">
        <v>0.89350724295999995</v>
      </c>
      <c r="Q112" s="229">
        <v>0.15695993390999999</v>
      </c>
      <c r="R112" s="229">
        <v>0.15695993391160679</v>
      </c>
      <c r="S112" s="229">
        <v>1.3079994492633898E-2</v>
      </c>
      <c r="T112" s="230">
        <v>0.95</v>
      </c>
      <c r="U112" s="231">
        <v>-4.3587042403000001E-2</v>
      </c>
      <c r="V112" s="231">
        <v>-6.3706976142999996E-3</v>
      </c>
      <c r="W112" s="231">
        <v>7.7653641698E-2</v>
      </c>
      <c r="X112" s="232" t="str">
        <f t="shared" si="1"/>
        <v>Link</v>
      </c>
    </row>
    <row r="113" spans="2:24" ht="14.25" customHeight="1" x14ac:dyDescent="0.25">
      <c r="B113" s="82" t="s">
        <v>507</v>
      </c>
      <c r="C113" s="242">
        <v>32903621000171</v>
      </c>
      <c r="D113" s="83" t="s">
        <v>508</v>
      </c>
      <c r="E113" s="83" t="s">
        <v>506</v>
      </c>
      <c r="F113" s="83" t="s">
        <v>275</v>
      </c>
      <c r="G113" s="83" t="s">
        <v>65</v>
      </c>
      <c r="H113" s="243">
        <v>6.43E-3</v>
      </c>
      <c r="I113" s="227">
        <v>10314831.734999999</v>
      </c>
      <c r="J113" s="225">
        <v>75.17</v>
      </c>
      <c r="K113" s="225">
        <v>92.657523932999993</v>
      </c>
      <c r="L113" s="226">
        <v>0.81126709207505809</v>
      </c>
      <c r="M113" s="227">
        <v>951657236.38999999</v>
      </c>
      <c r="N113" s="227">
        <v>1393483712.7</v>
      </c>
      <c r="O113" s="228">
        <v>0.68293387839178865</v>
      </c>
      <c r="P113" s="228">
        <v>0.83302710153000004</v>
      </c>
      <c r="Q113" s="229">
        <v>0.11454037515</v>
      </c>
      <c r="R113" s="229">
        <v>0.11972861513901822</v>
      </c>
      <c r="S113" s="229">
        <v>9.9773845949181848E-3</v>
      </c>
      <c r="T113" s="230">
        <v>0.75</v>
      </c>
      <c r="U113" s="231">
        <v>-0.16810535635000001</v>
      </c>
      <c r="V113" s="231">
        <v>-0.13132925670000001</v>
      </c>
      <c r="W113" s="231">
        <v>3.7124774240999997E-2</v>
      </c>
      <c r="X113" s="232" t="str">
        <f t="shared" si="1"/>
        <v>Link</v>
      </c>
    </row>
    <row r="114" spans="2:24" ht="14.25" customHeight="1" x14ac:dyDescent="0.25">
      <c r="B114" s="82" t="s">
        <v>250</v>
      </c>
      <c r="C114" s="242">
        <v>32892018000131</v>
      </c>
      <c r="D114" s="83" t="s">
        <v>509</v>
      </c>
      <c r="E114" s="83" t="s">
        <v>506</v>
      </c>
      <c r="F114" s="83" t="s">
        <v>510</v>
      </c>
      <c r="G114" s="83" t="s">
        <v>61</v>
      </c>
      <c r="H114" s="243">
        <v>1.205E-2</v>
      </c>
      <c r="I114" s="227">
        <v>4261610.9918999998</v>
      </c>
      <c r="J114" s="225">
        <v>83.52</v>
      </c>
      <c r="K114" s="225">
        <v>92.788514226999993</v>
      </c>
      <c r="L114" s="226">
        <v>0.90011140598366213</v>
      </c>
      <c r="M114" s="227">
        <v>1781479595.5</v>
      </c>
      <c r="N114" s="227">
        <v>2126012239.0999999</v>
      </c>
      <c r="O114" s="228">
        <v>0.83794418617935607</v>
      </c>
      <c r="P114" s="228">
        <v>0.87608113644999996</v>
      </c>
      <c r="Q114" s="229">
        <v>0.10189176245000001</v>
      </c>
      <c r="R114" s="229">
        <v>0.10775862068965519</v>
      </c>
      <c r="S114" s="229">
        <v>8.9798850574712655E-3</v>
      </c>
      <c r="T114" s="230">
        <v>0.75</v>
      </c>
      <c r="U114" s="231">
        <v>-3.4785623483000003E-2</v>
      </c>
      <c r="V114" s="231">
        <v>-3.8807953702999998E-2</v>
      </c>
      <c r="W114" s="231">
        <v>0.14833052346</v>
      </c>
      <c r="X114" s="232" t="str">
        <f t="shared" si="1"/>
        <v>Link</v>
      </c>
    </row>
    <row r="115" spans="2:24" ht="14.25" customHeight="1" x14ac:dyDescent="0.25">
      <c r="B115" s="82" t="s">
        <v>511</v>
      </c>
      <c r="C115" s="242">
        <v>8706065000169</v>
      </c>
      <c r="D115" s="83" t="s">
        <v>512</v>
      </c>
      <c r="E115" s="83" t="s">
        <v>119</v>
      </c>
      <c r="F115" s="83" t="s">
        <v>119</v>
      </c>
      <c r="G115" s="83" t="s">
        <v>28</v>
      </c>
      <c r="H115" s="243">
        <v>2.65E-3</v>
      </c>
      <c r="I115" s="227">
        <v>458137.14415000001</v>
      </c>
      <c r="J115" s="225">
        <v>135.61000000000001</v>
      </c>
      <c r="K115" s="225">
        <v>139.75064846000001</v>
      </c>
      <c r="L115" s="226">
        <v>0.97037116817969438</v>
      </c>
      <c r="M115" s="227">
        <v>391654427.33999997</v>
      </c>
      <c r="N115" s="227">
        <v>428115267.01999998</v>
      </c>
      <c r="O115" s="228">
        <v>0.91483405874825596</v>
      </c>
      <c r="P115" s="228">
        <v>0.98994816768000005</v>
      </c>
      <c r="Q115" s="229">
        <v>0.12661308163000001</v>
      </c>
      <c r="R115" s="229">
        <v>0.10618685937615219</v>
      </c>
      <c r="S115" s="229">
        <v>8.8489049480126817E-3</v>
      </c>
      <c r="T115" s="230">
        <v>1.2</v>
      </c>
      <c r="U115" s="231">
        <v>-2.2066777241E-2</v>
      </c>
      <c r="V115" s="231">
        <v>-2.4129604926000001E-2</v>
      </c>
      <c r="W115" s="231">
        <v>0.10230252606</v>
      </c>
      <c r="X115" s="232" t="str">
        <f t="shared" si="1"/>
        <v>Link</v>
      </c>
    </row>
    <row r="116" spans="2:24" ht="14.25" customHeight="1" x14ac:dyDescent="0.25">
      <c r="B116" s="82" t="s">
        <v>295</v>
      </c>
      <c r="C116" s="242">
        <v>42692399000169</v>
      </c>
      <c r="D116" s="83" t="s">
        <v>296</v>
      </c>
      <c r="E116" s="83" t="s">
        <v>44</v>
      </c>
      <c r="F116" s="83" t="s">
        <v>44</v>
      </c>
      <c r="G116" s="83" t="s">
        <v>126</v>
      </c>
      <c r="H116" s="243" t="s">
        <v>44</v>
      </c>
      <c r="I116" s="227">
        <v>214195.08600000001</v>
      </c>
      <c r="J116" s="225">
        <v>7.13</v>
      </c>
      <c r="K116" s="225">
        <v>8.4284744841000006</v>
      </c>
      <c r="L116" s="226">
        <v>0.84594193331788292</v>
      </c>
      <c r="M116" s="227">
        <v>74538274.879999995</v>
      </c>
      <c r="N116" s="227">
        <v>102544691.70999999</v>
      </c>
      <c r="O116" s="228">
        <v>0.72688574744000001</v>
      </c>
      <c r="P116" s="228" t="s">
        <v>44</v>
      </c>
      <c r="Q116" s="229">
        <v>0.20056100982</v>
      </c>
      <c r="R116" s="229">
        <v>0.1683029453015428</v>
      </c>
      <c r="S116" s="229">
        <v>1.4025245441795233E-2</v>
      </c>
      <c r="T116" s="230">
        <v>0.1</v>
      </c>
      <c r="U116" s="231">
        <v>-0.11975308641</v>
      </c>
      <c r="V116" s="231">
        <v>-0.10514326993000001</v>
      </c>
      <c r="W116" s="231">
        <v>0.10768675646</v>
      </c>
      <c r="X116" s="232" t="str">
        <f t="shared" si="1"/>
        <v>Link</v>
      </c>
    </row>
    <row r="117" spans="2:24" ht="14.25" customHeight="1" x14ac:dyDescent="0.25">
      <c r="B117" s="82" t="s">
        <v>513</v>
      </c>
      <c r="C117" s="242">
        <v>52551605000174</v>
      </c>
      <c r="D117" s="83" t="s">
        <v>514</v>
      </c>
      <c r="E117" s="83" t="s">
        <v>515</v>
      </c>
      <c r="F117" s="83" t="s">
        <v>276</v>
      </c>
      <c r="G117" s="83" t="s">
        <v>65</v>
      </c>
      <c r="H117" s="243">
        <v>0</v>
      </c>
      <c r="I117" s="227">
        <v>249848.22769</v>
      </c>
      <c r="J117" s="225">
        <v>8.4</v>
      </c>
      <c r="K117" s="225">
        <v>13.026394140000001</v>
      </c>
      <c r="L117" s="226">
        <v>0.64484460624496354</v>
      </c>
      <c r="M117" s="227">
        <v>857576860.59000003</v>
      </c>
      <c r="N117" s="227">
        <v>997966578.21000004</v>
      </c>
      <c r="O117" s="228">
        <v>0.85932422920233498</v>
      </c>
      <c r="P117" s="228">
        <v>0.71217505134000003</v>
      </c>
      <c r="Q117" s="229">
        <v>0.10957380952</v>
      </c>
      <c r="R117" s="229">
        <v>0.1172857142857143</v>
      </c>
      <c r="S117" s="229">
        <v>9.7738095238095249E-3</v>
      </c>
      <c r="T117" s="230">
        <v>8.2100000000000006E-2</v>
      </c>
      <c r="U117" s="231">
        <v>0.18304180374000001</v>
      </c>
      <c r="V117" s="231">
        <v>1.2081499311000001E-2</v>
      </c>
      <c r="W117" s="231">
        <v>0.13385787459000001</v>
      </c>
      <c r="X117" s="232" t="str">
        <f t="shared" si="1"/>
        <v>Link</v>
      </c>
    </row>
    <row r="118" spans="2:24" ht="14.25" customHeight="1" x14ac:dyDescent="0.25">
      <c r="B118" s="82" t="s">
        <v>516</v>
      </c>
      <c r="C118" s="242">
        <v>40011251000196</v>
      </c>
      <c r="D118" s="83" t="s">
        <v>517</v>
      </c>
      <c r="E118" s="83" t="s">
        <v>763</v>
      </c>
      <c r="F118" s="83" t="s">
        <v>119</v>
      </c>
      <c r="G118" s="83" t="s">
        <v>64</v>
      </c>
      <c r="H118" s="243">
        <v>0</v>
      </c>
      <c r="I118" s="227">
        <v>55373.237846000004</v>
      </c>
      <c r="J118" s="225">
        <v>37.82</v>
      </c>
      <c r="K118" s="225">
        <v>53.490059215999999</v>
      </c>
      <c r="L118" s="226">
        <v>0.70704726362851444</v>
      </c>
      <c r="M118" s="227">
        <v>36247557.859999999</v>
      </c>
      <c r="N118" s="227">
        <v>84803855.5</v>
      </c>
      <c r="O118" s="228">
        <v>0.42742818290849993</v>
      </c>
      <c r="P118" s="228">
        <v>0.53432132710000002</v>
      </c>
      <c r="Q118" s="229">
        <v>0.20174510841000001</v>
      </c>
      <c r="R118" s="229">
        <v>0.18085668958223161</v>
      </c>
      <c r="S118" s="229">
        <v>1.50713907985193E-2</v>
      </c>
      <c r="T118" s="230">
        <v>0.56999999999999995</v>
      </c>
      <c r="U118" s="231">
        <v>-5.6121181727000001E-2</v>
      </c>
      <c r="V118" s="231">
        <v>-0.14017809767</v>
      </c>
      <c r="W118" s="231">
        <v>-0.18017763301</v>
      </c>
      <c r="X118" s="232" t="str">
        <f t="shared" si="1"/>
        <v>Link</v>
      </c>
    </row>
    <row r="119" spans="2:24" ht="14.25" customHeight="1" x14ac:dyDescent="0.25">
      <c r="B119" s="82" t="s">
        <v>802</v>
      </c>
      <c r="C119" s="242">
        <v>53137434000102</v>
      </c>
      <c r="D119" s="83" t="s">
        <v>44</v>
      </c>
      <c r="E119" s="83" t="s">
        <v>44</v>
      </c>
      <c r="F119" s="83" t="s">
        <v>357</v>
      </c>
      <c r="G119" s="83" t="s">
        <v>21</v>
      </c>
      <c r="H119" s="243">
        <v>0</v>
      </c>
      <c r="I119" s="227">
        <v>127711.11784000001</v>
      </c>
      <c r="J119" s="225">
        <v>650</v>
      </c>
      <c r="K119" s="225">
        <v>784.50609151000003</v>
      </c>
      <c r="L119" s="226">
        <v>0.82854678508473312</v>
      </c>
      <c r="M119" s="227">
        <v>78000000</v>
      </c>
      <c r="N119" s="227">
        <v>62676316</v>
      </c>
      <c r="O119" s="228">
        <v>1.2444892262014888</v>
      </c>
      <c r="P119" s="228">
        <v>1.1432555986999999</v>
      </c>
      <c r="Q119" s="229">
        <v>0.20464828732000001</v>
      </c>
      <c r="R119" s="229">
        <v>0.22059600295384618</v>
      </c>
      <c r="S119" s="229">
        <v>1.8383000246153847E-2</v>
      </c>
      <c r="T119" s="230">
        <v>11.948950160000001</v>
      </c>
      <c r="U119" s="231" t="s">
        <v>44</v>
      </c>
      <c r="V119" s="231" t="s">
        <v>44</v>
      </c>
      <c r="W119" s="231" t="s">
        <v>44</v>
      </c>
      <c r="X119" s="232" t="str">
        <f t="shared" si="1"/>
        <v>Link</v>
      </c>
    </row>
    <row r="120" spans="2:24" ht="14.25" customHeight="1" x14ac:dyDescent="0.25">
      <c r="B120" s="82" t="s">
        <v>518</v>
      </c>
      <c r="C120" s="242">
        <v>51294441000184</v>
      </c>
      <c r="D120" s="83" t="s">
        <v>519</v>
      </c>
      <c r="E120" s="83" t="s">
        <v>230</v>
      </c>
      <c r="F120" s="83" t="s">
        <v>231</v>
      </c>
      <c r="G120" s="83" t="s">
        <v>64</v>
      </c>
      <c r="H120" s="243">
        <v>2.2499999999999998E-3</v>
      </c>
      <c r="I120" s="227">
        <v>686211.23846000002</v>
      </c>
      <c r="J120" s="225">
        <v>86.54</v>
      </c>
      <c r="K120" s="225">
        <v>96.490454092999997</v>
      </c>
      <c r="L120" s="226">
        <v>0.89687628494929161</v>
      </c>
      <c r="M120" s="227">
        <v>333815847.86000001</v>
      </c>
      <c r="N120" s="227">
        <v>385709474.23000002</v>
      </c>
      <c r="O120" s="228">
        <v>0.8654592903801589</v>
      </c>
      <c r="P120" s="228">
        <v>0.88889140284000001</v>
      </c>
      <c r="Q120" s="229">
        <v>0.13866420153</v>
      </c>
      <c r="R120" s="229">
        <v>0.15946383175410211</v>
      </c>
      <c r="S120" s="229">
        <v>1.3288652646175177E-2</v>
      </c>
      <c r="T120" s="230">
        <v>1.1499999999999999</v>
      </c>
      <c r="U120" s="231">
        <v>-5.2654625067999998E-2</v>
      </c>
      <c r="V120" s="231">
        <v>3.9511461467999998E-2</v>
      </c>
      <c r="W120" s="231">
        <v>7.4552511653000003E-2</v>
      </c>
      <c r="X120" s="232" t="str">
        <f t="shared" si="1"/>
        <v>Link</v>
      </c>
    </row>
    <row r="121" spans="2:24" ht="14.25" customHeight="1" x14ac:dyDescent="0.25">
      <c r="B121" s="82" t="s">
        <v>251</v>
      </c>
      <c r="C121" s="242">
        <v>34633510000118</v>
      </c>
      <c r="D121" s="83" t="s">
        <v>252</v>
      </c>
      <c r="E121" s="83" t="s">
        <v>230</v>
      </c>
      <c r="F121" s="83" t="s">
        <v>231</v>
      </c>
      <c r="G121" s="83" t="s">
        <v>118</v>
      </c>
      <c r="H121" s="243" t="s">
        <v>44</v>
      </c>
      <c r="I121" s="227">
        <v>2172046.6425000001</v>
      </c>
      <c r="J121" s="225">
        <v>89.5</v>
      </c>
      <c r="K121" s="225">
        <v>98.079425616999998</v>
      </c>
      <c r="L121" s="226">
        <v>0.91252573551457528</v>
      </c>
      <c r="M121" s="227">
        <v>1386538207.6024716</v>
      </c>
      <c r="N121" s="227">
        <v>1477530705.45</v>
      </c>
      <c r="O121" s="228">
        <v>0.93841583290831465</v>
      </c>
      <c r="P121" s="228" t="s">
        <v>44</v>
      </c>
      <c r="Q121" s="229">
        <v>0.12268156424</v>
      </c>
      <c r="R121" s="229">
        <v>0.12067039106145251</v>
      </c>
      <c r="S121" s="229">
        <v>1.0055865921787709E-2</v>
      </c>
      <c r="T121" s="230">
        <v>0.9</v>
      </c>
      <c r="U121" s="231">
        <v>-3.3477321813999997E-2</v>
      </c>
      <c r="V121" s="231">
        <v>-3.2459095028999997E-2</v>
      </c>
      <c r="W121" s="231">
        <v>6.2158533788999999E-2</v>
      </c>
      <c r="X121" s="232" t="str">
        <f t="shared" si="1"/>
        <v/>
      </c>
    </row>
    <row r="122" spans="2:24" ht="14.25" customHeight="1" x14ac:dyDescent="0.25">
      <c r="B122" s="82" t="s">
        <v>238</v>
      </c>
      <c r="C122" s="242">
        <v>53556099000179</v>
      </c>
      <c r="D122" s="83" t="s">
        <v>239</v>
      </c>
      <c r="E122" s="83" t="s">
        <v>230</v>
      </c>
      <c r="F122" s="83" t="s">
        <v>231</v>
      </c>
      <c r="G122" s="83" t="s">
        <v>118</v>
      </c>
      <c r="H122" s="243" t="s">
        <v>44</v>
      </c>
      <c r="I122" s="227">
        <v>1877729.8011</v>
      </c>
      <c r="J122" s="225">
        <v>99.93</v>
      </c>
      <c r="K122" s="225">
        <v>102</v>
      </c>
      <c r="L122" s="226">
        <v>0.9797058823529412</v>
      </c>
      <c r="M122" s="227">
        <v>1496501515.1904118</v>
      </c>
      <c r="N122" s="227">
        <v>1489054282.4000001</v>
      </c>
      <c r="O122" s="228">
        <v>1.0050013171973882</v>
      </c>
      <c r="P122" s="228" t="s">
        <v>44</v>
      </c>
      <c r="Q122" s="229">
        <v>0.15761032723000001</v>
      </c>
      <c r="R122" s="229">
        <v>0.15610927649354547</v>
      </c>
      <c r="S122" s="229">
        <v>1.3009106374462122E-2</v>
      </c>
      <c r="T122" s="230">
        <v>1.3</v>
      </c>
      <c r="U122" s="231">
        <v>-1.6824085004999999E-2</v>
      </c>
      <c r="V122" s="231">
        <v>6.0621151673000001E-2</v>
      </c>
      <c r="W122" s="231">
        <v>0.18162034217</v>
      </c>
      <c r="X122" s="232" t="str">
        <f t="shared" si="1"/>
        <v/>
      </c>
    </row>
    <row r="123" spans="2:24" ht="14.25" customHeight="1" x14ac:dyDescent="0.25">
      <c r="B123" s="82" t="s">
        <v>520</v>
      </c>
      <c r="C123" s="242">
        <v>34598181000111</v>
      </c>
      <c r="D123" s="83" t="s">
        <v>521</v>
      </c>
      <c r="E123" s="83" t="s">
        <v>245</v>
      </c>
      <c r="F123" s="83" t="s">
        <v>245</v>
      </c>
      <c r="G123" s="83" t="s">
        <v>65</v>
      </c>
      <c r="H123" s="243">
        <v>0</v>
      </c>
      <c r="I123" s="227">
        <v>212107.46122999999</v>
      </c>
      <c r="J123" s="225">
        <v>62.1</v>
      </c>
      <c r="K123" s="225">
        <v>74.977125946000001</v>
      </c>
      <c r="L123" s="226">
        <v>0.82825260659798616</v>
      </c>
      <c r="M123" s="227">
        <v>280201596.30000001</v>
      </c>
      <c r="N123" s="227">
        <v>480515018.66000003</v>
      </c>
      <c r="O123" s="228">
        <v>0.58312765557545121</v>
      </c>
      <c r="P123" s="228">
        <v>0.73285558007999996</v>
      </c>
      <c r="Q123" s="229">
        <v>0.12785829307999999</v>
      </c>
      <c r="R123" s="229">
        <v>0.11594202898550723</v>
      </c>
      <c r="S123" s="229">
        <v>9.6618357487922701E-3</v>
      </c>
      <c r="T123" s="230">
        <v>0.6</v>
      </c>
      <c r="U123" s="231">
        <v>-4.5643153529000002E-2</v>
      </c>
      <c r="V123" s="231">
        <v>-0.15310265373000001</v>
      </c>
      <c r="W123" s="231">
        <v>-5.1292778998999998E-2</v>
      </c>
      <c r="X123" s="232" t="str">
        <f t="shared" si="1"/>
        <v>Link</v>
      </c>
    </row>
    <row r="124" spans="2:24" ht="14.25" customHeight="1" x14ac:dyDescent="0.25">
      <c r="B124" s="82" t="s">
        <v>522</v>
      </c>
      <c r="C124" s="242">
        <v>34835191000123</v>
      </c>
      <c r="D124" s="83" t="s">
        <v>523</v>
      </c>
      <c r="E124" s="83" t="s">
        <v>245</v>
      </c>
      <c r="F124" s="83" t="s">
        <v>245</v>
      </c>
      <c r="G124" s="83" t="s">
        <v>30</v>
      </c>
      <c r="H124" s="243">
        <v>0</v>
      </c>
      <c r="I124" s="227">
        <v>77781.601385000002</v>
      </c>
      <c r="J124" s="225">
        <v>72.53</v>
      </c>
      <c r="K124" s="225">
        <v>76.926210018999996</v>
      </c>
      <c r="L124" s="226">
        <v>0.94285159742155278</v>
      </c>
      <c r="M124" s="227">
        <v>81876941.099999994</v>
      </c>
      <c r="N124" s="227">
        <v>134704100.06999999</v>
      </c>
      <c r="O124" s="228">
        <v>0.60782812889475546</v>
      </c>
      <c r="P124" s="228">
        <v>0.63404633673999999</v>
      </c>
      <c r="Q124" s="229">
        <v>0.11278091824</v>
      </c>
      <c r="R124" s="229">
        <v>0.11912312146697918</v>
      </c>
      <c r="S124" s="229">
        <v>9.9269267889149308E-3</v>
      </c>
      <c r="T124" s="230">
        <v>0.72</v>
      </c>
      <c r="U124" s="231">
        <v>-5.0754458160999997E-3</v>
      </c>
      <c r="V124" s="231">
        <v>2.6958113775000001E-2</v>
      </c>
      <c r="W124" s="231">
        <v>0.17123146893999999</v>
      </c>
      <c r="X124" s="232" t="str">
        <f t="shared" si="1"/>
        <v>Link</v>
      </c>
    </row>
    <row r="125" spans="2:24" ht="14.25" customHeight="1" x14ac:dyDescent="0.25">
      <c r="B125" s="82" t="s">
        <v>223</v>
      </c>
      <c r="C125" s="242">
        <v>55940336000126</v>
      </c>
      <c r="D125" s="83" t="s">
        <v>224</v>
      </c>
      <c r="E125" s="83" t="s">
        <v>222</v>
      </c>
      <c r="F125" s="83" t="s">
        <v>119</v>
      </c>
      <c r="G125" s="83" t="s">
        <v>118</v>
      </c>
      <c r="H125" s="243" t="s">
        <v>44</v>
      </c>
      <c r="I125" s="227">
        <v>52186.328000000001</v>
      </c>
      <c r="J125" s="225">
        <v>8.14</v>
      </c>
      <c r="K125" s="225">
        <v>9.2630780506000008</v>
      </c>
      <c r="L125" s="226">
        <v>0.87875757448386671</v>
      </c>
      <c r="M125" s="227">
        <v>36260020.565219</v>
      </c>
      <c r="N125" s="227">
        <v>45619674.009999998</v>
      </c>
      <c r="O125" s="228">
        <v>0.79483296082454846</v>
      </c>
      <c r="P125" s="228" t="s">
        <v>44</v>
      </c>
      <c r="Q125" s="229">
        <v>0.16830466829999999</v>
      </c>
      <c r="R125" s="229">
        <v>0.14742014742014742</v>
      </c>
      <c r="S125" s="229">
        <v>1.2285012285012284E-2</v>
      </c>
      <c r="T125" s="230">
        <v>0.1</v>
      </c>
      <c r="U125" s="231">
        <v>-3.7744770804000002E-2</v>
      </c>
      <c r="V125" s="231">
        <v>-4.3184508663999997E-2</v>
      </c>
      <c r="W125" s="231">
        <v>0.11760095850000001</v>
      </c>
      <c r="X125" s="232" t="str">
        <f t="shared" si="1"/>
        <v/>
      </c>
    </row>
    <row r="126" spans="2:24" ht="14.25" customHeight="1" x14ac:dyDescent="0.25">
      <c r="B126" s="82" t="s">
        <v>524</v>
      </c>
      <c r="C126" s="242">
        <v>41076564000195</v>
      </c>
      <c r="D126" s="83" t="s">
        <v>525</v>
      </c>
      <c r="E126" s="83" t="s">
        <v>222</v>
      </c>
      <c r="F126" s="83" t="s">
        <v>119</v>
      </c>
      <c r="G126" s="83" t="s">
        <v>64</v>
      </c>
      <c r="H126" s="243">
        <v>1.44E-2</v>
      </c>
      <c r="I126" s="227">
        <v>2866222.9859000002</v>
      </c>
      <c r="J126" s="225">
        <v>60.45</v>
      </c>
      <c r="K126" s="225">
        <v>70.310421519000002</v>
      </c>
      <c r="L126" s="226">
        <v>0.85975874833383814</v>
      </c>
      <c r="M126" s="227">
        <v>2129408496.2</v>
      </c>
      <c r="N126" s="227">
        <v>2898857779.9000001</v>
      </c>
      <c r="O126" s="228">
        <v>0.73456811540214872</v>
      </c>
      <c r="P126" s="228">
        <v>0.80821486873000004</v>
      </c>
      <c r="Q126" s="229">
        <v>0.16625310173999999</v>
      </c>
      <c r="R126" s="229">
        <v>0.15285359801488832</v>
      </c>
      <c r="S126" s="229">
        <v>1.2737799834574027E-2</v>
      </c>
      <c r="T126" s="230">
        <v>0.77</v>
      </c>
      <c r="U126" s="231">
        <v>-5.9840491713000002E-2</v>
      </c>
      <c r="V126" s="231">
        <v>-1.2379520850999999E-2</v>
      </c>
      <c r="W126" s="231">
        <v>6.1700904666999998E-2</v>
      </c>
      <c r="X126" s="232" t="str">
        <f t="shared" si="1"/>
        <v>Link</v>
      </c>
    </row>
    <row r="127" spans="2:24" ht="14.25" customHeight="1" x14ac:dyDescent="0.25">
      <c r="B127" s="82" t="s">
        <v>526</v>
      </c>
      <c r="C127" s="242">
        <v>36312772000106</v>
      </c>
      <c r="D127" s="83" t="s">
        <v>527</v>
      </c>
      <c r="E127" s="83" t="s">
        <v>245</v>
      </c>
      <c r="F127" s="83" t="s">
        <v>245</v>
      </c>
      <c r="G127" s="83" t="s">
        <v>21</v>
      </c>
      <c r="H127" s="243">
        <v>0</v>
      </c>
      <c r="I127" s="227">
        <v>196255.69385000001</v>
      </c>
      <c r="J127" s="225">
        <v>52.63</v>
      </c>
      <c r="K127" s="225">
        <v>68.070642247999999</v>
      </c>
      <c r="L127" s="226">
        <v>0.77316737821063142</v>
      </c>
      <c r="M127" s="227">
        <v>39375187.130000003</v>
      </c>
      <c r="N127" s="227">
        <v>49428845.020000003</v>
      </c>
      <c r="O127" s="228">
        <v>0.79660342284081154</v>
      </c>
      <c r="P127" s="228">
        <v>0.94649971084999995</v>
      </c>
      <c r="Q127" s="229">
        <v>0.16169485084999999</v>
      </c>
      <c r="R127" s="229">
        <v>0.17328519855595667</v>
      </c>
      <c r="S127" s="229">
        <v>1.4440433212996389E-2</v>
      </c>
      <c r="T127" s="230">
        <v>0.76</v>
      </c>
      <c r="U127" s="231">
        <v>-4.7248370744999997E-2</v>
      </c>
      <c r="V127" s="231">
        <v>-0.13023266848000001</v>
      </c>
      <c r="W127" s="231">
        <v>-7.3892268518000001E-2</v>
      </c>
      <c r="X127" s="232" t="str">
        <f t="shared" si="1"/>
        <v>Link</v>
      </c>
    </row>
    <row r="128" spans="2:24" ht="14.25" customHeight="1" x14ac:dyDescent="0.25">
      <c r="B128" s="82" t="s">
        <v>528</v>
      </c>
      <c r="C128" s="242">
        <v>36293425000183</v>
      </c>
      <c r="D128" s="83" t="s">
        <v>529</v>
      </c>
      <c r="E128" s="83" t="s">
        <v>245</v>
      </c>
      <c r="F128" s="83" t="s">
        <v>245</v>
      </c>
      <c r="G128" s="83" t="s">
        <v>21</v>
      </c>
      <c r="H128" s="243">
        <v>0</v>
      </c>
      <c r="I128" s="227">
        <v>304499.43831</v>
      </c>
      <c r="J128" s="225">
        <v>60.3</v>
      </c>
      <c r="K128" s="225">
        <v>75.933348569000003</v>
      </c>
      <c r="L128" s="226">
        <v>0.7941174877228796</v>
      </c>
      <c r="M128" s="227">
        <v>54299788.200000003</v>
      </c>
      <c r="N128" s="227">
        <v>68159359.060000002</v>
      </c>
      <c r="O128" s="228">
        <v>0.79665931353903197</v>
      </c>
      <c r="P128" s="228">
        <v>0.86242198206999998</v>
      </c>
      <c r="Q128" s="229">
        <v>0.12338308457</v>
      </c>
      <c r="R128" s="229">
        <v>0.12736318407960198</v>
      </c>
      <c r="S128" s="229">
        <v>1.0613598673300166E-2</v>
      </c>
      <c r="T128" s="230">
        <v>0.64</v>
      </c>
      <c r="U128" s="231">
        <v>-1.5349444807E-2</v>
      </c>
      <c r="V128" s="231">
        <v>-7.4344330996000005E-2</v>
      </c>
      <c r="W128" s="231">
        <v>-2.2873929845000002E-2</v>
      </c>
      <c r="X128" s="232" t="str">
        <f t="shared" si="1"/>
        <v>Link</v>
      </c>
    </row>
    <row r="129" spans="2:24" ht="14.25" customHeight="1" x14ac:dyDescent="0.25">
      <c r="B129" s="82" t="s">
        <v>530</v>
      </c>
      <c r="C129" s="242">
        <v>52270671000176</v>
      </c>
      <c r="D129" s="83" t="s">
        <v>531</v>
      </c>
      <c r="E129" s="83" t="s">
        <v>230</v>
      </c>
      <c r="F129" s="83" t="s">
        <v>231</v>
      </c>
      <c r="G129" s="83" t="s">
        <v>179</v>
      </c>
      <c r="H129" s="243">
        <v>3.2399999999999998E-3</v>
      </c>
      <c r="I129" s="227">
        <v>1077883.6414999999</v>
      </c>
      <c r="J129" s="225">
        <v>76.69</v>
      </c>
      <c r="K129" s="225">
        <v>86.179467008000003</v>
      </c>
      <c r="L129" s="226">
        <v>0.88988714670143987</v>
      </c>
      <c r="M129" s="227">
        <v>479312500</v>
      </c>
      <c r="N129" s="227">
        <v>558351347.28999996</v>
      </c>
      <c r="O129" s="228">
        <v>0.85844245263556551</v>
      </c>
      <c r="P129" s="228">
        <v>0.84992439473000003</v>
      </c>
      <c r="Q129" s="229">
        <v>0.13665406181</v>
      </c>
      <c r="R129" s="229">
        <v>0.12517929325857347</v>
      </c>
      <c r="S129" s="229">
        <v>1.043160777154779E-2</v>
      </c>
      <c r="T129" s="230">
        <v>0.8</v>
      </c>
      <c r="U129" s="231">
        <v>2.8769452074000001E-3</v>
      </c>
      <c r="V129" s="231">
        <v>1.3429579485999999E-2</v>
      </c>
      <c r="W129" s="231">
        <v>0.15608703156000001</v>
      </c>
      <c r="X129" s="232" t="str">
        <f t="shared" si="1"/>
        <v>Link</v>
      </c>
    </row>
    <row r="130" spans="2:24" ht="14.25" customHeight="1" x14ac:dyDescent="0.25">
      <c r="B130" s="82" t="s">
        <v>747</v>
      </c>
      <c r="C130" s="242">
        <v>50701686000116</v>
      </c>
      <c r="D130" s="83" t="s">
        <v>748</v>
      </c>
      <c r="E130" s="83" t="s">
        <v>749</v>
      </c>
      <c r="F130" s="83" t="s">
        <v>119</v>
      </c>
      <c r="G130" s="83" t="s">
        <v>43</v>
      </c>
      <c r="H130" s="243">
        <v>0</v>
      </c>
      <c r="I130" s="227">
        <v>253995.49385</v>
      </c>
      <c r="J130" s="225">
        <v>141.9</v>
      </c>
      <c r="K130" s="225">
        <v>178.83391556999999</v>
      </c>
      <c r="L130" s="226">
        <v>0.79347365150351956</v>
      </c>
      <c r="M130" s="227">
        <v>739729808.39999998</v>
      </c>
      <c r="N130" s="227">
        <v>1032468376.4</v>
      </c>
      <c r="O130" s="228">
        <v>0.71646727910377483</v>
      </c>
      <c r="P130" s="228">
        <v>0.78443384652000003</v>
      </c>
      <c r="Q130" s="229">
        <v>0.11998049994</v>
      </c>
      <c r="R130" s="229">
        <v>0.1496828752642706</v>
      </c>
      <c r="S130" s="229">
        <v>1.2473572938689217E-2</v>
      </c>
      <c r="T130" s="230">
        <v>1.77</v>
      </c>
      <c r="U130" s="231">
        <v>8.0806024796000006E-2</v>
      </c>
      <c r="V130" s="231">
        <v>1.6321789906E-2</v>
      </c>
      <c r="W130" s="231">
        <v>-7.1695925643999996E-3</v>
      </c>
      <c r="X130" s="232" t="str">
        <f t="shared" si="1"/>
        <v>Link</v>
      </c>
    </row>
    <row r="131" spans="2:24" ht="14.25" customHeight="1" x14ac:dyDescent="0.25">
      <c r="B131" s="82" t="s">
        <v>532</v>
      </c>
      <c r="C131" s="242">
        <v>36501181000187</v>
      </c>
      <c r="D131" s="83" t="s">
        <v>533</v>
      </c>
      <c r="E131" s="83" t="s">
        <v>534</v>
      </c>
      <c r="F131" s="83" t="s">
        <v>276</v>
      </c>
      <c r="G131" s="83" t="s">
        <v>30</v>
      </c>
      <c r="H131" s="243">
        <v>0</v>
      </c>
      <c r="I131" s="227">
        <v>44336.877846000003</v>
      </c>
      <c r="J131" s="225">
        <v>54.39</v>
      </c>
      <c r="K131" s="225">
        <v>66.920913970000001</v>
      </c>
      <c r="L131" s="226">
        <v>0.81275040601481496</v>
      </c>
      <c r="M131" s="227">
        <v>81617525.219999999</v>
      </c>
      <c r="N131" s="227">
        <v>156583946.06</v>
      </c>
      <c r="O131" s="228">
        <v>0.5212381426939241</v>
      </c>
      <c r="P131" s="228">
        <v>0.63720909582999996</v>
      </c>
      <c r="Q131" s="229">
        <v>8.2184225040999995E-2</v>
      </c>
      <c r="R131" s="229">
        <v>4.4125758411472697E-2</v>
      </c>
      <c r="S131" s="229">
        <v>3.6771465342893914E-3</v>
      </c>
      <c r="T131" s="230">
        <v>0.2</v>
      </c>
      <c r="U131" s="231">
        <v>-1.6455696201999999E-2</v>
      </c>
      <c r="V131" s="231">
        <v>-0.16781161716000001</v>
      </c>
      <c r="W131" s="231">
        <v>3.1533656425000001E-2</v>
      </c>
      <c r="X131" s="232" t="str">
        <f t="shared" si="1"/>
        <v>Link</v>
      </c>
    </row>
    <row r="132" spans="2:24" ht="14.25" customHeight="1" x14ac:dyDescent="0.25">
      <c r="B132" s="82" t="s">
        <v>297</v>
      </c>
      <c r="C132" s="242">
        <v>42888292000190</v>
      </c>
      <c r="D132" s="83" t="s">
        <v>298</v>
      </c>
      <c r="E132" s="83" t="s">
        <v>299</v>
      </c>
      <c r="F132" s="83" t="s">
        <v>167</v>
      </c>
      <c r="G132" s="83" t="s">
        <v>126</v>
      </c>
      <c r="H132" s="243" t="s">
        <v>44</v>
      </c>
      <c r="I132" s="227">
        <v>460275.61168999999</v>
      </c>
      <c r="J132" s="225">
        <v>57.6</v>
      </c>
      <c r="K132" s="225">
        <v>68.139568025000003</v>
      </c>
      <c r="L132" s="226">
        <v>0.84532382093861969</v>
      </c>
      <c r="M132" s="227">
        <v>123335884.8</v>
      </c>
      <c r="N132" s="227">
        <v>205928866.53</v>
      </c>
      <c r="O132" s="228">
        <v>0.59892470093000005</v>
      </c>
      <c r="P132" s="228">
        <v>0.99470902117000004</v>
      </c>
      <c r="Q132" s="229">
        <v>0.19965277778000001</v>
      </c>
      <c r="R132" s="229">
        <v>0.20833333333333334</v>
      </c>
      <c r="S132" s="229">
        <v>1.7361111111111112E-2</v>
      </c>
      <c r="T132" s="230">
        <v>1</v>
      </c>
      <c r="U132" s="231">
        <v>-1.8739352641E-2</v>
      </c>
      <c r="V132" s="231">
        <v>-0.15467617906</v>
      </c>
      <c r="W132" s="231">
        <v>-4.6783318660000003E-2</v>
      </c>
      <c r="X132" s="232" t="str">
        <f t="shared" si="1"/>
        <v>Link</v>
      </c>
    </row>
    <row r="133" spans="2:24" ht="14.25" customHeight="1" x14ac:dyDescent="0.25">
      <c r="B133" s="82" t="s">
        <v>240</v>
      </c>
      <c r="C133" s="242">
        <v>55276939000175</v>
      </c>
      <c r="D133" s="83" t="s">
        <v>241</v>
      </c>
      <c r="E133" s="83" t="s">
        <v>242</v>
      </c>
      <c r="F133" s="83" t="s">
        <v>235</v>
      </c>
      <c r="G133" s="83" t="s">
        <v>118</v>
      </c>
      <c r="H133" s="243" t="s">
        <v>44</v>
      </c>
      <c r="I133" s="227">
        <v>970935.40445999999</v>
      </c>
      <c r="J133" s="225">
        <v>81.180000000000007</v>
      </c>
      <c r="K133" s="225">
        <v>87.704456277000006</v>
      </c>
      <c r="L133" s="226">
        <v>0.92560861153515872</v>
      </c>
      <c r="M133" s="227">
        <v>355162500.02807057</v>
      </c>
      <c r="N133" s="227">
        <v>442838520.11000001</v>
      </c>
      <c r="O133" s="228">
        <v>0.80201356453781181</v>
      </c>
      <c r="P133" s="228" t="s">
        <v>44</v>
      </c>
      <c r="Q133" s="229">
        <v>0.17836905642000001</v>
      </c>
      <c r="R133" s="229">
        <v>0.18033998521803399</v>
      </c>
      <c r="S133" s="229">
        <v>1.5028332101502832E-2</v>
      </c>
      <c r="T133" s="230">
        <v>1.22</v>
      </c>
      <c r="U133" s="231">
        <v>-2.2634240308E-2</v>
      </c>
      <c r="V133" s="231">
        <v>3.8905520551000002E-2</v>
      </c>
      <c r="W133" s="231">
        <v>0.10506249412</v>
      </c>
      <c r="X133" s="232" t="str">
        <f t="shared" si="1"/>
        <v/>
      </c>
    </row>
    <row r="134" spans="2:24" ht="14.25" customHeight="1" x14ac:dyDescent="0.25">
      <c r="B134" s="82" t="s">
        <v>535</v>
      </c>
      <c r="C134" s="242">
        <v>30982880000100</v>
      </c>
      <c r="D134" s="83" t="s">
        <v>536</v>
      </c>
      <c r="E134" s="83" t="s">
        <v>537</v>
      </c>
      <c r="F134" s="83" t="s">
        <v>538</v>
      </c>
      <c r="G134" s="83" t="s">
        <v>64</v>
      </c>
      <c r="H134" s="243">
        <v>0</v>
      </c>
      <c r="I134" s="227">
        <v>98615.050308000005</v>
      </c>
      <c r="J134" s="225">
        <v>74.11</v>
      </c>
      <c r="K134" s="225">
        <v>84.467312723000006</v>
      </c>
      <c r="L134" s="226">
        <v>0.87738081881490038</v>
      </c>
      <c r="M134" s="227">
        <v>66999145.5</v>
      </c>
      <c r="N134" s="227">
        <v>89413385.400000006</v>
      </c>
      <c r="O134" s="228">
        <v>0.74931896606165183</v>
      </c>
      <c r="P134" s="228">
        <v>0.8159177527</v>
      </c>
      <c r="Q134" s="229">
        <v>0.18809877210000001</v>
      </c>
      <c r="R134" s="229">
        <v>0.19430576170557279</v>
      </c>
      <c r="S134" s="229">
        <v>1.6192146808797731E-2</v>
      </c>
      <c r="T134" s="230">
        <v>1.2</v>
      </c>
      <c r="U134" s="231">
        <v>-0.10603136308</v>
      </c>
      <c r="V134" s="231">
        <v>7.3139795222000002E-3</v>
      </c>
      <c r="W134" s="231">
        <v>0.10397696841</v>
      </c>
      <c r="X134" s="232" t="str">
        <f t="shared" si="1"/>
        <v>Link</v>
      </c>
    </row>
    <row r="135" spans="2:24" ht="14.25" customHeight="1" x14ac:dyDescent="0.25">
      <c r="B135" s="82" t="s">
        <v>539</v>
      </c>
      <c r="C135" s="242">
        <v>42085661000107</v>
      </c>
      <c r="D135" s="83" t="s">
        <v>540</v>
      </c>
      <c r="E135" s="83" t="s">
        <v>44</v>
      </c>
      <c r="F135" s="83" t="s">
        <v>541</v>
      </c>
      <c r="G135" s="83" t="s">
        <v>43</v>
      </c>
      <c r="H135" s="243">
        <v>3.5599999999999998E-3</v>
      </c>
      <c r="I135" s="227">
        <v>1655699.8905</v>
      </c>
      <c r="J135" s="225">
        <v>6.79</v>
      </c>
      <c r="K135" s="225">
        <v>7.6243648962000004</v>
      </c>
      <c r="L135" s="226">
        <v>0.89056598056897174</v>
      </c>
      <c r="M135" s="227">
        <v>526383139.10000002</v>
      </c>
      <c r="N135" s="227">
        <v>693505638.04999995</v>
      </c>
      <c r="O135" s="228">
        <v>0.75901782223441583</v>
      </c>
      <c r="P135" s="228">
        <v>0.83073374452000004</v>
      </c>
      <c r="Q135" s="229">
        <v>0.14359351987999999</v>
      </c>
      <c r="R135" s="229">
        <v>0.14138438880706922</v>
      </c>
      <c r="S135" s="229">
        <v>1.1782032400589101E-2</v>
      </c>
      <c r="T135" s="230">
        <v>0.08</v>
      </c>
      <c r="U135" s="231">
        <v>-4.2313117066000001E-2</v>
      </c>
      <c r="V135" s="231">
        <v>-5.0221153322000001E-2</v>
      </c>
      <c r="W135" s="231">
        <v>5.0531505988999997E-2</v>
      </c>
      <c r="X135" s="232" t="str">
        <f t="shared" ref="X135:X198" si="2">IF(OR(B135="",G135="FI-Infra"),"",HYPERLINK("https://content.btgpactual.com/research/ativo/https://content.btgpactual.com/research/ativo/"&amp;B135,"Link"))</f>
        <v>Link</v>
      </c>
    </row>
    <row r="136" spans="2:24" ht="14.25" customHeight="1" x14ac:dyDescent="0.25">
      <c r="B136" s="82" t="s">
        <v>542</v>
      </c>
      <c r="C136" s="242">
        <v>54866214000174</v>
      </c>
      <c r="D136" s="83" t="s">
        <v>543</v>
      </c>
      <c r="E136" s="83" t="s">
        <v>44</v>
      </c>
      <c r="F136" s="83" t="s">
        <v>541</v>
      </c>
      <c r="G136" s="83" t="s">
        <v>64</v>
      </c>
      <c r="H136" s="243">
        <v>0</v>
      </c>
      <c r="I136" s="227">
        <v>375669.71153999999</v>
      </c>
      <c r="J136" s="225">
        <v>7.95</v>
      </c>
      <c r="K136" s="225">
        <v>8.4591431321999995</v>
      </c>
      <c r="L136" s="226">
        <v>0.93981150049797246</v>
      </c>
      <c r="M136" s="227">
        <v>175989945</v>
      </c>
      <c r="N136" s="227">
        <v>208588972.05000001</v>
      </c>
      <c r="O136" s="228">
        <v>0.84371644037736648</v>
      </c>
      <c r="P136" s="228">
        <v>0.86607406000999998</v>
      </c>
      <c r="Q136" s="229">
        <v>0.14805031447</v>
      </c>
      <c r="R136" s="229">
        <v>0.15094339622641512</v>
      </c>
      <c r="S136" s="229">
        <v>1.2578616352201259E-2</v>
      </c>
      <c r="T136" s="230">
        <v>0.1</v>
      </c>
      <c r="U136" s="231">
        <v>-1.119402985E-2</v>
      </c>
      <c r="V136" s="231">
        <v>5.5218188052000003E-2</v>
      </c>
      <c r="W136" s="231">
        <v>0.14648030224</v>
      </c>
      <c r="X136" s="232" t="str">
        <f t="shared" si="2"/>
        <v>Link</v>
      </c>
    </row>
    <row r="137" spans="2:24" ht="14.25" customHeight="1" x14ac:dyDescent="0.25">
      <c r="B137" s="82" t="s">
        <v>544</v>
      </c>
      <c r="C137" s="242">
        <v>13371132000171</v>
      </c>
      <c r="D137" s="83" t="s">
        <v>545</v>
      </c>
      <c r="E137" s="83" t="s">
        <v>44</v>
      </c>
      <c r="F137" s="83" t="s">
        <v>541</v>
      </c>
      <c r="G137" s="83" t="s">
        <v>63</v>
      </c>
      <c r="H137" s="243">
        <v>8.09E-3</v>
      </c>
      <c r="I137" s="227">
        <v>3336182.1025999999</v>
      </c>
      <c r="J137" s="225">
        <v>57.65</v>
      </c>
      <c r="K137" s="225">
        <v>66.304481609999996</v>
      </c>
      <c r="L137" s="226">
        <v>0.8694736554776904</v>
      </c>
      <c r="M137" s="227">
        <v>1197236459.2</v>
      </c>
      <c r="N137" s="227">
        <v>2109718538.7</v>
      </c>
      <c r="O137" s="228">
        <v>0.56748634343315396</v>
      </c>
      <c r="P137" s="228">
        <v>0.62337393606000002</v>
      </c>
      <c r="Q137" s="229">
        <v>0.1002601908</v>
      </c>
      <c r="R137" s="229">
        <v>0.10407632263660016</v>
      </c>
      <c r="S137" s="229">
        <v>8.6730268863833473E-3</v>
      </c>
      <c r="T137" s="230">
        <v>0.5</v>
      </c>
      <c r="U137" s="231">
        <v>-1.9391052900000001E-2</v>
      </c>
      <c r="V137" s="231">
        <v>-7.9000180965E-2</v>
      </c>
      <c r="W137" s="231">
        <v>5.1922211113999998E-3</v>
      </c>
      <c r="X137" s="232" t="str">
        <f t="shared" si="2"/>
        <v>Link</v>
      </c>
    </row>
    <row r="138" spans="2:24" ht="14.25" customHeight="1" x14ac:dyDescent="0.25">
      <c r="B138" s="82" t="s">
        <v>253</v>
      </c>
      <c r="C138" s="242">
        <v>42730834000100</v>
      </c>
      <c r="D138" s="83" t="s">
        <v>254</v>
      </c>
      <c r="E138" s="83" t="s">
        <v>227</v>
      </c>
      <c r="F138" s="83" t="s">
        <v>119</v>
      </c>
      <c r="G138" s="83" t="s">
        <v>118</v>
      </c>
      <c r="H138" s="243" t="s">
        <v>44</v>
      </c>
      <c r="I138" s="227">
        <v>5495610.6715000002</v>
      </c>
      <c r="J138" s="225">
        <v>94.05</v>
      </c>
      <c r="K138" s="225">
        <v>102.27267039</v>
      </c>
      <c r="L138" s="226">
        <v>0.91960051146954314</v>
      </c>
      <c r="M138" s="227">
        <v>1934766222.1051078</v>
      </c>
      <c r="N138" s="227">
        <v>2077013666.1099999</v>
      </c>
      <c r="O138" s="228">
        <v>0.93151347710133048</v>
      </c>
      <c r="P138" s="228" t="s">
        <v>44</v>
      </c>
      <c r="Q138" s="229">
        <v>0.10632642211</v>
      </c>
      <c r="R138" s="229">
        <v>9.569377990430622E-2</v>
      </c>
      <c r="S138" s="229">
        <v>7.9744816586921844E-3</v>
      </c>
      <c r="T138" s="230">
        <v>0.75</v>
      </c>
      <c r="U138" s="231">
        <v>-2.4377593360000002E-2</v>
      </c>
      <c r="V138" s="231">
        <v>-3.4731463369000001E-2</v>
      </c>
      <c r="W138" s="231">
        <v>7.5467930261000002E-2</v>
      </c>
      <c r="X138" s="232" t="str">
        <f t="shared" si="2"/>
        <v/>
      </c>
    </row>
    <row r="139" spans="2:24" ht="14.25" customHeight="1" x14ac:dyDescent="0.25">
      <c r="B139" s="82" t="s">
        <v>546</v>
      </c>
      <c r="C139" s="242">
        <v>42502802000140</v>
      </c>
      <c r="D139" s="83" t="s">
        <v>547</v>
      </c>
      <c r="E139" s="83" t="s">
        <v>232</v>
      </c>
      <c r="F139" s="83" t="s">
        <v>231</v>
      </c>
      <c r="G139" s="83" t="s">
        <v>64</v>
      </c>
      <c r="H139" s="243">
        <v>2.0600000000000002E-3</v>
      </c>
      <c r="I139" s="227">
        <v>335621.39984999999</v>
      </c>
      <c r="J139" s="225">
        <v>8.48</v>
      </c>
      <c r="K139" s="225">
        <v>9.0709456278000005</v>
      </c>
      <c r="L139" s="226">
        <v>0.93485291919412339</v>
      </c>
      <c r="M139" s="227">
        <v>305280000</v>
      </c>
      <c r="N139" s="227">
        <v>334195956.44</v>
      </c>
      <c r="O139" s="228">
        <v>0.91347604337280053</v>
      </c>
      <c r="P139" s="228">
        <v>0.91894728634</v>
      </c>
      <c r="Q139" s="229">
        <v>0.13679245282999999</v>
      </c>
      <c r="R139" s="229">
        <v>0.16981132075471697</v>
      </c>
      <c r="S139" s="229">
        <v>1.4150943396226414E-2</v>
      </c>
      <c r="T139" s="230">
        <v>0.12</v>
      </c>
      <c r="U139" s="231">
        <v>-2.9748283754000002E-2</v>
      </c>
      <c r="V139" s="231">
        <v>5.6424831278E-2</v>
      </c>
      <c r="W139" s="231">
        <v>0.12492639315</v>
      </c>
      <c r="X139" s="232" t="str">
        <f t="shared" si="2"/>
        <v>Link</v>
      </c>
    </row>
    <row r="140" spans="2:24" ht="14.25" customHeight="1" x14ac:dyDescent="0.25">
      <c r="B140" s="82" t="s">
        <v>157</v>
      </c>
      <c r="C140" s="242">
        <v>26324298000189</v>
      </c>
      <c r="D140" s="83" t="s">
        <v>158</v>
      </c>
      <c r="E140" s="83" t="s">
        <v>232</v>
      </c>
      <c r="F140" s="83" t="s">
        <v>231</v>
      </c>
      <c r="G140" s="83" t="s">
        <v>118</v>
      </c>
      <c r="H140" s="243" t="s">
        <v>44</v>
      </c>
      <c r="I140" s="227">
        <v>3593553.4229000001</v>
      </c>
      <c r="J140" s="225">
        <v>112.75</v>
      </c>
      <c r="K140" s="225">
        <v>124.30058834</v>
      </c>
      <c r="L140" s="226">
        <v>0.90707535262499628</v>
      </c>
      <c r="M140" s="227">
        <v>2647907744.5725503</v>
      </c>
      <c r="N140" s="227">
        <v>2790928869.71</v>
      </c>
      <c r="O140" s="228">
        <v>0.94875500888264819</v>
      </c>
      <c r="P140" s="228" t="s">
        <v>44</v>
      </c>
      <c r="Q140" s="229">
        <v>0.14084257206</v>
      </c>
      <c r="R140" s="229">
        <v>0.10643015521064302</v>
      </c>
      <c r="S140" s="229">
        <v>8.869179600886918E-3</v>
      </c>
      <c r="T140" s="230">
        <v>1</v>
      </c>
      <c r="U140" s="231">
        <v>-3.5500427716000003E-2</v>
      </c>
      <c r="V140" s="231">
        <v>-6.7277959856999997E-2</v>
      </c>
      <c r="W140" s="231">
        <v>7.5500519560999999E-2</v>
      </c>
      <c r="X140" s="232" t="str">
        <f t="shared" si="2"/>
        <v/>
      </c>
    </row>
    <row r="141" spans="2:24" ht="14.25" customHeight="1" x14ac:dyDescent="0.25">
      <c r="B141" s="82" t="s">
        <v>300</v>
      </c>
      <c r="C141" s="242">
        <v>51641681000108</v>
      </c>
      <c r="D141" s="83" t="s">
        <v>301</v>
      </c>
      <c r="E141" s="83" t="s">
        <v>232</v>
      </c>
      <c r="F141" s="83" t="s">
        <v>231</v>
      </c>
      <c r="G141" s="83" t="s">
        <v>126</v>
      </c>
      <c r="H141" s="243" t="s">
        <v>44</v>
      </c>
      <c r="I141" s="227">
        <v>77320.658922999995</v>
      </c>
      <c r="J141" s="225">
        <v>87</v>
      </c>
      <c r="K141" s="225">
        <v>96.533233671999994</v>
      </c>
      <c r="L141" s="226">
        <v>0.90124402436997031</v>
      </c>
      <c r="M141" s="227">
        <v>58375434</v>
      </c>
      <c r="N141" s="227">
        <v>65919149.560000002</v>
      </c>
      <c r="O141" s="228">
        <v>0.88556109097000002</v>
      </c>
      <c r="P141" s="228" t="s">
        <v>44</v>
      </c>
      <c r="Q141" s="229">
        <v>6.0574712644000002E-2</v>
      </c>
      <c r="R141" s="229">
        <v>6.2068965517241378E-2</v>
      </c>
      <c r="S141" s="229">
        <v>5.1724137931034482E-3</v>
      </c>
      <c r="T141" s="230">
        <v>0.45</v>
      </c>
      <c r="U141" s="231">
        <v>3.5098155859000002E-2</v>
      </c>
      <c r="V141" s="231">
        <v>-4.1723508271E-2</v>
      </c>
      <c r="W141" s="231">
        <v>-1.3177087345E-2</v>
      </c>
      <c r="X141" s="232" t="str">
        <f t="shared" si="2"/>
        <v>Link</v>
      </c>
    </row>
    <row r="142" spans="2:24" ht="14.25" customHeight="1" x14ac:dyDescent="0.25">
      <c r="B142" s="82" t="s">
        <v>548</v>
      </c>
      <c r="C142" s="242">
        <v>30091444000140</v>
      </c>
      <c r="D142" s="83" t="s">
        <v>549</v>
      </c>
      <c r="E142" s="83" t="s">
        <v>232</v>
      </c>
      <c r="F142" s="83" t="s">
        <v>231</v>
      </c>
      <c r="G142" s="83" t="s">
        <v>43</v>
      </c>
      <c r="H142" s="243">
        <v>3.5500000000000002E-3</v>
      </c>
      <c r="I142" s="227">
        <v>1058751.0262</v>
      </c>
      <c r="J142" s="225">
        <v>74.849999999999994</v>
      </c>
      <c r="K142" s="225">
        <v>81.691622047999999</v>
      </c>
      <c r="L142" s="226">
        <v>0.91625062795325529</v>
      </c>
      <c r="M142" s="227">
        <v>525040190.25</v>
      </c>
      <c r="N142" s="227">
        <v>619645324.57000005</v>
      </c>
      <c r="O142" s="228">
        <v>0.84732373412863105</v>
      </c>
      <c r="P142" s="228">
        <v>0.92479793900999996</v>
      </c>
      <c r="Q142" s="229">
        <v>0.12825651302999999</v>
      </c>
      <c r="R142" s="229">
        <v>0.12825651302605212</v>
      </c>
      <c r="S142" s="229">
        <v>1.068804275217101E-2</v>
      </c>
      <c r="T142" s="230">
        <v>0.8</v>
      </c>
      <c r="U142" s="231">
        <v>-4.0507627227E-2</v>
      </c>
      <c r="V142" s="231">
        <v>-7.1660005358999995E-2</v>
      </c>
      <c r="W142" s="231">
        <v>9.6916695359999999E-2</v>
      </c>
      <c r="X142" s="232" t="str">
        <f t="shared" si="2"/>
        <v>Link</v>
      </c>
    </row>
    <row r="143" spans="2:24" ht="14.25" customHeight="1" x14ac:dyDescent="0.25">
      <c r="B143" s="82" t="s">
        <v>550</v>
      </c>
      <c r="C143" s="242">
        <v>36669660000107</v>
      </c>
      <c r="D143" s="83" t="s">
        <v>551</v>
      </c>
      <c r="E143" s="83" t="s">
        <v>764</v>
      </c>
      <c r="F143" s="83" t="s">
        <v>275</v>
      </c>
      <c r="G143" s="83" t="s">
        <v>43</v>
      </c>
      <c r="H143" s="243">
        <v>1.81E-3</v>
      </c>
      <c r="I143" s="227">
        <v>480028.25014999998</v>
      </c>
      <c r="J143" s="225">
        <v>6.05</v>
      </c>
      <c r="K143" s="225">
        <v>6.9344572586000002</v>
      </c>
      <c r="L143" s="226">
        <v>0.87245472491691967</v>
      </c>
      <c r="M143" s="227">
        <v>360242210.35000002</v>
      </c>
      <c r="N143" s="227">
        <v>454565655.81</v>
      </c>
      <c r="O143" s="228">
        <v>0.79249764197006245</v>
      </c>
      <c r="P143" s="228">
        <v>0.82995863857999996</v>
      </c>
      <c r="Q143" s="229">
        <v>0.13884297521</v>
      </c>
      <c r="R143" s="229">
        <v>0.1388429752066116</v>
      </c>
      <c r="S143" s="229">
        <v>1.1570247933884299E-2</v>
      </c>
      <c r="T143" s="230">
        <v>7.0000000000000007E-2</v>
      </c>
      <c r="U143" s="231">
        <v>-4.9831295025999998E-2</v>
      </c>
      <c r="V143" s="231">
        <v>-5.7561121568000001E-2</v>
      </c>
      <c r="W143" s="231">
        <v>2.962910249E-2</v>
      </c>
      <c r="X143" s="232" t="str">
        <f t="shared" si="2"/>
        <v>Link</v>
      </c>
    </row>
    <row r="144" spans="2:24" ht="14.25" customHeight="1" x14ac:dyDescent="0.25">
      <c r="B144" s="82" t="s">
        <v>552</v>
      </c>
      <c r="C144" s="242">
        <v>42273325000198</v>
      </c>
      <c r="D144" s="83" t="s">
        <v>553</v>
      </c>
      <c r="E144" s="83" t="s">
        <v>764</v>
      </c>
      <c r="F144" s="83" t="s">
        <v>275</v>
      </c>
      <c r="G144" s="83" t="s">
        <v>64</v>
      </c>
      <c r="H144" s="243">
        <v>8.0000000000000004E-4</v>
      </c>
      <c r="I144" s="227">
        <v>465838.60077000002</v>
      </c>
      <c r="J144" s="225">
        <v>53.01</v>
      </c>
      <c r="K144" s="225">
        <v>62.952742391999998</v>
      </c>
      <c r="L144" s="226">
        <v>0.84206021828107813</v>
      </c>
      <c r="M144" s="227">
        <v>117827235.36</v>
      </c>
      <c r="N144" s="227">
        <v>186425081.13</v>
      </c>
      <c r="O144" s="228">
        <v>0.63203531759675302</v>
      </c>
      <c r="P144" s="228">
        <v>0.75150601421999996</v>
      </c>
      <c r="Q144" s="229">
        <v>0.20052820223000001</v>
      </c>
      <c r="R144" s="229">
        <v>0.19694397283531412</v>
      </c>
      <c r="S144" s="229">
        <v>1.6411997736276177E-2</v>
      </c>
      <c r="T144" s="230">
        <v>0.87</v>
      </c>
      <c r="U144" s="231">
        <v>-6.5409026799E-2</v>
      </c>
      <c r="V144" s="231">
        <v>-8.6705719234E-2</v>
      </c>
      <c r="W144" s="231">
        <v>-2.8976146386999999E-2</v>
      </c>
      <c r="X144" s="232" t="str">
        <f t="shared" si="2"/>
        <v>Link</v>
      </c>
    </row>
    <row r="145" spans="2:24" ht="14.25" customHeight="1" x14ac:dyDescent="0.25">
      <c r="B145" s="82" t="s">
        <v>302</v>
      </c>
      <c r="C145" s="242">
        <v>41745701000137</v>
      </c>
      <c r="D145" s="83" t="s">
        <v>303</v>
      </c>
      <c r="E145" s="83" t="s">
        <v>232</v>
      </c>
      <c r="F145" s="83" t="s">
        <v>231</v>
      </c>
      <c r="G145" s="83" t="s">
        <v>126</v>
      </c>
      <c r="H145" s="243" t="s">
        <v>44</v>
      </c>
      <c r="I145" s="227">
        <v>3436877.5066</v>
      </c>
      <c r="J145" s="225">
        <v>87</v>
      </c>
      <c r="K145" s="225">
        <v>92.570242766999996</v>
      </c>
      <c r="L145" s="226">
        <v>0.93982685363567275</v>
      </c>
      <c r="M145" s="227">
        <v>1879192953</v>
      </c>
      <c r="N145" s="227">
        <v>2217557831.4000001</v>
      </c>
      <c r="O145" s="228">
        <v>0.84741553361999999</v>
      </c>
      <c r="P145" s="228">
        <v>1.0372588546999999</v>
      </c>
      <c r="Q145" s="229">
        <v>0.14816091953999999</v>
      </c>
      <c r="R145" s="229">
        <v>0.13793103448275862</v>
      </c>
      <c r="S145" s="229">
        <v>1.1494252873563218E-2</v>
      </c>
      <c r="T145" s="230">
        <v>1</v>
      </c>
      <c r="U145" s="231">
        <v>-2.5100851636E-2</v>
      </c>
      <c r="V145" s="231">
        <v>-2.2068096677E-2</v>
      </c>
      <c r="W145" s="231">
        <v>7.4019489990000006E-2</v>
      </c>
      <c r="X145" s="232" t="str">
        <f t="shared" si="2"/>
        <v>Link</v>
      </c>
    </row>
    <row r="146" spans="2:24" ht="14.25" customHeight="1" x14ac:dyDescent="0.25">
      <c r="B146" s="82" t="s">
        <v>31</v>
      </c>
      <c r="C146" s="242">
        <v>16706958000132</v>
      </c>
      <c r="D146" s="83" t="s">
        <v>554</v>
      </c>
      <c r="E146" s="83" t="s">
        <v>232</v>
      </c>
      <c r="F146" s="83" t="s">
        <v>231</v>
      </c>
      <c r="G146" s="83" t="s">
        <v>64</v>
      </c>
      <c r="H146" s="243">
        <v>7.7189999999999995E-2</v>
      </c>
      <c r="I146" s="227">
        <v>21474425.813999999</v>
      </c>
      <c r="J146" s="225">
        <v>106.6</v>
      </c>
      <c r="K146" s="225">
        <v>107.30433237</v>
      </c>
      <c r="L146" s="226">
        <v>0.99343612364530287</v>
      </c>
      <c r="M146" s="227">
        <v>11415753705</v>
      </c>
      <c r="N146" s="227">
        <v>10978689824</v>
      </c>
      <c r="O146" s="228">
        <v>1.0398102039502524</v>
      </c>
      <c r="P146" s="228">
        <v>1.0386673318999999</v>
      </c>
      <c r="Q146" s="229">
        <v>0.13452157599</v>
      </c>
      <c r="R146" s="229">
        <v>0.1407129455909944</v>
      </c>
      <c r="S146" s="229">
        <v>1.1726078799249532E-2</v>
      </c>
      <c r="T146" s="230">
        <v>1.25</v>
      </c>
      <c r="U146" s="231">
        <v>-2.0595394117E-3</v>
      </c>
      <c r="V146" s="231">
        <v>8.0907163892000006E-2</v>
      </c>
      <c r="W146" s="231">
        <v>0.18083758010000001</v>
      </c>
      <c r="X146" s="232" t="str">
        <f t="shared" si="2"/>
        <v>Link</v>
      </c>
    </row>
    <row r="147" spans="2:24" ht="14.25" customHeight="1" x14ac:dyDescent="0.25">
      <c r="B147" s="82" t="s">
        <v>555</v>
      </c>
      <c r="C147" s="242">
        <v>42754342000147</v>
      </c>
      <c r="D147" s="83" t="s">
        <v>556</v>
      </c>
      <c r="E147" s="83" t="s">
        <v>232</v>
      </c>
      <c r="F147" s="83" t="s">
        <v>231</v>
      </c>
      <c r="G147" s="83" t="s">
        <v>179</v>
      </c>
      <c r="H147" s="243">
        <v>1.1979999999999999E-2</v>
      </c>
      <c r="I147" s="227">
        <v>3664203.4454999999</v>
      </c>
      <c r="J147" s="225">
        <v>90.09</v>
      </c>
      <c r="K147" s="225">
        <v>96.709597794000004</v>
      </c>
      <c r="L147" s="226">
        <v>0.93155180101048163</v>
      </c>
      <c r="M147" s="227">
        <v>1771460841.0999999</v>
      </c>
      <c r="N147" s="227">
        <v>1943987087.5999999</v>
      </c>
      <c r="O147" s="228">
        <v>0.9112513413280966</v>
      </c>
      <c r="P147" s="228">
        <v>0.94608441994000003</v>
      </c>
      <c r="Q147" s="229">
        <v>0.13320013319999999</v>
      </c>
      <c r="R147" s="229">
        <v>0.13320013320013319</v>
      </c>
      <c r="S147" s="229">
        <v>1.11000111000111E-2</v>
      </c>
      <c r="T147" s="230">
        <v>1</v>
      </c>
      <c r="U147" s="231">
        <v>-5.1684210526000002E-2</v>
      </c>
      <c r="V147" s="231">
        <v>1.7469445278000002E-2</v>
      </c>
      <c r="W147" s="231">
        <v>0.13519193595000001</v>
      </c>
      <c r="X147" s="232" t="str">
        <f t="shared" si="2"/>
        <v>Link</v>
      </c>
    </row>
    <row r="148" spans="2:24" ht="14.25" customHeight="1" x14ac:dyDescent="0.25">
      <c r="B148" s="82" t="s">
        <v>557</v>
      </c>
      <c r="C148" s="242">
        <v>30130708000128</v>
      </c>
      <c r="D148" s="83" t="s">
        <v>558</v>
      </c>
      <c r="E148" s="83" t="s">
        <v>232</v>
      </c>
      <c r="F148" s="83" t="s">
        <v>231</v>
      </c>
      <c r="G148" s="83" t="s">
        <v>64</v>
      </c>
      <c r="H148" s="243">
        <v>2.0049999999999998E-2</v>
      </c>
      <c r="I148" s="227">
        <v>4004940.0902</v>
      </c>
      <c r="J148" s="225">
        <v>95.12</v>
      </c>
      <c r="K148" s="225">
        <v>99.926562687000001</v>
      </c>
      <c r="L148" s="226">
        <v>0.95189904908411993</v>
      </c>
      <c r="M148" s="227">
        <v>2965183655</v>
      </c>
      <c r="N148" s="227">
        <v>3059927885.9000001</v>
      </c>
      <c r="O148" s="228">
        <v>0.96903710334593929</v>
      </c>
      <c r="P148" s="228">
        <v>1.0095973172999999</v>
      </c>
      <c r="Q148" s="229">
        <v>0.13751051304</v>
      </c>
      <c r="R148" s="229">
        <v>0.15138772077375945</v>
      </c>
      <c r="S148" s="229">
        <v>1.2615643397813287E-2</v>
      </c>
      <c r="T148" s="230">
        <v>1.2</v>
      </c>
      <c r="U148" s="231">
        <v>-3.7441813398999997E-2</v>
      </c>
      <c r="V148" s="231">
        <v>3.3308416138999999E-2</v>
      </c>
      <c r="W148" s="231">
        <v>6.7053025372000002E-2</v>
      </c>
      <c r="X148" s="232" t="str">
        <f t="shared" si="2"/>
        <v>Link</v>
      </c>
    </row>
    <row r="149" spans="2:24" ht="14.25" customHeight="1" x14ac:dyDescent="0.25">
      <c r="B149" s="82" t="s">
        <v>29</v>
      </c>
      <c r="C149" s="242">
        <v>24960430000113</v>
      </c>
      <c r="D149" s="83" t="s">
        <v>559</v>
      </c>
      <c r="E149" s="83" t="s">
        <v>232</v>
      </c>
      <c r="F149" s="83" t="s">
        <v>231</v>
      </c>
      <c r="G149" s="83" t="s">
        <v>64</v>
      </c>
      <c r="H149" s="243">
        <v>4.8349999999999997E-2</v>
      </c>
      <c r="I149" s="227">
        <v>10206473.310000001</v>
      </c>
      <c r="J149" s="225">
        <v>89.3</v>
      </c>
      <c r="K149" s="225">
        <v>92.035375040999995</v>
      </c>
      <c r="L149" s="226">
        <v>0.97027909062377982</v>
      </c>
      <c r="M149" s="227">
        <v>7150982009.8000002</v>
      </c>
      <c r="N149" s="227">
        <v>7435551675.8999996</v>
      </c>
      <c r="O149" s="228">
        <v>0.96172850670618804</v>
      </c>
      <c r="P149" s="228">
        <v>0.96969350943999999</v>
      </c>
      <c r="Q149" s="229">
        <v>0.11377379619</v>
      </c>
      <c r="R149" s="229">
        <v>0.1276595744680851</v>
      </c>
      <c r="S149" s="229">
        <v>1.0638297872340425E-2</v>
      </c>
      <c r="T149" s="230">
        <v>0.95</v>
      </c>
      <c r="U149" s="231">
        <v>-1.4783759927E-2</v>
      </c>
      <c r="V149" s="231">
        <v>7.0350425191999993E-2</v>
      </c>
      <c r="W149" s="231">
        <v>0.15124008206</v>
      </c>
      <c r="X149" s="232" t="str">
        <f t="shared" si="2"/>
        <v>Link</v>
      </c>
    </row>
    <row r="150" spans="2:24" ht="14.25" customHeight="1" x14ac:dyDescent="0.25">
      <c r="B150" s="82" t="s">
        <v>560</v>
      </c>
      <c r="C150" s="242">
        <v>12005956000165</v>
      </c>
      <c r="D150" s="83" t="s">
        <v>561</v>
      </c>
      <c r="E150" s="83" t="s">
        <v>232</v>
      </c>
      <c r="F150" s="83" t="s">
        <v>231</v>
      </c>
      <c r="G150" s="83" t="s">
        <v>19</v>
      </c>
      <c r="H150" s="243">
        <v>2.9649999999999999E-2</v>
      </c>
      <c r="I150" s="227">
        <v>7756216.0848000003</v>
      </c>
      <c r="J150" s="225">
        <v>155.47999999999999</v>
      </c>
      <c r="K150" s="225">
        <v>166.14705154999999</v>
      </c>
      <c r="L150" s="226">
        <v>0.93579752724778342</v>
      </c>
      <c r="M150" s="227">
        <v>4385165227.6000004</v>
      </c>
      <c r="N150" s="227">
        <v>4608084808.5</v>
      </c>
      <c r="O150" s="228">
        <v>0.95162424517691047</v>
      </c>
      <c r="P150" s="228">
        <v>0.93475380695999999</v>
      </c>
      <c r="Q150" s="229">
        <v>8.3676357088000003E-2</v>
      </c>
      <c r="R150" s="229">
        <v>8.48983792127605E-2</v>
      </c>
      <c r="S150" s="229">
        <v>7.0748649343967077E-3</v>
      </c>
      <c r="T150" s="230">
        <v>1.1000000000000001</v>
      </c>
      <c r="U150" s="231">
        <v>-7.4688796675999999E-3</v>
      </c>
      <c r="V150" s="231">
        <v>6.9130158523000002E-2</v>
      </c>
      <c r="W150" s="231">
        <v>0.23231999226</v>
      </c>
      <c r="X150" s="232" t="str">
        <f t="shared" si="2"/>
        <v>Link</v>
      </c>
    </row>
    <row r="151" spans="2:24" ht="14.25" customHeight="1" x14ac:dyDescent="0.25">
      <c r="B151" s="82" t="s">
        <v>562</v>
      </c>
      <c r="C151" s="242">
        <v>35864448000138</v>
      </c>
      <c r="D151" s="83" t="s">
        <v>563</v>
      </c>
      <c r="E151" s="83" t="s">
        <v>232</v>
      </c>
      <c r="F151" s="83" t="s">
        <v>231</v>
      </c>
      <c r="G151" s="83" t="s">
        <v>64</v>
      </c>
      <c r="H151" s="243">
        <v>1.512E-2</v>
      </c>
      <c r="I151" s="227">
        <v>4607763.0177999996</v>
      </c>
      <c r="J151" s="225">
        <v>9.01</v>
      </c>
      <c r="K151" s="225">
        <v>9.0996402890999999</v>
      </c>
      <c r="L151" s="226">
        <v>0.99014902938444993</v>
      </c>
      <c r="M151" s="227">
        <v>1821843488.8</v>
      </c>
      <c r="N151" s="227">
        <v>1765949116.4000001</v>
      </c>
      <c r="O151" s="228">
        <v>1.0316511794597707</v>
      </c>
      <c r="P151" s="228">
        <v>0.99107418992999996</v>
      </c>
      <c r="Q151" s="229">
        <v>0.12763596004</v>
      </c>
      <c r="R151" s="229">
        <v>0.146503884572697</v>
      </c>
      <c r="S151" s="229">
        <v>1.2208657047724751E-2</v>
      </c>
      <c r="T151" s="230">
        <v>0.11</v>
      </c>
      <c r="U151" s="231">
        <v>3.3407572373000002E-3</v>
      </c>
      <c r="V151" s="231">
        <v>0.11688185839</v>
      </c>
      <c r="W151" s="231">
        <v>0.18141714892999999</v>
      </c>
      <c r="X151" s="232" t="str">
        <f t="shared" si="2"/>
        <v>Link</v>
      </c>
    </row>
    <row r="152" spans="2:24" ht="14.25" customHeight="1" x14ac:dyDescent="0.25">
      <c r="B152" s="82" t="s">
        <v>564</v>
      </c>
      <c r="C152" s="242">
        <v>42754362000118</v>
      </c>
      <c r="D152" s="83" t="s">
        <v>565</v>
      </c>
      <c r="E152" s="83" t="s">
        <v>232</v>
      </c>
      <c r="F152" s="83" t="s">
        <v>231</v>
      </c>
      <c r="G152" s="83" t="s">
        <v>64</v>
      </c>
      <c r="H152" s="243">
        <v>1.511E-2</v>
      </c>
      <c r="I152" s="227">
        <v>4392161.8547999999</v>
      </c>
      <c r="J152" s="225">
        <v>104.01</v>
      </c>
      <c r="K152" s="225">
        <v>104.64</v>
      </c>
      <c r="L152" s="226">
        <v>0.99397935779816515</v>
      </c>
      <c r="M152" s="227">
        <v>2234626767.3000002</v>
      </c>
      <c r="N152" s="227">
        <v>2160369702.5999999</v>
      </c>
      <c r="O152" s="228">
        <v>1.0343723875643285</v>
      </c>
      <c r="P152" s="228">
        <v>1.0253458311000001</v>
      </c>
      <c r="Q152" s="229">
        <v>0.14200557639</v>
      </c>
      <c r="R152" s="229">
        <v>0.14998557830977791</v>
      </c>
      <c r="S152" s="229">
        <v>1.2498798192481493E-2</v>
      </c>
      <c r="T152" s="230">
        <v>1.3</v>
      </c>
      <c r="U152" s="231">
        <v>-4.0218328058E-3</v>
      </c>
      <c r="V152" s="231">
        <v>8.4058862728999997E-2</v>
      </c>
      <c r="W152" s="231">
        <v>0.14128900418000001</v>
      </c>
      <c r="X152" s="232" t="str">
        <f t="shared" si="2"/>
        <v>Link</v>
      </c>
    </row>
    <row r="153" spans="2:24" ht="14.25" customHeight="1" x14ac:dyDescent="0.25">
      <c r="B153" s="82" t="s">
        <v>304</v>
      </c>
      <c r="C153" s="242">
        <v>51475461000151</v>
      </c>
      <c r="D153" s="83" t="s">
        <v>305</v>
      </c>
      <c r="E153" s="83" t="s">
        <v>232</v>
      </c>
      <c r="F153" s="83" t="s">
        <v>231</v>
      </c>
      <c r="G153" s="83" t="s">
        <v>126</v>
      </c>
      <c r="H153" s="243" t="s">
        <v>44</v>
      </c>
      <c r="I153" s="227">
        <v>150651.80046</v>
      </c>
      <c r="J153" s="225">
        <v>222.22</v>
      </c>
      <c r="K153" s="225">
        <v>272.72078492999998</v>
      </c>
      <c r="L153" s="226">
        <v>0.81482605022949695</v>
      </c>
      <c r="M153" s="227">
        <v>78816322.939999998</v>
      </c>
      <c r="N153" s="227">
        <v>349885384.75</v>
      </c>
      <c r="O153" s="228">
        <v>0.22526326156000001</v>
      </c>
      <c r="P153" s="228" t="s">
        <v>44</v>
      </c>
      <c r="Q153" s="229">
        <v>0.4709297093</v>
      </c>
      <c r="R153" s="229">
        <v>0.21600216002160022</v>
      </c>
      <c r="S153" s="229">
        <v>1.800018000180002E-2</v>
      </c>
      <c r="T153" s="230">
        <v>4</v>
      </c>
      <c r="U153" s="231">
        <v>-0.16844317765</v>
      </c>
      <c r="V153" s="231">
        <v>-1.3127368418E-2</v>
      </c>
      <c r="W153" s="231">
        <v>6.1449461937000002E-2</v>
      </c>
      <c r="X153" s="232" t="str">
        <f t="shared" si="2"/>
        <v>Link</v>
      </c>
    </row>
    <row r="154" spans="2:24" ht="14.25" customHeight="1" x14ac:dyDescent="0.25">
      <c r="B154" s="82" t="s">
        <v>566</v>
      </c>
      <c r="C154" s="242">
        <v>52219978000142</v>
      </c>
      <c r="D154" s="83" t="s">
        <v>567</v>
      </c>
      <c r="E154" s="83" t="s">
        <v>232</v>
      </c>
      <c r="F154" s="83" t="s">
        <v>231</v>
      </c>
      <c r="G154" s="83" t="s">
        <v>63</v>
      </c>
      <c r="H154" s="243">
        <v>4.1599999999999996E-3</v>
      </c>
      <c r="I154" s="227">
        <v>2276455.4194999998</v>
      </c>
      <c r="J154" s="225">
        <v>63.98</v>
      </c>
      <c r="K154" s="225">
        <v>74.131583227999997</v>
      </c>
      <c r="L154" s="226">
        <v>0.86305994306397493</v>
      </c>
      <c r="M154" s="227">
        <v>615807500</v>
      </c>
      <c r="N154" s="227">
        <v>1032236454.4</v>
      </c>
      <c r="O154" s="228">
        <v>0.59657600482434581</v>
      </c>
      <c r="P154" s="228">
        <v>0.69097310056000005</v>
      </c>
      <c r="Q154" s="229">
        <v>0.16333229133999999</v>
      </c>
      <c r="R154" s="229">
        <v>0.11253516723976242</v>
      </c>
      <c r="S154" s="229">
        <v>9.3779306033135359E-3</v>
      </c>
      <c r="T154" s="230">
        <v>0.6</v>
      </c>
      <c r="U154" s="231">
        <v>-2.8987706783999999E-2</v>
      </c>
      <c r="V154" s="231">
        <v>-7.230708626E-2</v>
      </c>
      <c r="W154" s="231">
        <v>5.9435424324000001E-2</v>
      </c>
      <c r="X154" s="232" t="str">
        <f t="shared" si="2"/>
        <v>Link</v>
      </c>
    </row>
    <row r="155" spans="2:24" ht="14.25" customHeight="1" x14ac:dyDescent="0.25">
      <c r="B155" s="82" t="s">
        <v>568</v>
      </c>
      <c r="C155" s="242">
        <v>30248158000146</v>
      </c>
      <c r="D155" s="83" t="s">
        <v>569</v>
      </c>
      <c r="E155" s="83" t="s">
        <v>765</v>
      </c>
      <c r="F155" s="83" t="s">
        <v>119</v>
      </c>
      <c r="G155" s="83" t="s">
        <v>61</v>
      </c>
      <c r="H155" s="243">
        <v>0</v>
      </c>
      <c r="I155" s="227">
        <v>205465.33446000001</v>
      </c>
      <c r="J155" s="225">
        <v>110.44</v>
      </c>
      <c r="K155" s="225">
        <v>114.90081648</v>
      </c>
      <c r="L155" s="226">
        <v>0.96117680781862447</v>
      </c>
      <c r="M155" s="227">
        <v>324726511.12</v>
      </c>
      <c r="N155" s="227">
        <v>387731275.80000001</v>
      </c>
      <c r="O155" s="228">
        <v>0.83750404310304027</v>
      </c>
      <c r="P155" s="228">
        <v>0.82201562275999995</v>
      </c>
      <c r="Q155" s="229">
        <v>7.4157913800000003E-2</v>
      </c>
      <c r="R155" s="229">
        <v>7.3886273089460344E-2</v>
      </c>
      <c r="S155" s="229">
        <v>6.1571894241216956E-3</v>
      </c>
      <c r="T155" s="230">
        <v>0.68</v>
      </c>
      <c r="U155" s="231">
        <v>1.3600507736E-3</v>
      </c>
      <c r="V155" s="231">
        <v>6.2617770838000006E-2</v>
      </c>
      <c r="W155" s="231">
        <v>0.28217319467000002</v>
      </c>
      <c r="X155" s="232" t="str">
        <f t="shared" si="2"/>
        <v>Link</v>
      </c>
    </row>
    <row r="156" spans="2:24" ht="14.25" customHeight="1" x14ac:dyDescent="0.25">
      <c r="B156" s="82" t="s">
        <v>570</v>
      </c>
      <c r="C156" s="242">
        <v>39753295000102</v>
      </c>
      <c r="D156" s="83" t="s">
        <v>571</v>
      </c>
      <c r="E156" s="83" t="s">
        <v>572</v>
      </c>
      <c r="F156" s="83" t="s">
        <v>276</v>
      </c>
      <c r="G156" s="83" t="s">
        <v>64</v>
      </c>
      <c r="H156" s="243">
        <v>1.8400000000000001E-3</v>
      </c>
      <c r="I156" s="227">
        <v>789548.69707999995</v>
      </c>
      <c r="J156" s="225">
        <v>6.85</v>
      </c>
      <c r="K156" s="225">
        <v>8.3288782614999999</v>
      </c>
      <c r="L156" s="226">
        <v>0.82243968334414586</v>
      </c>
      <c r="M156" s="227">
        <v>272366850.39999998</v>
      </c>
      <c r="N156" s="227">
        <v>388454787.00999999</v>
      </c>
      <c r="O156" s="228">
        <v>0.70115457321674979</v>
      </c>
      <c r="P156" s="228">
        <v>0.83461002344000002</v>
      </c>
      <c r="Q156" s="229">
        <v>0.20948905109999999</v>
      </c>
      <c r="R156" s="229">
        <v>0.20145985401459854</v>
      </c>
      <c r="S156" s="229">
        <v>1.6788321167883213E-2</v>
      </c>
      <c r="T156" s="230">
        <v>0.115</v>
      </c>
      <c r="U156" s="231">
        <v>-4.3963712491999998E-2</v>
      </c>
      <c r="V156" s="231">
        <v>-9.7841437562999997E-2</v>
      </c>
      <c r="W156" s="231">
        <v>-4.8384662846000001E-2</v>
      </c>
      <c r="X156" s="232" t="str">
        <f t="shared" si="2"/>
        <v>Link</v>
      </c>
    </row>
    <row r="157" spans="2:24" ht="14.25" customHeight="1" x14ac:dyDescent="0.25">
      <c r="B157" s="82" t="s">
        <v>306</v>
      </c>
      <c r="C157" s="242">
        <v>42592476000109</v>
      </c>
      <c r="D157" s="83" t="s">
        <v>307</v>
      </c>
      <c r="E157" s="83" t="s">
        <v>308</v>
      </c>
      <c r="F157" s="83" t="s">
        <v>225</v>
      </c>
      <c r="G157" s="83" t="s">
        <v>126</v>
      </c>
      <c r="H157" s="243" t="s">
        <v>44</v>
      </c>
      <c r="I157" s="227">
        <v>71105.447537999993</v>
      </c>
      <c r="J157" s="225">
        <v>74.239999999999995</v>
      </c>
      <c r="K157" s="225">
        <v>82.935557055000004</v>
      </c>
      <c r="L157" s="226">
        <v>0.89515284681534824</v>
      </c>
      <c r="M157" s="227">
        <v>74932956.159999996</v>
      </c>
      <c r="N157" s="227">
        <v>99162872.709999993</v>
      </c>
      <c r="O157" s="228">
        <v>0.75565535883000001</v>
      </c>
      <c r="P157" s="228">
        <v>1.1212540062</v>
      </c>
      <c r="Q157" s="229">
        <v>0.17281788793</v>
      </c>
      <c r="R157" s="229">
        <v>0.16163793103448276</v>
      </c>
      <c r="S157" s="229">
        <v>1.3469827586206897E-2</v>
      </c>
      <c r="T157" s="230">
        <v>1</v>
      </c>
      <c r="U157" s="231">
        <v>-3.9710257406000003E-2</v>
      </c>
      <c r="V157" s="231">
        <v>-2.6481474836999998E-2</v>
      </c>
      <c r="W157" s="231">
        <v>0.16157391314</v>
      </c>
      <c r="X157" s="232" t="str">
        <f t="shared" si="2"/>
        <v>Link</v>
      </c>
    </row>
    <row r="158" spans="2:24" ht="14.25" customHeight="1" x14ac:dyDescent="0.25">
      <c r="B158" s="82" t="s">
        <v>574</v>
      </c>
      <c r="C158" s="242">
        <v>30629603000118</v>
      </c>
      <c r="D158" s="83" t="s">
        <v>575</v>
      </c>
      <c r="E158" s="83" t="s">
        <v>377</v>
      </c>
      <c r="F158" s="83" t="s">
        <v>119</v>
      </c>
      <c r="G158" s="83" t="s">
        <v>65</v>
      </c>
      <c r="H158" s="243">
        <v>1.073E-2</v>
      </c>
      <c r="I158" s="227">
        <v>3426626.2458000001</v>
      </c>
      <c r="J158" s="225">
        <v>98.49</v>
      </c>
      <c r="K158" s="225">
        <v>107.89203189</v>
      </c>
      <c r="L158" s="226">
        <v>0.91285703192997858</v>
      </c>
      <c r="M158" s="227">
        <v>1587517466.8</v>
      </c>
      <c r="N158" s="227">
        <v>1940547371.9000001</v>
      </c>
      <c r="O158" s="228">
        <v>0.81807715172943873</v>
      </c>
      <c r="P158" s="228">
        <v>0.92595746145000002</v>
      </c>
      <c r="Q158" s="229">
        <v>9.1379835515999999E-2</v>
      </c>
      <c r="R158" s="229">
        <v>9.1379835516296082E-2</v>
      </c>
      <c r="S158" s="229">
        <v>7.6149862930246729E-3</v>
      </c>
      <c r="T158" s="230">
        <v>0.75</v>
      </c>
      <c r="U158" s="231">
        <v>-3.6584172944000001E-2</v>
      </c>
      <c r="V158" s="231">
        <v>-7.2485320088000002E-2</v>
      </c>
      <c r="W158" s="231">
        <v>4.7417812646E-2</v>
      </c>
      <c r="X158" s="232" t="str">
        <f t="shared" si="2"/>
        <v>Link</v>
      </c>
    </row>
    <row r="159" spans="2:24" ht="14.25" customHeight="1" x14ac:dyDescent="0.25">
      <c r="B159" s="82" t="s">
        <v>803</v>
      </c>
      <c r="C159" s="242">
        <v>60355424000109</v>
      </c>
      <c r="D159" s="83" t="s">
        <v>44</v>
      </c>
      <c r="E159" s="83" t="s">
        <v>804</v>
      </c>
      <c r="F159" s="83" t="s">
        <v>225</v>
      </c>
      <c r="G159" s="83" t="s">
        <v>179</v>
      </c>
      <c r="H159" s="243">
        <v>0</v>
      </c>
      <c r="I159" s="227">
        <v>64932.675077</v>
      </c>
      <c r="J159" s="225">
        <v>10</v>
      </c>
      <c r="K159" s="225">
        <v>10</v>
      </c>
      <c r="L159" s="226">
        <v>1</v>
      </c>
      <c r="M159" s="227">
        <v>124407650</v>
      </c>
      <c r="N159" s="227">
        <v>125454154.3</v>
      </c>
      <c r="O159" s="228">
        <v>0.99165827304931264</v>
      </c>
      <c r="P159" s="228">
        <v>0.99628053303999997</v>
      </c>
      <c r="Q159" s="229">
        <v>0.13100000000000001</v>
      </c>
      <c r="R159" s="229">
        <v>0.14400000000000002</v>
      </c>
      <c r="S159" s="229">
        <v>1.2E-2</v>
      </c>
      <c r="T159" s="230">
        <v>0.12</v>
      </c>
      <c r="U159" s="231">
        <v>1.2158054711E-2</v>
      </c>
      <c r="V159" s="231">
        <v>0.10143860527</v>
      </c>
      <c r="W159" s="231">
        <v>0.14090665550000001</v>
      </c>
      <c r="X159" s="232" t="str">
        <f t="shared" si="2"/>
        <v>Link</v>
      </c>
    </row>
    <row r="160" spans="2:24" ht="14.25" customHeight="1" x14ac:dyDescent="0.25">
      <c r="B160" s="82" t="s">
        <v>576</v>
      </c>
      <c r="C160" s="242">
        <v>42888583000189</v>
      </c>
      <c r="D160" s="83" t="s">
        <v>577</v>
      </c>
      <c r="E160" s="83" t="s">
        <v>578</v>
      </c>
      <c r="F160" s="83" t="s">
        <v>167</v>
      </c>
      <c r="G160" s="83" t="s">
        <v>64</v>
      </c>
      <c r="H160" s="243">
        <v>2.2799999999999999E-3</v>
      </c>
      <c r="I160" s="227">
        <v>1533840.3754</v>
      </c>
      <c r="J160" s="225">
        <v>8.98</v>
      </c>
      <c r="K160" s="225">
        <v>9.1392173913000008</v>
      </c>
      <c r="L160" s="226">
        <v>0.98257866242993996</v>
      </c>
      <c r="M160" s="227">
        <v>337074537.19999999</v>
      </c>
      <c r="N160" s="227">
        <v>347535380.95999998</v>
      </c>
      <c r="O160" s="228">
        <v>0.96989991715058221</v>
      </c>
      <c r="P160" s="228">
        <v>0.97072714748</v>
      </c>
      <c r="Q160" s="229">
        <v>0.15089086860000001</v>
      </c>
      <c r="R160" s="229">
        <v>0.16035634743875277</v>
      </c>
      <c r="S160" s="229">
        <v>1.3363028953229397E-2</v>
      </c>
      <c r="T160" s="230">
        <v>0.12</v>
      </c>
      <c r="U160" s="231">
        <v>-1.1013215858999999E-2</v>
      </c>
      <c r="V160" s="231">
        <v>7.0400082707999995E-2</v>
      </c>
      <c r="W160" s="231">
        <v>0.20473082099000001</v>
      </c>
      <c r="X160" s="232" t="str">
        <f t="shared" si="2"/>
        <v>Link</v>
      </c>
    </row>
    <row r="161" spans="2:24" ht="14.25" customHeight="1" x14ac:dyDescent="0.25">
      <c r="B161" s="82" t="s">
        <v>758</v>
      </c>
      <c r="C161" s="242">
        <v>11274415000170</v>
      </c>
      <c r="D161" s="83" t="s">
        <v>759</v>
      </c>
      <c r="E161" s="83" t="s">
        <v>119</v>
      </c>
      <c r="F161" s="83" t="s">
        <v>119</v>
      </c>
      <c r="G161" s="83" t="s">
        <v>180</v>
      </c>
      <c r="H161" s="243">
        <v>0</v>
      </c>
      <c r="I161" s="227">
        <v>42850.523692000002</v>
      </c>
      <c r="J161" s="225">
        <v>49.39</v>
      </c>
      <c r="K161" s="225">
        <v>63.544200920000002</v>
      </c>
      <c r="L161" s="226">
        <v>0.77725424641314378</v>
      </c>
      <c r="M161" s="227">
        <v>55596100.450000003</v>
      </c>
      <c r="N161" s="227">
        <v>105325112.54000001</v>
      </c>
      <c r="O161" s="228">
        <v>0.52785227671972257</v>
      </c>
      <c r="P161" s="228">
        <v>0.67875341450000004</v>
      </c>
      <c r="Q161" s="229">
        <v>7.3696036039999996E-2</v>
      </c>
      <c r="R161" s="229">
        <v>6.9244786394006885E-2</v>
      </c>
      <c r="S161" s="229">
        <v>5.7703988661672399E-3</v>
      </c>
      <c r="T161" s="230">
        <v>0.28499999999999998</v>
      </c>
      <c r="U161" s="231">
        <v>-5.8289464215000003E-2</v>
      </c>
      <c r="V161" s="231">
        <v>-0.18912391933</v>
      </c>
      <c r="W161" s="231">
        <v>-0.18690262197999999</v>
      </c>
      <c r="X161" s="232" t="str">
        <f t="shared" si="2"/>
        <v>Link</v>
      </c>
    </row>
    <row r="162" spans="2:24" ht="14.25" customHeight="1" x14ac:dyDescent="0.25">
      <c r="B162" s="82" t="s">
        <v>255</v>
      </c>
      <c r="C162" s="242">
        <v>23648935000184</v>
      </c>
      <c r="D162" s="83" t="s">
        <v>579</v>
      </c>
      <c r="E162" s="83" t="s">
        <v>580</v>
      </c>
      <c r="F162" s="83" t="s">
        <v>119</v>
      </c>
      <c r="G162" s="83" t="s">
        <v>64</v>
      </c>
      <c r="H162" s="243">
        <v>1.0710000000000001E-2</v>
      </c>
      <c r="I162" s="227">
        <v>4539828.9226000002</v>
      </c>
      <c r="J162" s="225">
        <v>93.38</v>
      </c>
      <c r="K162" s="225">
        <v>93.976844373000006</v>
      </c>
      <c r="L162" s="226">
        <v>0.99364902730047955</v>
      </c>
      <c r="M162" s="227">
        <v>1583727041.0999999</v>
      </c>
      <c r="N162" s="227">
        <v>1594206894.8</v>
      </c>
      <c r="O162" s="228">
        <v>0.99342629006675143</v>
      </c>
      <c r="P162" s="228">
        <v>0.96319030724999999</v>
      </c>
      <c r="Q162" s="229">
        <v>0.12850717498</v>
      </c>
      <c r="R162" s="229">
        <v>0.1285071749839366</v>
      </c>
      <c r="S162" s="229">
        <v>1.0708931248661385E-2</v>
      </c>
      <c r="T162" s="230">
        <v>1</v>
      </c>
      <c r="U162" s="231">
        <v>-4.2546667318999996E-3</v>
      </c>
      <c r="V162" s="231">
        <v>0.11080271396999999</v>
      </c>
      <c r="W162" s="231">
        <v>0.26147021172000001</v>
      </c>
      <c r="X162" s="232" t="str">
        <f t="shared" si="2"/>
        <v>Link</v>
      </c>
    </row>
    <row r="163" spans="2:24" ht="14.25" customHeight="1" x14ac:dyDescent="0.25">
      <c r="B163" s="82" t="s">
        <v>785</v>
      </c>
      <c r="C163" s="242">
        <v>57466934000130</v>
      </c>
      <c r="D163" s="83" t="s">
        <v>786</v>
      </c>
      <c r="E163" s="83" t="s">
        <v>44</v>
      </c>
      <c r="F163" s="83" t="s">
        <v>44</v>
      </c>
      <c r="G163" s="83" t="s">
        <v>65</v>
      </c>
      <c r="H163" s="243">
        <v>0</v>
      </c>
      <c r="I163" s="227">
        <v>718311.09123000002</v>
      </c>
      <c r="J163" s="225">
        <v>10.45</v>
      </c>
      <c r="K163" s="225">
        <v>11</v>
      </c>
      <c r="L163" s="226">
        <v>0.95</v>
      </c>
      <c r="M163" s="227">
        <v>1302517887</v>
      </c>
      <c r="N163" s="227">
        <v>1725481049.8</v>
      </c>
      <c r="O163" s="228">
        <v>0.75487232221470901</v>
      </c>
      <c r="P163" s="228">
        <v>0.72336424346999995</v>
      </c>
      <c r="Q163" s="229">
        <v>9.9722752114999993E-2</v>
      </c>
      <c r="R163" s="229">
        <v>8.0382775119617236E-2</v>
      </c>
      <c r="S163" s="229">
        <v>6.6985645933014364E-3</v>
      </c>
      <c r="T163" s="230">
        <v>7.0000000000000007E-2</v>
      </c>
      <c r="U163" s="231">
        <v>1.9561923126999998E-3</v>
      </c>
      <c r="V163" s="231">
        <v>0.12546893298</v>
      </c>
      <c r="W163" s="231">
        <v>9.2901592884999995E-2</v>
      </c>
      <c r="X163" s="232" t="str">
        <f t="shared" si="2"/>
        <v>Link</v>
      </c>
    </row>
    <row r="164" spans="2:24" ht="14.25" customHeight="1" x14ac:dyDescent="0.25">
      <c r="B164" s="82" t="s">
        <v>582</v>
      </c>
      <c r="C164" s="242">
        <v>36655973000106</v>
      </c>
      <c r="D164" s="83" t="s">
        <v>583</v>
      </c>
      <c r="E164" s="83" t="s">
        <v>580</v>
      </c>
      <c r="F164" s="83" t="s">
        <v>119</v>
      </c>
      <c r="G164" s="83" t="s">
        <v>179</v>
      </c>
      <c r="H164" s="243">
        <v>6.0600000000000003E-3</v>
      </c>
      <c r="I164" s="227">
        <v>2734526.9652</v>
      </c>
      <c r="J164" s="225">
        <v>8.0299999999999994</v>
      </c>
      <c r="K164" s="225">
        <v>9.3040568195999995</v>
      </c>
      <c r="L164" s="226">
        <v>0.86306437672262903</v>
      </c>
      <c r="M164" s="227">
        <v>896139335.63</v>
      </c>
      <c r="N164" s="227">
        <v>1132723136</v>
      </c>
      <c r="O164" s="228">
        <v>0.79113713417609577</v>
      </c>
      <c r="P164" s="228">
        <v>0.90717317043000001</v>
      </c>
      <c r="Q164" s="229">
        <v>0.16313823162999999</v>
      </c>
      <c r="R164" s="229">
        <v>0.14943960149439603</v>
      </c>
      <c r="S164" s="229">
        <v>1.2453300124533002E-2</v>
      </c>
      <c r="T164" s="230">
        <v>0.1</v>
      </c>
      <c r="U164" s="231">
        <v>-6.0611655767999997E-2</v>
      </c>
      <c r="V164" s="231">
        <v>-4.1571626073000002E-2</v>
      </c>
      <c r="W164" s="231">
        <v>8.7945134731999997E-2</v>
      </c>
      <c r="X164" s="232" t="str">
        <f t="shared" si="2"/>
        <v>Link</v>
      </c>
    </row>
    <row r="165" spans="2:24" ht="14.25" customHeight="1" x14ac:dyDescent="0.25">
      <c r="B165" s="82" t="s">
        <v>584</v>
      </c>
      <c r="C165" s="242">
        <v>16915968000188</v>
      </c>
      <c r="D165" s="83" t="s">
        <v>585</v>
      </c>
      <c r="E165" s="83" t="s">
        <v>581</v>
      </c>
      <c r="F165" s="83" t="s">
        <v>581</v>
      </c>
      <c r="G165" s="83" t="s">
        <v>66</v>
      </c>
      <c r="H165" s="243">
        <v>1.4499999999999999E-3</v>
      </c>
      <c r="I165" s="227">
        <v>1716328.2997000001</v>
      </c>
      <c r="J165" s="225">
        <v>31.55</v>
      </c>
      <c r="K165" s="225">
        <v>73.434901804000006</v>
      </c>
      <c r="L165" s="226">
        <v>0.42963222153149894</v>
      </c>
      <c r="M165" s="227">
        <v>214540000</v>
      </c>
      <c r="N165" s="227">
        <v>662776461.34000003</v>
      </c>
      <c r="O165" s="228">
        <v>0.32369888267643587</v>
      </c>
      <c r="P165" s="228">
        <v>0.76157234665999995</v>
      </c>
      <c r="Q165" s="229">
        <v>0.36545166403000001</v>
      </c>
      <c r="R165" s="229">
        <v>0.11410459587955624</v>
      </c>
      <c r="S165" s="229">
        <v>9.5087163232963536E-3</v>
      </c>
      <c r="T165" s="230">
        <v>0.3</v>
      </c>
      <c r="U165" s="231">
        <v>-0.35414534288999999</v>
      </c>
      <c r="V165" s="231">
        <v>-0.54156688528999997</v>
      </c>
      <c r="W165" s="231">
        <v>-0.53493646120000005</v>
      </c>
      <c r="X165" s="232" t="str">
        <f t="shared" si="2"/>
        <v>Link</v>
      </c>
    </row>
    <row r="166" spans="2:24" ht="14.25" customHeight="1" x14ac:dyDescent="0.25">
      <c r="B166" s="82" t="s">
        <v>805</v>
      </c>
      <c r="C166" s="242">
        <v>63992956000137</v>
      </c>
      <c r="D166" s="83" t="s">
        <v>44</v>
      </c>
      <c r="E166" s="83" t="s">
        <v>44</v>
      </c>
      <c r="F166" s="83" t="s">
        <v>44</v>
      </c>
      <c r="G166" s="83" t="s">
        <v>61</v>
      </c>
      <c r="H166" s="243">
        <v>0</v>
      </c>
      <c r="I166" s="227">
        <v>7034862.6638000002</v>
      </c>
      <c r="J166" s="225">
        <v>10.98</v>
      </c>
      <c r="K166" s="225">
        <v>0</v>
      </c>
      <c r="L166" s="226"/>
      <c r="M166" s="227">
        <v>207522000</v>
      </c>
      <c r="N166" s="227">
        <v>183634125.24000001</v>
      </c>
      <c r="O166" s="228">
        <v>1.1300840719489356</v>
      </c>
      <c r="P166" s="228" t="s">
        <v>44</v>
      </c>
      <c r="Q166" s="229" t="s">
        <v>44</v>
      </c>
      <c r="R166" s="229">
        <v>2.0765027322404369E-2</v>
      </c>
      <c r="S166" s="229">
        <v>1.7304189435336974E-3</v>
      </c>
      <c r="T166" s="230">
        <v>1.9E-2</v>
      </c>
      <c r="U166" s="231">
        <v>-9.1066387539999994E-5</v>
      </c>
      <c r="V166" s="231" t="s">
        <v>44</v>
      </c>
      <c r="W166" s="231" t="s">
        <v>44</v>
      </c>
      <c r="X166" s="232" t="str">
        <f t="shared" si="2"/>
        <v>Link</v>
      </c>
    </row>
    <row r="167" spans="2:24" ht="14.25" customHeight="1" x14ac:dyDescent="0.25">
      <c r="B167" s="82" t="s">
        <v>586</v>
      </c>
      <c r="C167" s="242">
        <v>97521225000125</v>
      </c>
      <c r="D167" s="83" t="s">
        <v>587</v>
      </c>
      <c r="E167" s="83" t="s">
        <v>766</v>
      </c>
      <c r="F167" s="83" t="s">
        <v>119</v>
      </c>
      <c r="G167" s="83" t="s">
        <v>64</v>
      </c>
      <c r="H167" s="243">
        <v>3.5499999999999997E-2</v>
      </c>
      <c r="I167" s="227">
        <v>14751643.353</v>
      </c>
      <c r="J167" s="225">
        <v>9.26</v>
      </c>
      <c r="K167" s="225">
        <v>9.6696792889999994</v>
      </c>
      <c r="L167" s="226">
        <v>0.95763258772542326</v>
      </c>
      <c r="M167" s="227">
        <v>5252330088</v>
      </c>
      <c r="N167" s="227">
        <v>5253747540</v>
      </c>
      <c r="O167" s="228">
        <v>0.99973020172948779</v>
      </c>
      <c r="P167" s="228">
        <v>1.0031959024999999</v>
      </c>
      <c r="Q167" s="229">
        <v>0.12904967603</v>
      </c>
      <c r="R167" s="229">
        <v>0.12958963282937366</v>
      </c>
      <c r="S167" s="229">
        <v>1.0799136069114472E-2</v>
      </c>
      <c r="T167" s="230">
        <v>0.1</v>
      </c>
      <c r="U167" s="231">
        <v>-2.3206751054999999E-2</v>
      </c>
      <c r="V167" s="231">
        <v>5.4008422254000002E-2</v>
      </c>
      <c r="W167" s="231">
        <v>0.10108044334000001</v>
      </c>
      <c r="X167" s="232" t="str">
        <f t="shared" si="2"/>
        <v>Link</v>
      </c>
    </row>
    <row r="168" spans="2:24" ht="14.25" customHeight="1" x14ac:dyDescent="0.25">
      <c r="B168" s="82" t="s">
        <v>588</v>
      </c>
      <c r="C168" s="242">
        <v>35652252000180</v>
      </c>
      <c r="D168" s="83" t="s">
        <v>589</v>
      </c>
      <c r="E168" s="83" t="s">
        <v>351</v>
      </c>
      <c r="F168" s="83" t="s">
        <v>119</v>
      </c>
      <c r="G168" s="83" t="s">
        <v>43</v>
      </c>
      <c r="H168" s="243">
        <v>0</v>
      </c>
      <c r="I168" s="227">
        <v>53877.086000000003</v>
      </c>
      <c r="J168" s="225">
        <v>64.39</v>
      </c>
      <c r="K168" s="225">
        <v>74.720898985999995</v>
      </c>
      <c r="L168" s="226">
        <v>0.86174016739365467</v>
      </c>
      <c r="M168" s="227">
        <v>39424837.979999997</v>
      </c>
      <c r="N168" s="227">
        <v>51532143.969999999</v>
      </c>
      <c r="O168" s="228">
        <v>0.76505332289204964</v>
      </c>
      <c r="P168" s="228">
        <v>0.81702158512</v>
      </c>
      <c r="Q168" s="229">
        <v>0.16837664342</v>
      </c>
      <c r="R168" s="229">
        <v>0.15840969094579901</v>
      </c>
      <c r="S168" s="229">
        <v>1.3200807578816585E-2</v>
      </c>
      <c r="T168" s="230">
        <v>0.85</v>
      </c>
      <c r="U168" s="231">
        <v>-0.11857163499999999</v>
      </c>
      <c r="V168" s="231">
        <v>-1.4810869290000001E-2</v>
      </c>
      <c r="W168" s="231">
        <v>8.2649512524000004E-2</v>
      </c>
      <c r="X168" s="232" t="str">
        <f t="shared" si="2"/>
        <v>Link</v>
      </c>
    </row>
    <row r="169" spans="2:24" ht="14.25" customHeight="1" x14ac:dyDescent="0.25">
      <c r="B169" s="82" t="s">
        <v>590</v>
      </c>
      <c r="C169" s="242">
        <v>32527626000147</v>
      </c>
      <c r="D169" s="83" t="s">
        <v>591</v>
      </c>
      <c r="E169" s="83" t="s">
        <v>44</v>
      </c>
      <c r="F169" s="83" t="s">
        <v>225</v>
      </c>
      <c r="G169" s="83" t="s">
        <v>65</v>
      </c>
      <c r="H169" s="243">
        <v>0</v>
      </c>
      <c r="I169" s="227">
        <v>113354.63153</v>
      </c>
      <c r="J169" s="225">
        <v>102.52</v>
      </c>
      <c r="K169" s="225">
        <v>113.16906584</v>
      </c>
      <c r="L169" s="226">
        <v>0.90590126585425912</v>
      </c>
      <c r="M169" s="227">
        <v>288100986.36000001</v>
      </c>
      <c r="N169" s="227">
        <v>356312095.98000002</v>
      </c>
      <c r="O169" s="228">
        <v>0.80856358683981155</v>
      </c>
      <c r="P169" s="228">
        <v>0.87269120390999999</v>
      </c>
      <c r="Q169" s="229">
        <v>0.11587982832</v>
      </c>
      <c r="R169" s="229">
        <v>0.11705033164260634</v>
      </c>
      <c r="S169" s="229">
        <v>9.7541943035505275E-3</v>
      </c>
      <c r="T169" s="230">
        <v>1</v>
      </c>
      <c r="U169" s="231">
        <v>-5.0465838513000004E-3</v>
      </c>
      <c r="V169" s="231">
        <v>-3.9888876427000002E-2</v>
      </c>
      <c r="W169" s="231">
        <v>0.11197619134</v>
      </c>
      <c r="X169" s="232" t="str">
        <f t="shared" si="2"/>
        <v>Link</v>
      </c>
    </row>
    <row r="170" spans="2:24" ht="14.25" customHeight="1" x14ac:dyDescent="0.25">
      <c r="B170" s="82" t="s">
        <v>332</v>
      </c>
      <c r="C170" s="242">
        <v>52044477000172</v>
      </c>
      <c r="D170" s="83" t="s">
        <v>333</v>
      </c>
      <c r="E170" s="83" t="s">
        <v>334</v>
      </c>
      <c r="F170" s="83" t="s">
        <v>276</v>
      </c>
      <c r="G170" s="83" t="s">
        <v>126</v>
      </c>
      <c r="H170" s="243" t="s">
        <v>44</v>
      </c>
      <c r="I170" s="227">
        <v>273021.86200000002</v>
      </c>
      <c r="J170" s="225">
        <v>129.5</v>
      </c>
      <c r="K170" s="225">
        <v>133.07308270999999</v>
      </c>
      <c r="L170" s="226">
        <v>0.97314947067254276</v>
      </c>
      <c r="M170" s="227">
        <v>159614448</v>
      </c>
      <c r="N170" s="227">
        <v>69989312.489999995</v>
      </c>
      <c r="O170" s="228">
        <v>1.2924223254</v>
      </c>
      <c r="P170" s="228" t="s">
        <v>44</v>
      </c>
      <c r="Q170" s="229">
        <v>8.5482625482999994E-2</v>
      </c>
      <c r="R170" s="229">
        <v>8.5250965250965247E-2</v>
      </c>
      <c r="S170" s="229">
        <v>7.1042471042471042E-3</v>
      </c>
      <c r="T170" s="230">
        <v>0.92</v>
      </c>
      <c r="U170" s="231">
        <v>-2.6850529303000002E-2</v>
      </c>
      <c r="V170" s="231">
        <v>9.9007518054000002E-2</v>
      </c>
      <c r="W170" s="231">
        <v>0.29527162152999997</v>
      </c>
      <c r="X170" s="232" t="str">
        <f t="shared" si="2"/>
        <v>Link</v>
      </c>
    </row>
    <row r="171" spans="2:24" ht="14.25" customHeight="1" x14ac:dyDescent="0.25">
      <c r="B171" s="82" t="s">
        <v>592</v>
      </c>
      <c r="C171" s="242">
        <v>8014513000163</v>
      </c>
      <c r="D171" s="83" t="s">
        <v>593</v>
      </c>
      <c r="E171" s="83" t="s">
        <v>119</v>
      </c>
      <c r="F171" s="83" t="s">
        <v>119</v>
      </c>
      <c r="G171" s="83" t="s">
        <v>25</v>
      </c>
      <c r="H171" s="243">
        <v>0</v>
      </c>
      <c r="I171" s="227">
        <v>130525.92538</v>
      </c>
      <c r="J171" s="225">
        <v>171.08</v>
      </c>
      <c r="K171" s="225">
        <v>181.91242553999999</v>
      </c>
      <c r="L171" s="226">
        <v>0.94045252539597368</v>
      </c>
      <c r="M171" s="227">
        <v>221255368.88</v>
      </c>
      <c r="N171" s="227">
        <v>327478149.68000001</v>
      </c>
      <c r="O171" s="228">
        <v>0.67563398992025225</v>
      </c>
      <c r="P171" s="228">
        <v>0.76695818915000002</v>
      </c>
      <c r="Q171" s="229">
        <v>0.19121444317</v>
      </c>
      <c r="R171" s="229">
        <v>0.25458561014729947</v>
      </c>
      <c r="S171" s="229">
        <v>2.1215467512274957E-2</v>
      </c>
      <c r="T171" s="230">
        <v>3.6295421819999998</v>
      </c>
      <c r="U171" s="231">
        <v>3.8111860413000001E-3</v>
      </c>
      <c r="V171" s="231">
        <v>-5.4179740997E-2</v>
      </c>
      <c r="W171" s="231">
        <v>0.25171313041999999</v>
      </c>
      <c r="X171" s="232" t="str">
        <f t="shared" si="2"/>
        <v>Link</v>
      </c>
    </row>
    <row r="172" spans="2:24" ht="14.25" customHeight="1" x14ac:dyDescent="0.25">
      <c r="B172" s="82" t="s">
        <v>159</v>
      </c>
      <c r="C172" s="242">
        <v>46420627000100</v>
      </c>
      <c r="D172" s="83" t="s">
        <v>178</v>
      </c>
      <c r="E172" s="83" t="s">
        <v>233</v>
      </c>
      <c r="F172" s="83" t="s">
        <v>167</v>
      </c>
      <c r="G172" s="83" t="s">
        <v>118</v>
      </c>
      <c r="H172" s="243" t="s">
        <v>44</v>
      </c>
      <c r="I172" s="227">
        <v>82189.858462000004</v>
      </c>
      <c r="J172" s="225">
        <v>7.45</v>
      </c>
      <c r="K172" s="225">
        <v>8.4068081525</v>
      </c>
      <c r="L172" s="226">
        <v>0.88618651274735394</v>
      </c>
      <c r="M172" s="227">
        <v>34769403.289396413</v>
      </c>
      <c r="N172" s="227">
        <v>45531116.380000003</v>
      </c>
      <c r="O172" s="228">
        <v>0.7636404738951057</v>
      </c>
      <c r="P172" s="228" t="s">
        <v>44</v>
      </c>
      <c r="Q172" s="229">
        <v>0.1288590604</v>
      </c>
      <c r="R172" s="229">
        <v>0.14496644295302014</v>
      </c>
      <c r="S172" s="229">
        <v>1.2080536912751677E-2</v>
      </c>
      <c r="T172" s="230">
        <v>0.09</v>
      </c>
      <c r="U172" s="231">
        <v>-3.3722438393000001E-2</v>
      </c>
      <c r="V172" s="231">
        <v>-1.7449497865999999E-2</v>
      </c>
      <c r="W172" s="231">
        <v>5.3002179293000003E-2</v>
      </c>
      <c r="X172" s="232" t="str">
        <f t="shared" si="2"/>
        <v/>
      </c>
    </row>
    <row r="173" spans="2:24" ht="14.25" customHeight="1" x14ac:dyDescent="0.25">
      <c r="B173" s="82" t="s">
        <v>309</v>
      </c>
      <c r="C173" s="242">
        <v>41218352000103</v>
      </c>
      <c r="D173" s="83" t="s">
        <v>310</v>
      </c>
      <c r="E173" s="83" t="s">
        <v>311</v>
      </c>
      <c r="F173" s="83" t="s">
        <v>229</v>
      </c>
      <c r="G173" s="83" t="s">
        <v>126</v>
      </c>
      <c r="H173" s="243" t="s">
        <v>44</v>
      </c>
      <c r="I173" s="227">
        <v>122735.86476</v>
      </c>
      <c r="J173" s="225">
        <v>7.83</v>
      </c>
      <c r="K173" s="225">
        <v>8.8064093831000001</v>
      </c>
      <c r="L173" s="226">
        <v>0.88912514276547427</v>
      </c>
      <c r="M173" s="227">
        <v>70728382.170000002</v>
      </c>
      <c r="N173" s="227">
        <v>88536763.620000005</v>
      </c>
      <c r="O173" s="228">
        <v>0.79885890649000002</v>
      </c>
      <c r="P173" s="228">
        <v>1.0433464591999999</v>
      </c>
      <c r="Q173" s="229">
        <v>0.18199233715999999</v>
      </c>
      <c r="R173" s="229">
        <v>0.17624521072796936</v>
      </c>
      <c r="S173" s="229">
        <v>1.4687100893997447E-2</v>
      </c>
      <c r="T173" s="230">
        <v>0.115</v>
      </c>
      <c r="U173" s="231">
        <v>-2.3047153548999999E-2</v>
      </c>
      <c r="V173" s="231">
        <v>1.3168618494999999E-2</v>
      </c>
      <c r="W173" s="231">
        <v>0.20520692511999999</v>
      </c>
      <c r="X173" s="232" t="str">
        <f t="shared" si="2"/>
        <v>Link</v>
      </c>
    </row>
    <row r="174" spans="2:24" ht="14.25" customHeight="1" x14ac:dyDescent="0.25">
      <c r="B174" s="82" t="s">
        <v>594</v>
      </c>
      <c r="C174" s="242">
        <v>26091656000150</v>
      </c>
      <c r="D174" s="83" t="s">
        <v>595</v>
      </c>
      <c r="E174" s="83" t="s">
        <v>537</v>
      </c>
      <c r="F174" s="83" t="s">
        <v>538</v>
      </c>
      <c r="G174" s="83" t="s">
        <v>64</v>
      </c>
      <c r="H174" s="243">
        <v>1.47E-3</v>
      </c>
      <c r="I174" s="227">
        <v>633672.71215000004</v>
      </c>
      <c r="J174" s="225">
        <v>67.02</v>
      </c>
      <c r="K174" s="225">
        <v>84.278560982000002</v>
      </c>
      <c r="L174" s="226">
        <v>0.79522003246251383</v>
      </c>
      <c r="M174" s="227">
        <v>217974775.68000001</v>
      </c>
      <c r="N174" s="227">
        <v>319062700.11000001</v>
      </c>
      <c r="O174" s="228">
        <v>0.68317222791899856</v>
      </c>
      <c r="P174" s="228">
        <v>0.77608001919000003</v>
      </c>
      <c r="Q174" s="229">
        <v>0.20859444941999999</v>
      </c>
      <c r="R174" s="229">
        <v>0.21486123545210384</v>
      </c>
      <c r="S174" s="229">
        <v>1.7905102954341987E-2</v>
      </c>
      <c r="T174" s="230">
        <v>1.2</v>
      </c>
      <c r="U174" s="231">
        <v>-5.7383966244000002E-2</v>
      </c>
      <c r="V174" s="231">
        <v>-5.1808079994E-2</v>
      </c>
      <c r="W174" s="231">
        <v>3.6484283894999997E-2</v>
      </c>
      <c r="X174" s="232" t="str">
        <f t="shared" si="2"/>
        <v>Link</v>
      </c>
    </row>
    <row r="175" spans="2:24" ht="14.25" customHeight="1" x14ac:dyDescent="0.25">
      <c r="B175" s="82" t="s">
        <v>596</v>
      </c>
      <c r="C175" s="242">
        <v>30048651000112</v>
      </c>
      <c r="D175" s="83" t="s">
        <v>597</v>
      </c>
      <c r="E175" s="83" t="s">
        <v>377</v>
      </c>
      <c r="F175" s="83" t="s">
        <v>343</v>
      </c>
      <c r="G175" s="83" t="s">
        <v>63</v>
      </c>
      <c r="H175" s="243">
        <v>0</v>
      </c>
      <c r="I175" s="227">
        <v>962655.65553999995</v>
      </c>
      <c r="J175" s="225">
        <v>39.479999999999997</v>
      </c>
      <c r="K175" s="225">
        <v>41.756013695</v>
      </c>
      <c r="L175" s="226">
        <v>0.94549255320144365</v>
      </c>
      <c r="M175" s="227">
        <v>137289094.31999999</v>
      </c>
      <c r="N175" s="227">
        <v>119255736.81</v>
      </c>
      <c r="O175" s="228">
        <v>1.151215849169009</v>
      </c>
      <c r="P175" s="228">
        <v>1.2210604276000001</v>
      </c>
      <c r="Q175" s="229">
        <v>1.6210739615000001E-2</v>
      </c>
      <c r="R175" s="229">
        <v>2.7355623100303948E-2</v>
      </c>
      <c r="S175" s="229">
        <v>2.2796352583586625E-3</v>
      </c>
      <c r="T175" s="230">
        <v>0.09</v>
      </c>
      <c r="U175" s="231">
        <v>-1.0774242046000001E-2</v>
      </c>
      <c r="V175" s="231">
        <v>-4.7972699724999998E-2</v>
      </c>
      <c r="W175" s="231">
        <v>3.4172951542E-2</v>
      </c>
      <c r="X175" s="232" t="str">
        <f t="shared" si="2"/>
        <v>Link</v>
      </c>
    </row>
    <row r="176" spans="2:24" ht="14.25" customHeight="1" x14ac:dyDescent="0.25">
      <c r="B176" s="82" t="s">
        <v>598</v>
      </c>
      <c r="C176" s="242">
        <v>28729197000113</v>
      </c>
      <c r="D176" s="83" t="s">
        <v>599</v>
      </c>
      <c r="E176" s="83" t="s">
        <v>377</v>
      </c>
      <c r="F176" s="83" t="s">
        <v>275</v>
      </c>
      <c r="G176" s="83" t="s">
        <v>64</v>
      </c>
      <c r="H176" s="243">
        <v>8.3000000000000001E-3</v>
      </c>
      <c r="I176" s="227">
        <v>2933158.5122000002</v>
      </c>
      <c r="J176" s="225">
        <v>72.2</v>
      </c>
      <c r="K176" s="225">
        <v>82.174765573000002</v>
      </c>
      <c r="L176" s="226">
        <v>0.87861522325684138</v>
      </c>
      <c r="M176" s="227">
        <v>1228245245.4000001</v>
      </c>
      <c r="N176" s="227">
        <v>1572789435.3</v>
      </c>
      <c r="O176" s="228">
        <v>0.7809343182456715</v>
      </c>
      <c r="P176" s="228">
        <v>0.91350732886999997</v>
      </c>
      <c r="Q176" s="229">
        <v>0.15013850415999999</v>
      </c>
      <c r="R176" s="229">
        <v>0.16620498614958448</v>
      </c>
      <c r="S176" s="229">
        <v>1.3850415512465374E-2</v>
      </c>
      <c r="T176" s="230">
        <v>1</v>
      </c>
      <c r="U176" s="231">
        <v>-3.6926046666000002E-2</v>
      </c>
      <c r="V176" s="231">
        <v>-6.8411915266999995E-2</v>
      </c>
      <c r="W176" s="231">
        <v>-2.3345896993999998E-2</v>
      </c>
      <c r="X176" s="232" t="str">
        <f t="shared" si="2"/>
        <v>Link</v>
      </c>
    </row>
    <row r="177" spans="2:24" ht="14.25" customHeight="1" x14ac:dyDescent="0.25">
      <c r="B177" s="82" t="s">
        <v>600</v>
      </c>
      <c r="C177" s="242">
        <v>32754734000152</v>
      </c>
      <c r="D177" s="83" t="s">
        <v>601</v>
      </c>
      <c r="E177" s="83" t="s">
        <v>377</v>
      </c>
      <c r="F177" s="83" t="s">
        <v>119</v>
      </c>
      <c r="G177" s="83" t="s">
        <v>113</v>
      </c>
      <c r="H177" s="243">
        <v>0</v>
      </c>
      <c r="I177" s="227">
        <v>136096.24462000001</v>
      </c>
      <c r="J177" s="225">
        <v>61.2</v>
      </c>
      <c r="K177" s="225">
        <v>66.534658796000002</v>
      </c>
      <c r="L177" s="226">
        <v>0.9198213548767652</v>
      </c>
      <c r="M177" s="227">
        <v>333701200.80000001</v>
      </c>
      <c r="N177" s="227">
        <v>363831543.63999999</v>
      </c>
      <c r="O177" s="228">
        <v>0.9171860071874004</v>
      </c>
      <c r="P177" s="228">
        <v>0.82634866866000001</v>
      </c>
      <c r="Q177" s="229">
        <v>0.11078431372</v>
      </c>
      <c r="R177" s="229">
        <v>0.12745098039215685</v>
      </c>
      <c r="S177" s="229">
        <v>1.0620915032679739E-2</v>
      </c>
      <c r="T177" s="230">
        <v>0.65</v>
      </c>
      <c r="U177" s="231">
        <v>-2.2832508384E-2</v>
      </c>
      <c r="V177" s="231">
        <v>0.28583994796000001</v>
      </c>
      <c r="W177" s="231">
        <v>0.39091618006000001</v>
      </c>
      <c r="X177" s="232" t="str">
        <f t="shared" si="2"/>
        <v>Link</v>
      </c>
    </row>
    <row r="178" spans="2:24" ht="14.25" customHeight="1" x14ac:dyDescent="0.25">
      <c r="B178" s="82" t="s">
        <v>312</v>
      </c>
      <c r="C178" s="242">
        <v>41272747000186</v>
      </c>
      <c r="D178" s="83" t="s">
        <v>313</v>
      </c>
      <c r="E178" s="83" t="s">
        <v>314</v>
      </c>
      <c r="F178" s="83" t="s">
        <v>225</v>
      </c>
      <c r="G178" s="83" t="s">
        <v>126</v>
      </c>
      <c r="H178" s="243" t="s">
        <v>44</v>
      </c>
      <c r="I178" s="227">
        <v>54387.550153999997</v>
      </c>
      <c r="J178" s="225">
        <v>69.400000000000006</v>
      </c>
      <c r="K178" s="225">
        <v>75.932367350000007</v>
      </c>
      <c r="L178" s="226">
        <v>0.91397124075047032</v>
      </c>
      <c r="M178" s="227">
        <v>38657118.600000001</v>
      </c>
      <c r="N178" s="227">
        <v>53136653.539999999</v>
      </c>
      <c r="O178" s="228">
        <v>0.72750382314999995</v>
      </c>
      <c r="P178" s="228">
        <v>0.99815873561000001</v>
      </c>
      <c r="Q178" s="229">
        <v>0.17795389048999999</v>
      </c>
      <c r="R178" s="229">
        <v>0.18155619596541786</v>
      </c>
      <c r="S178" s="229">
        <v>1.5129682997118156E-2</v>
      </c>
      <c r="T178" s="230">
        <v>1.05</v>
      </c>
      <c r="U178" s="231">
        <v>-4.5916964530999999E-2</v>
      </c>
      <c r="V178" s="231">
        <v>6.3663994133000001E-2</v>
      </c>
      <c r="W178" s="231">
        <v>0.16435742399</v>
      </c>
      <c r="X178" s="232" t="str">
        <f t="shared" si="2"/>
        <v>Link</v>
      </c>
    </row>
    <row r="179" spans="2:24" ht="14.25" customHeight="1" x14ac:dyDescent="0.25">
      <c r="B179" s="82" t="s">
        <v>602</v>
      </c>
      <c r="C179" s="242">
        <v>51868778000158</v>
      </c>
      <c r="D179" s="83" t="s">
        <v>603</v>
      </c>
      <c r="E179" s="83" t="s">
        <v>256</v>
      </c>
      <c r="F179" s="83" t="s">
        <v>268</v>
      </c>
      <c r="G179" s="83" t="s">
        <v>64</v>
      </c>
      <c r="H179" s="243">
        <v>0</v>
      </c>
      <c r="I179" s="227">
        <v>228852.44076999999</v>
      </c>
      <c r="J179" s="225">
        <v>7.53</v>
      </c>
      <c r="K179" s="225">
        <v>8.0206500544000008</v>
      </c>
      <c r="L179" s="226">
        <v>0.93882664733255161</v>
      </c>
      <c r="M179" s="227">
        <v>111468412.26000001</v>
      </c>
      <c r="N179" s="227">
        <v>137728686.77000001</v>
      </c>
      <c r="O179" s="228">
        <v>0.8093332977620461</v>
      </c>
      <c r="P179" s="228">
        <v>0.92828621377999998</v>
      </c>
      <c r="Q179" s="229">
        <v>0.15059760956000001</v>
      </c>
      <c r="R179" s="229">
        <v>0.14661354581673305</v>
      </c>
      <c r="S179" s="229">
        <v>1.2217795484727755E-2</v>
      </c>
      <c r="T179" s="230">
        <v>9.1999999999999998E-2</v>
      </c>
      <c r="U179" s="231">
        <v>-3.0638516992999999E-2</v>
      </c>
      <c r="V179" s="231">
        <v>-6.1173352668000003E-2</v>
      </c>
      <c r="W179" s="231">
        <v>0.1409224422</v>
      </c>
      <c r="X179" s="232" t="str">
        <f t="shared" si="2"/>
        <v>Link</v>
      </c>
    </row>
    <row r="180" spans="2:24" ht="14.25" customHeight="1" x14ac:dyDescent="0.25">
      <c r="B180" s="82" t="s">
        <v>604</v>
      </c>
      <c r="C180" s="242">
        <v>26499833000132</v>
      </c>
      <c r="D180" s="83" t="s">
        <v>605</v>
      </c>
      <c r="E180" s="83" t="s">
        <v>377</v>
      </c>
      <c r="F180" s="83" t="s">
        <v>225</v>
      </c>
      <c r="G180" s="83" t="s">
        <v>61</v>
      </c>
      <c r="H180" s="243">
        <v>9.5399999999999999E-3</v>
      </c>
      <c r="I180" s="227">
        <v>4383594.1880000001</v>
      </c>
      <c r="J180" s="225">
        <v>100.83</v>
      </c>
      <c r="K180" s="225">
        <v>106.67516154</v>
      </c>
      <c r="L180" s="226">
        <v>0.94520597432788278</v>
      </c>
      <c r="M180" s="227">
        <v>1789779587.5999999</v>
      </c>
      <c r="N180" s="227">
        <v>2144817200.3</v>
      </c>
      <c r="O180" s="228">
        <v>0.83446719251862578</v>
      </c>
      <c r="P180" s="228">
        <v>0.88973965290000001</v>
      </c>
      <c r="Q180" s="229">
        <v>0.11206982049</v>
      </c>
      <c r="R180" s="229">
        <v>0.11901219875037192</v>
      </c>
      <c r="S180" s="229">
        <v>9.9176832291976592E-3</v>
      </c>
      <c r="T180" s="230">
        <v>1</v>
      </c>
      <c r="U180" s="231">
        <v>-2.6706231455999999E-3</v>
      </c>
      <c r="V180" s="231">
        <v>3.1586600380000003E-2</v>
      </c>
      <c r="W180" s="231">
        <v>0.15440796180999999</v>
      </c>
      <c r="X180" s="232" t="str">
        <f t="shared" si="2"/>
        <v>Link</v>
      </c>
    </row>
    <row r="181" spans="2:24" ht="14.25" customHeight="1" x14ac:dyDescent="0.25">
      <c r="B181" s="82" t="s">
        <v>790</v>
      </c>
      <c r="C181" s="242">
        <v>63492653000155</v>
      </c>
      <c r="D181" s="83" t="s">
        <v>44</v>
      </c>
      <c r="E181" s="83" t="s">
        <v>249</v>
      </c>
      <c r="F181" s="83" t="s">
        <v>276</v>
      </c>
      <c r="G181" s="83" t="s">
        <v>66</v>
      </c>
      <c r="H181" s="243">
        <v>0</v>
      </c>
      <c r="I181" s="227">
        <v>47687.341230999999</v>
      </c>
      <c r="J181" s="225">
        <v>110.01</v>
      </c>
      <c r="K181" s="225">
        <v>0</v>
      </c>
      <c r="L181" s="226"/>
      <c r="M181" s="227">
        <v>43361871.630000003</v>
      </c>
      <c r="N181" s="227">
        <v>33938515.590000004</v>
      </c>
      <c r="O181" s="228">
        <v>1.2776596405641441</v>
      </c>
      <c r="P181" s="228">
        <v>1.1667069084999999</v>
      </c>
      <c r="Q181" s="229" t="s">
        <v>44</v>
      </c>
      <c r="R181" s="229" t="s">
        <v>44</v>
      </c>
      <c r="S181" s="229" t="s">
        <v>44</v>
      </c>
      <c r="T181" s="230" t="s">
        <v>44</v>
      </c>
      <c r="U181" s="231">
        <v>6.4038056898000004E-3</v>
      </c>
      <c r="V181" s="231">
        <v>9.6938726131999997E-2</v>
      </c>
      <c r="W181" s="231" t="s">
        <v>44</v>
      </c>
      <c r="X181" s="232" t="str">
        <f t="shared" si="2"/>
        <v>Link</v>
      </c>
    </row>
    <row r="182" spans="2:24" ht="14.25" customHeight="1" x14ac:dyDescent="0.25">
      <c r="B182" s="82" t="s">
        <v>606</v>
      </c>
      <c r="C182" s="242">
        <v>17156502000109</v>
      </c>
      <c r="D182" s="83" t="s">
        <v>607</v>
      </c>
      <c r="E182" s="83" t="s">
        <v>608</v>
      </c>
      <c r="F182" s="83" t="s">
        <v>357</v>
      </c>
      <c r="G182" s="83" t="s">
        <v>64</v>
      </c>
      <c r="H182" s="243">
        <v>2.0699999999999998E-3</v>
      </c>
      <c r="I182" s="227">
        <v>660923.27677</v>
      </c>
      <c r="J182" s="225">
        <v>8.2100000000000009</v>
      </c>
      <c r="K182" s="225">
        <v>8.4</v>
      </c>
      <c r="L182" s="226">
        <v>0.97738095238095246</v>
      </c>
      <c r="M182" s="227">
        <v>306099587.5</v>
      </c>
      <c r="N182" s="227">
        <v>355468992.54000002</v>
      </c>
      <c r="O182" s="228">
        <v>0.86111473552944395</v>
      </c>
      <c r="P182" s="228">
        <v>0.84374946046999999</v>
      </c>
      <c r="Q182" s="229">
        <v>0.14482338611000001</v>
      </c>
      <c r="R182" s="229">
        <v>0.14323995127892813</v>
      </c>
      <c r="S182" s="229">
        <v>1.1936662606577345E-2</v>
      </c>
      <c r="T182" s="230">
        <v>9.8000000000000004E-2</v>
      </c>
      <c r="U182" s="231">
        <v>-8.6935522821999997E-3</v>
      </c>
      <c r="V182" s="231">
        <v>0.10806327109</v>
      </c>
      <c r="W182" s="231">
        <v>0.22781136330999999</v>
      </c>
      <c r="X182" s="232" t="str">
        <f t="shared" si="2"/>
        <v>Link</v>
      </c>
    </row>
    <row r="183" spans="2:24" ht="14.25" customHeight="1" x14ac:dyDescent="0.25">
      <c r="B183" s="82" t="s">
        <v>609</v>
      </c>
      <c r="C183" s="242">
        <v>10869155000112</v>
      </c>
      <c r="D183" s="83" t="s">
        <v>610</v>
      </c>
      <c r="E183" s="83" t="s">
        <v>119</v>
      </c>
      <c r="F183" s="83" t="s">
        <v>119</v>
      </c>
      <c r="G183" s="83" t="s">
        <v>61</v>
      </c>
      <c r="H183" s="243">
        <v>0</v>
      </c>
      <c r="I183" s="227">
        <v>134795.62262000001</v>
      </c>
      <c r="J183" s="225">
        <v>2475</v>
      </c>
      <c r="K183" s="225">
        <v>2647.2871992999999</v>
      </c>
      <c r="L183" s="226">
        <v>0.93491933956181394</v>
      </c>
      <c r="M183" s="227">
        <v>641282400</v>
      </c>
      <c r="N183" s="227">
        <v>672144640.22000003</v>
      </c>
      <c r="O183" s="228">
        <v>0.95408393019410453</v>
      </c>
      <c r="P183" s="228">
        <v>0.82076184407999997</v>
      </c>
      <c r="Q183" s="229">
        <v>9.2245225144000007E-2</v>
      </c>
      <c r="R183" s="229">
        <v>8.55823269090909E-2</v>
      </c>
      <c r="S183" s="229">
        <v>7.1318605757575756E-3</v>
      </c>
      <c r="T183" s="230">
        <v>17.651354925</v>
      </c>
      <c r="U183" s="231">
        <v>-4.0775247101000001E-2</v>
      </c>
      <c r="V183" s="231">
        <v>0.12337633084999999</v>
      </c>
      <c r="W183" s="231">
        <v>0.12244891816</v>
      </c>
      <c r="X183" s="232" t="str">
        <f t="shared" si="2"/>
        <v>Link</v>
      </c>
    </row>
    <row r="184" spans="2:24" ht="14.25" customHeight="1" x14ac:dyDescent="0.25">
      <c r="B184" s="82" t="s">
        <v>611</v>
      </c>
      <c r="C184" s="242">
        <v>35507457000171</v>
      </c>
      <c r="D184" s="83" t="s">
        <v>612</v>
      </c>
      <c r="E184" s="83" t="s">
        <v>377</v>
      </c>
      <c r="F184" s="83" t="s">
        <v>275</v>
      </c>
      <c r="G184" s="83" t="s">
        <v>179</v>
      </c>
      <c r="H184" s="243">
        <v>6.3299999999999997E-3</v>
      </c>
      <c r="I184" s="227">
        <v>2278948.6395</v>
      </c>
      <c r="J184" s="225">
        <v>50.92</v>
      </c>
      <c r="K184" s="225">
        <v>60.448613842</v>
      </c>
      <c r="L184" s="226">
        <v>0.84236836485769884</v>
      </c>
      <c r="M184" s="227">
        <v>936896327.75999999</v>
      </c>
      <c r="N184" s="227">
        <v>1330054484.0999999</v>
      </c>
      <c r="O184" s="228">
        <v>0.70440447286936825</v>
      </c>
      <c r="P184" s="228">
        <v>0.85381526991000001</v>
      </c>
      <c r="Q184" s="229">
        <v>0.14925373134</v>
      </c>
      <c r="R184" s="229">
        <v>0.14139827179890024</v>
      </c>
      <c r="S184" s="229">
        <v>1.1783189316575019E-2</v>
      </c>
      <c r="T184" s="230">
        <v>0.6</v>
      </c>
      <c r="U184" s="231">
        <v>-4.6461519164000001E-2</v>
      </c>
      <c r="V184" s="231">
        <v>-0.14403327320000001</v>
      </c>
      <c r="W184" s="231">
        <v>-4.8573177954999998E-2</v>
      </c>
      <c r="X184" s="232" t="str">
        <f t="shared" si="2"/>
        <v>Link</v>
      </c>
    </row>
    <row r="185" spans="2:24" ht="14.25" customHeight="1" x14ac:dyDescent="0.25">
      <c r="B185" s="82" t="s">
        <v>94</v>
      </c>
      <c r="C185" s="242">
        <v>35652102000176</v>
      </c>
      <c r="D185" s="83" t="s">
        <v>613</v>
      </c>
      <c r="E185" s="83" t="s">
        <v>44</v>
      </c>
      <c r="F185" s="83" t="s">
        <v>119</v>
      </c>
      <c r="G185" s="83" t="s">
        <v>63</v>
      </c>
      <c r="H185" s="243">
        <v>1.223E-2</v>
      </c>
      <c r="I185" s="227">
        <v>3815492.1965000001</v>
      </c>
      <c r="J185" s="225">
        <v>66.66</v>
      </c>
      <c r="K185" s="225">
        <v>81.509361752000004</v>
      </c>
      <c r="L185" s="226">
        <v>0.81782016896193344</v>
      </c>
      <c r="M185" s="227">
        <v>1808490266.2</v>
      </c>
      <c r="N185" s="227">
        <v>2835393868.3000002</v>
      </c>
      <c r="O185" s="228">
        <v>0.63782682413865333</v>
      </c>
      <c r="P185" s="228">
        <v>0.75684104820999998</v>
      </c>
      <c r="Q185" s="229">
        <v>7.7257725772999997E-2</v>
      </c>
      <c r="R185" s="229">
        <v>7.2007200720072009E-2</v>
      </c>
      <c r="S185" s="229">
        <v>6.0006000600060011E-3</v>
      </c>
      <c r="T185" s="230">
        <v>0.4</v>
      </c>
      <c r="U185" s="231">
        <v>-3.8372763992E-2</v>
      </c>
      <c r="V185" s="231">
        <v>-0.15062473000000001</v>
      </c>
      <c r="W185" s="231">
        <v>-4.2919194649E-2</v>
      </c>
      <c r="X185" s="232" t="str">
        <f t="shared" si="2"/>
        <v>Link</v>
      </c>
    </row>
    <row r="186" spans="2:24" ht="14.25" customHeight="1" x14ac:dyDescent="0.25">
      <c r="B186" s="82" t="s">
        <v>614</v>
      </c>
      <c r="C186" s="242">
        <v>17329029000114</v>
      </c>
      <c r="D186" s="83" t="s">
        <v>44</v>
      </c>
      <c r="E186" s="83" t="s">
        <v>44</v>
      </c>
      <c r="F186" s="83" t="s">
        <v>44</v>
      </c>
      <c r="G186" s="83" t="s">
        <v>179</v>
      </c>
      <c r="H186" s="243">
        <v>1.2199999999999999E-3</v>
      </c>
      <c r="I186" s="227">
        <v>324157.41214999999</v>
      </c>
      <c r="J186" s="225">
        <v>9.6300000000000008</v>
      </c>
      <c r="K186" s="225">
        <v>10.995927803000001</v>
      </c>
      <c r="L186" s="226">
        <v>0.87577875851209785</v>
      </c>
      <c r="M186" s="227">
        <v>180524702.25</v>
      </c>
      <c r="N186" s="227">
        <v>231394227.34999999</v>
      </c>
      <c r="O186" s="228">
        <v>0.78016078584771142</v>
      </c>
      <c r="P186" s="228">
        <v>0.81968649075</v>
      </c>
      <c r="Q186" s="229">
        <v>0.14184839045</v>
      </c>
      <c r="R186" s="229">
        <v>0.13457943925233645</v>
      </c>
      <c r="S186" s="229">
        <v>1.1214953271028037E-2</v>
      </c>
      <c r="T186" s="230">
        <v>0.108</v>
      </c>
      <c r="U186" s="231">
        <v>-6.3411787590000004E-2</v>
      </c>
      <c r="V186" s="231">
        <v>-2.7257365188999998E-2</v>
      </c>
      <c r="W186" s="231">
        <v>0.14152511950999999</v>
      </c>
      <c r="X186" s="232" t="str">
        <f t="shared" si="2"/>
        <v>Link</v>
      </c>
    </row>
    <row r="187" spans="2:24" ht="14.25" customHeight="1" x14ac:dyDescent="0.25">
      <c r="B187" s="82" t="s">
        <v>615</v>
      </c>
      <c r="C187" s="242">
        <v>30647758000187</v>
      </c>
      <c r="D187" s="83" t="s">
        <v>616</v>
      </c>
      <c r="E187" s="83" t="s">
        <v>257</v>
      </c>
      <c r="F187" s="83" t="s">
        <v>275</v>
      </c>
      <c r="G187" s="83" t="s">
        <v>64</v>
      </c>
      <c r="H187" s="243">
        <v>0</v>
      </c>
      <c r="I187" s="227">
        <v>329025.61523</v>
      </c>
      <c r="J187" s="225">
        <v>54.58</v>
      </c>
      <c r="K187" s="225">
        <v>66.168437650000001</v>
      </c>
      <c r="L187" s="226">
        <v>0.8248645719686265</v>
      </c>
      <c r="M187" s="227">
        <v>118327093.06</v>
      </c>
      <c r="N187" s="227">
        <v>187690970.75999999</v>
      </c>
      <c r="O187" s="228">
        <v>0.63043572411005633</v>
      </c>
      <c r="P187" s="228">
        <v>0.75802931405999996</v>
      </c>
      <c r="Q187" s="229">
        <v>0.17735434224999999</v>
      </c>
      <c r="R187" s="229">
        <v>0.17588860388420668</v>
      </c>
      <c r="S187" s="229">
        <v>1.4657383657017223E-2</v>
      </c>
      <c r="T187" s="230">
        <v>0.8</v>
      </c>
      <c r="U187" s="231">
        <v>-8.2534879812E-2</v>
      </c>
      <c r="V187" s="231">
        <v>-9.3418147977999993E-2</v>
      </c>
      <c r="W187" s="231">
        <v>-4.803287145E-2</v>
      </c>
      <c r="X187" s="232" t="str">
        <f t="shared" si="2"/>
        <v>Link</v>
      </c>
    </row>
    <row r="188" spans="2:24" ht="14.25" customHeight="1" x14ac:dyDescent="0.25">
      <c r="B188" s="82" t="s">
        <v>617</v>
      </c>
      <c r="C188" s="242">
        <v>37899479000150</v>
      </c>
      <c r="D188" s="83" t="s">
        <v>618</v>
      </c>
      <c r="E188" s="83" t="s">
        <v>257</v>
      </c>
      <c r="F188" s="83" t="s">
        <v>275</v>
      </c>
      <c r="G188" s="83" t="s">
        <v>64</v>
      </c>
      <c r="H188" s="243">
        <v>0</v>
      </c>
      <c r="I188" s="227">
        <v>372844.70292000001</v>
      </c>
      <c r="J188" s="225">
        <v>62.28</v>
      </c>
      <c r="K188" s="225">
        <v>76.017602296000007</v>
      </c>
      <c r="L188" s="226">
        <v>0.81928393054929505</v>
      </c>
      <c r="M188" s="227">
        <v>117927491.40000001</v>
      </c>
      <c r="N188" s="227">
        <v>175771393.46000001</v>
      </c>
      <c r="O188" s="228">
        <v>0.67091401552116936</v>
      </c>
      <c r="P188" s="228">
        <v>0.83216518993999999</v>
      </c>
      <c r="Q188" s="229">
        <v>0.2011881824</v>
      </c>
      <c r="R188" s="229">
        <v>0.19267822736030826</v>
      </c>
      <c r="S188" s="229">
        <v>1.6056518946692355E-2</v>
      </c>
      <c r="T188" s="230">
        <v>1</v>
      </c>
      <c r="U188" s="231">
        <v>-8.7071240105000003E-2</v>
      </c>
      <c r="V188" s="231">
        <v>-0.10324700216</v>
      </c>
      <c r="W188" s="231">
        <v>-2.7232228608000002E-2</v>
      </c>
      <c r="X188" s="232" t="str">
        <f t="shared" si="2"/>
        <v>Link</v>
      </c>
    </row>
    <row r="189" spans="2:24" ht="14.25" customHeight="1" x14ac:dyDescent="0.25">
      <c r="B189" s="82" t="s">
        <v>258</v>
      </c>
      <c r="C189" s="242">
        <v>38314962000198</v>
      </c>
      <c r="D189" s="83" t="s">
        <v>259</v>
      </c>
      <c r="E189" s="83" t="s">
        <v>257</v>
      </c>
      <c r="F189" s="83" t="s">
        <v>167</v>
      </c>
      <c r="G189" s="83" t="s">
        <v>118</v>
      </c>
      <c r="H189" s="243" t="s">
        <v>44</v>
      </c>
      <c r="I189" s="227">
        <v>170559.55523</v>
      </c>
      <c r="J189" s="225">
        <v>67.5</v>
      </c>
      <c r="K189" s="225">
        <v>75.220733913000004</v>
      </c>
      <c r="L189" s="226">
        <v>0.89735896592115449</v>
      </c>
      <c r="M189" s="227">
        <v>58579469.996678248</v>
      </c>
      <c r="N189" s="227">
        <v>74163519.799999997</v>
      </c>
      <c r="O189" s="228">
        <v>0.78986906439516436</v>
      </c>
      <c r="P189" s="228" t="s">
        <v>44</v>
      </c>
      <c r="Q189" s="229">
        <v>0.17925925926</v>
      </c>
      <c r="R189" s="229">
        <v>0.16</v>
      </c>
      <c r="S189" s="229">
        <v>1.3333333333333334E-2</v>
      </c>
      <c r="T189" s="230">
        <v>0.9</v>
      </c>
      <c r="U189" s="231">
        <v>-7.2802197801000001E-2</v>
      </c>
      <c r="V189" s="231">
        <v>-1.9039367817E-3</v>
      </c>
      <c r="W189" s="231">
        <v>0.10677898125</v>
      </c>
      <c r="X189" s="232" t="str">
        <f t="shared" si="2"/>
        <v/>
      </c>
    </row>
    <row r="190" spans="2:24" ht="14.25" customHeight="1" x14ac:dyDescent="0.25">
      <c r="B190" s="82" t="s">
        <v>773</v>
      </c>
      <c r="C190" s="242">
        <v>31161410000148</v>
      </c>
      <c r="D190" s="83" t="s">
        <v>774</v>
      </c>
      <c r="E190" s="83" t="s">
        <v>417</v>
      </c>
      <c r="F190" s="83" t="s">
        <v>357</v>
      </c>
      <c r="G190" s="83" t="s">
        <v>66</v>
      </c>
      <c r="H190" s="243">
        <v>0</v>
      </c>
      <c r="I190" s="227">
        <v>202333.55569000001</v>
      </c>
      <c r="J190" s="225">
        <v>72.5</v>
      </c>
      <c r="K190" s="225">
        <v>76.938909365000001</v>
      </c>
      <c r="L190" s="226">
        <v>0.94230605292386316</v>
      </c>
      <c r="M190" s="227">
        <v>110824587.5</v>
      </c>
      <c r="N190" s="227">
        <v>123751511.45</v>
      </c>
      <c r="O190" s="228">
        <v>0.8955412843161682</v>
      </c>
      <c r="P190" s="228">
        <v>1.0177836256999999</v>
      </c>
      <c r="Q190" s="229">
        <v>0.16636600386</v>
      </c>
      <c r="R190" s="229">
        <v>7.8299511724137932E-2</v>
      </c>
      <c r="S190" s="229">
        <v>6.5249593103448274E-3</v>
      </c>
      <c r="T190" s="230">
        <v>0.47305955</v>
      </c>
      <c r="U190" s="231">
        <v>-6.8493150684E-3</v>
      </c>
      <c r="V190" s="231">
        <v>-2.4340180913000001E-2</v>
      </c>
      <c r="W190" s="231">
        <v>0.11301012975999999</v>
      </c>
      <c r="X190" s="232" t="str">
        <f t="shared" si="2"/>
        <v>Link</v>
      </c>
    </row>
    <row r="191" spans="2:24" ht="14.25" customHeight="1" x14ac:dyDescent="0.25">
      <c r="B191" s="82" t="s">
        <v>619</v>
      </c>
      <c r="C191" s="242">
        <v>9006914000134</v>
      </c>
      <c r="D191" s="83" t="s">
        <v>620</v>
      </c>
      <c r="E191" s="83" t="s">
        <v>417</v>
      </c>
      <c r="F191" s="83" t="s">
        <v>167</v>
      </c>
      <c r="G191" s="83" t="s">
        <v>180</v>
      </c>
      <c r="H191" s="243">
        <v>0</v>
      </c>
      <c r="I191" s="227">
        <v>54864.966923</v>
      </c>
      <c r="J191" s="225">
        <v>35.659999999999997</v>
      </c>
      <c r="K191" s="225">
        <v>38.797594998000001</v>
      </c>
      <c r="L191" s="226">
        <v>0.91912913678897501</v>
      </c>
      <c r="M191" s="227">
        <v>66034688.759999998</v>
      </c>
      <c r="N191" s="227">
        <v>133967894.97</v>
      </c>
      <c r="O191" s="228">
        <v>0.4929142819985895</v>
      </c>
      <c r="P191" s="228">
        <v>0.63294935870000002</v>
      </c>
      <c r="Q191" s="229">
        <v>0.18536174986000001</v>
      </c>
      <c r="R191" s="229">
        <v>0.18508132361189011</v>
      </c>
      <c r="S191" s="229">
        <v>1.5423443634324175E-2</v>
      </c>
      <c r="T191" s="230">
        <v>0.55000000000000004</v>
      </c>
      <c r="U191" s="231">
        <v>-4.0107671603000002E-2</v>
      </c>
      <c r="V191" s="231">
        <v>-4.2727455035999999E-2</v>
      </c>
      <c r="W191" s="231">
        <v>5.3672835156E-2</v>
      </c>
      <c r="X191" s="232" t="str">
        <f t="shared" si="2"/>
        <v>Link</v>
      </c>
    </row>
    <row r="192" spans="2:24" ht="14.25" customHeight="1" x14ac:dyDescent="0.25">
      <c r="B192" s="82" t="s">
        <v>621</v>
      </c>
      <c r="C192" s="242">
        <v>35705463000133</v>
      </c>
      <c r="D192" s="83" t="s">
        <v>622</v>
      </c>
      <c r="E192" s="83" t="s">
        <v>44</v>
      </c>
      <c r="F192" s="83" t="s">
        <v>275</v>
      </c>
      <c r="G192" s="83" t="s">
        <v>65</v>
      </c>
      <c r="H192" s="243">
        <v>3.2000000000000002E-3</v>
      </c>
      <c r="I192" s="227">
        <v>456196.50938</v>
      </c>
      <c r="J192" s="225">
        <v>70.7</v>
      </c>
      <c r="K192" s="225">
        <v>89.662346378999999</v>
      </c>
      <c r="L192" s="226">
        <v>0.78851382832603178</v>
      </c>
      <c r="M192" s="227">
        <v>472773374.5</v>
      </c>
      <c r="N192" s="227">
        <v>631201854.80999994</v>
      </c>
      <c r="O192" s="228">
        <v>0.74900504632121367</v>
      </c>
      <c r="P192" s="228">
        <v>0.86612164600999997</v>
      </c>
      <c r="Q192" s="229">
        <v>0.11881188118</v>
      </c>
      <c r="R192" s="229">
        <v>0.10183875530410183</v>
      </c>
      <c r="S192" s="229">
        <v>8.4865629420084864E-3</v>
      </c>
      <c r="T192" s="230">
        <v>0.6</v>
      </c>
      <c r="U192" s="231">
        <v>-7.8585461696999998E-3</v>
      </c>
      <c r="V192" s="231">
        <v>-0.18518302583999999</v>
      </c>
      <c r="W192" s="231">
        <v>-5.0215413826999997E-2</v>
      </c>
      <c r="X192" s="232" t="str">
        <f t="shared" si="2"/>
        <v>Link</v>
      </c>
    </row>
    <row r="193" spans="2:24" ht="14.25" customHeight="1" x14ac:dyDescent="0.25">
      <c r="B193" s="82" t="s">
        <v>623</v>
      </c>
      <c r="C193" s="242">
        <v>21408063000151</v>
      </c>
      <c r="D193" s="83" t="s">
        <v>624</v>
      </c>
      <c r="E193" s="83" t="s">
        <v>377</v>
      </c>
      <c r="F193" s="83" t="s">
        <v>275</v>
      </c>
      <c r="G193" s="83" t="s">
        <v>19</v>
      </c>
      <c r="H193" s="243">
        <v>3.62E-3</v>
      </c>
      <c r="I193" s="227">
        <v>1177474.4994000001</v>
      </c>
      <c r="J193" s="225">
        <v>43.94</v>
      </c>
      <c r="K193" s="225">
        <v>52.830948573999997</v>
      </c>
      <c r="L193" s="226">
        <v>0.83170946549357339</v>
      </c>
      <c r="M193" s="227">
        <v>535153474.06</v>
      </c>
      <c r="N193" s="227">
        <v>955608758.17999995</v>
      </c>
      <c r="O193" s="228">
        <v>0.56001315337379698</v>
      </c>
      <c r="P193" s="228">
        <v>0.68241088668000005</v>
      </c>
      <c r="Q193" s="229">
        <v>0.10810195721</v>
      </c>
      <c r="R193" s="229">
        <v>9.5584888484296776E-2</v>
      </c>
      <c r="S193" s="229">
        <v>7.965407373691398E-3</v>
      </c>
      <c r="T193" s="230">
        <v>0.35</v>
      </c>
      <c r="U193" s="231">
        <v>-3.7719419621999997E-2</v>
      </c>
      <c r="V193" s="231">
        <v>-0.16291721854999999</v>
      </c>
      <c r="W193" s="231">
        <v>-3.3532391315E-2</v>
      </c>
      <c r="X193" s="232" t="str">
        <f t="shared" si="2"/>
        <v>Link</v>
      </c>
    </row>
    <row r="194" spans="2:24" ht="14.25" customHeight="1" x14ac:dyDescent="0.25">
      <c r="B194" s="82" t="s">
        <v>32</v>
      </c>
      <c r="C194" s="242">
        <v>29467977000103</v>
      </c>
      <c r="D194" s="83" t="s">
        <v>625</v>
      </c>
      <c r="E194" s="83" t="s">
        <v>377</v>
      </c>
      <c r="F194" s="83" t="s">
        <v>119</v>
      </c>
      <c r="G194" s="83" t="s">
        <v>64</v>
      </c>
      <c r="H194" s="243">
        <v>8.26E-3</v>
      </c>
      <c r="I194" s="227">
        <v>4149163.3065999998</v>
      </c>
      <c r="J194" s="225">
        <v>75</v>
      </c>
      <c r="K194" s="225">
        <v>84.700875879999998</v>
      </c>
      <c r="L194" s="226">
        <v>0.88546900159871167</v>
      </c>
      <c r="M194" s="227">
        <v>1222520625</v>
      </c>
      <c r="N194" s="227">
        <v>1498092893.8</v>
      </c>
      <c r="O194" s="228">
        <v>0.81605128097163937</v>
      </c>
      <c r="P194" s="228">
        <v>0.93550740217999995</v>
      </c>
      <c r="Q194" s="229">
        <v>0.13173333333000001</v>
      </c>
      <c r="R194" s="229">
        <v>0.14400000000000002</v>
      </c>
      <c r="S194" s="229">
        <v>1.2E-2</v>
      </c>
      <c r="T194" s="230">
        <v>0.9</v>
      </c>
      <c r="U194" s="231">
        <v>-4.5359408796E-4</v>
      </c>
      <c r="V194" s="231">
        <v>-7.0281296647000002E-2</v>
      </c>
      <c r="W194" s="231">
        <v>-2.3658732602E-2</v>
      </c>
      <c r="X194" s="232" t="str">
        <f t="shared" si="2"/>
        <v>Link</v>
      </c>
    </row>
    <row r="195" spans="2:24" ht="14.25" customHeight="1" x14ac:dyDescent="0.25">
      <c r="B195" s="82" t="s">
        <v>626</v>
      </c>
      <c r="C195" s="242">
        <v>41088458000121</v>
      </c>
      <c r="D195" s="83" t="s">
        <v>627</v>
      </c>
      <c r="E195" s="83" t="s">
        <v>44</v>
      </c>
      <c r="F195" s="83" t="s">
        <v>119</v>
      </c>
      <c r="G195" s="83" t="s">
        <v>179</v>
      </c>
      <c r="H195" s="243">
        <v>7.1599999999999997E-3</v>
      </c>
      <c r="I195" s="227">
        <v>2300692.2708999999</v>
      </c>
      <c r="J195" s="225">
        <v>7.24</v>
      </c>
      <c r="K195" s="225">
        <v>8.4317988485999997</v>
      </c>
      <c r="L195" s="226">
        <v>0.85865425990352184</v>
      </c>
      <c r="M195" s="227">
        <v>1059605146.4</v>
      </c>
      <c r="N195" s="227">
        <v>1348078087.3</v>
      </c>
      <c r="O195" s="228">
        <v>0.78601169797384041</v>
      </c>
      <c r="P195" s="228">
        <v>0.84237902873000003</v>
      </c>
      <c r="Q195" s="229">
        <v>0.14917127072</v>
      </c>
      <c r="R195" s="229">
        <v>0.14917127071823205</v>
      </c>
      <c r="S195" s="229">
        <v>1.2430939226519336E-2</v>
      </c>
      <c r="T195" s="230">
        <v>0.09</v>
      </c>
      <c r="U195" s="231">
        <v>-4.0559622863000001E-2</v>
      </c>
      <c r="V195" s="231">
        <v>-5.4022394231999997E-2</v>
      </c>
      <c r="W195" s="231">
        <v>7.4789818159999993E-2</v>
      </c>
      <c r="X195" s="232" t="str">
        <f t="shared" si="2"/>
        <v>Link</v>
      </c>
    </row>
    <row r="196" spans="2:24" ht="14.25" customHeight="1" x14ac:dyDescent="0.25">
      <c r="B196" s="82" t="s">
        <v>33</v>
      </c>
      <c r="C196" s="242">
        <v>30166700000111</v>
      </c>
      <c r="D196" s="83" t="s">
        <v>628</v>
      </c>
      <c r="E196" s="83" t="s">
        <v>44</v>
      </c>
      <c r="F196" s="83" t="s">
        <v>119</v>
      </c>
      <c r="G196" s="83" t="s">
        <v>64</v>
      </c>
      <c r="H196" s="243">
        <v>6.6400000000000001E-3</v>
      </c>
      <c r="I196" s="227">
        <v>4305788.1321999999</v>
      </c>
      <c r="J196" s="225">
        <v>76.87</v>
      </c>
      <c r="K196" s="225">
        <v>92.593082960999993</v>
      </c>
      <c r="L196" s="226">
        <v>0.83019160332286901</v>
      </c>
      <c r="M196" s="227">
        <v>981592387.44000006</v>
      </c>
      <c r="N196" s="227">
        <v>1289546006.5999999</v>
      </c>
      <c r="O196" s="228">
        <v>0.76119221991005481</v>
      </c>
      <c r="P196" s="228">
        <v>0.97514012064</v>
      </c>
      <c r="Q196" s="229">
        <v>0.17627162741999999</v>
      </c>
      <c r="R196" s="229">
        <v>0.15610771432288278</v>
      </c>
      <c r="S196" s="229">
        <v>1.3008976193573565E-2</v>
      </c>
      <c r="T196" s="230">
        <v>1</v>
      </c>
      <c r="U196" s="231">
        <v>-8.1375576946999997E-2</v>
      </c>
      <c r="V196" s="231">
        <v>-0.13772419495999999</v>
      </c>
      <c r="W196" s="231">
        <v>-3.8285444644000001E-2</v>
      </c>
      <c r="X196" s="232" t="str">
        <f t="shared" si="2"/>
        <v>Link</v>
      </c>
    </row>
    <row r="197" spans="2:24" ht="14.25" customHeight="1" x14ac:dyDescent="0.25">
      <c r="B197" s="82" t="s">
        <v>629</v>
      </c>
      <c r="C197" s="242">
        <v>15576907000170</v>
      </c>
      <c r="D197" s="83" t="s">
        <v>630</v>
      </c>
      <c r="E197" s="83" t="s">
        <v>257</v>
      </c>
      <c r="F197" s="83" t="s">
        <v>257</v>
      </c>
      <c r="G197" s="83" t="s">
        <v>180</v>
      </c>
      <c r="H197" s="243">
        <v>9.1500000000000001E-3</v>
      </c>
      <c r="I197" s="227">
        <v>2055698.8698</v>
      </c>
      <c r="J197" s="225">
        <v>8.67</v>
      </c>
      <c r="K197" s="225">
        <v>9.7923295611000007</v>
      </c>
      <c r="L197" s="226">
        <v>0.88538686794626975</v>
      </c>
      <c r="M197" s="227">
        <v>1432874799.8</v>
      </c>
      <c r="N197" s="227">
        <v>1761993977.0999999</v>
      </c>
      <c r="O197" s="228">
        <v>0.81321208722762783</v>
      </c>
      <c r="P197" s="228">
        <v>0.95706607099999996</v>
      </c>
      <c r="Q197" s="229">
        <v>0.12456747404</v>
      </c>
      <c r="R197" s="229">
        <v>0.1245674740484429</v>
      </c>
      <c r="S197" s="229">
        <v>1.0380622837370242E-2</v>
      </c>
      <c r="T197" s="230">
        <v>0.09</v>
      </c>
      <c r="U197" s="231">
        <v>-2.0338983051000001E-2</v>
      </c>
      <c r="V197" s="231">
        <v>-9.9244796834999996E-2</v>
      </c>
      <c r="W197" s="231">
        <v>0.14904859645999999</v>
      </c>
      <c r="X197" s="232" t="str">
        <f t="shared" si="2"/>
        <v>Link</v>
      </c>
    </row>
    <row r="198" spans="2:24" ht="14.25" customHeight="1" x14ac:dyDescent="0.25">
      <c r="B198" s="82" t="s">
        <v>631</v>
      </c>
      <c r="C198" s="242">
        <v>3683056000186</v>
      </c>
      <c r="D198" s="83" t="s">
        <v>632</v>
      </c>
      <c r="E198" s="83" t="s">
        <v>257</v>
      </c>
      <c r="F198" s="83" t="s">
        <v>257</v>
      </c>
      <c r="G198" s="83" t="s">
        <v>63</v>
      </c>
      <c r="H198" s="243">
        <v>3.2200000000000002E-3</v>
      </c>
      <c r="I198" s="227">
        <v>913909.60077000002</v>
      </c>
      <c r="J198" s="225">
        <v>129.19999999999999</v>
      </c>
      <c r="K198" s="225">
        <v>139.27698214</v>
      </c>
      <c r="L198" s="226">
        <v>0.92764789999634889</v>
      </c>
      <c r="M198" s="227">
        <v>476837794</v>
      </c>
      <c r="N198" s="227">
        <v>705549167.76999998</v>
      </c>
      <c r="O198" s="228">
        <v>0.67583921260529789</v>
      </c>
      <c r="P198" s="228">
        <v>0.70211070877000004</v>
      </c>
      <c r="Q198" s="229">
        <v>9.6130030960000001E-2</v>
      </c>
      <c r="R198" s="229">
        <v>0.12074303405572757</v>
      </c>
      <c r="S198" s="229">
        <v>1.0061919504643965E-2</v>
      </c>
      <c r="T198" s="230">
        <v>1.3</v>
      </c>
      <c r="U198" s="231">
        <v>-5.1325354284000001E-2</v>
      </c>
      <c r="V198" s="231">
        <v>-2.4399990436E-2</v>
      </c>
      <c r="W198" s="231">
        <v>0.12860286577999999</v>
      </c>
      <c r="X198" s="232" t="str">
        <f t="shared" si="2"/>
        <v>Link</v>
      </c>
    </row>
    <row r="199" spans="2:24" ht="14.25" customHeight="1" x14ac:dyDescent="0.25">
      <c r="B199" s="82" t="s">
        <v>633</v>
      </c>
      <c r="C199" s="242">
        <v>60801196000145</v>
      </c>
      <c r="D199" s="83" t="s">
        <v>634</v>
      </c>
      <c r="E199" s="83" t="s">
        <v>635</v>
      </c>
      <c r="F199" s="83" t="s">
        <v>119</v>
      </c>
      <c r="G199" s="83" t="s">
        <v>64</v>
      </c>
      <c r="H199" s="243">
        <v>0</v>
      </c>
      <c r="I199" s="227">
        <v>47276.382615000002</v>
      </c>
      <c r="J199" s="225">
        <v>95.5</v>
      </c>
      <c r="K199" s="225">
        <v>99.078185946999994</v>
      </c>
      <c r="L199" s="226">
        <v>0.9638852295003254</v>
      </c>
      <c r="M199" s="227">
        <v>40314752</v>
      </c>
      <c r="N199" s="227">
        <v>41869292.119999997</v>
      </c>
      <c r="O199" s="228">
        <v>0.96287159296735692</v>
      </c>
      <c r="P199" s="228">
        <v>0.99902876572999999</v>
      </c>
      <c r="Q199" s="229">
        <v>0.14345549737999999</v>
      </c>
      <c r="R199" s="229">
        <v>0.13821989528795814</v>
      </c>
      <c r="S199" s="229">
        <v>1.1518324607329844E-2</v>
      </c>
      <c r="T199" s="230">
        <v>1.1000000000000001</v>
      </c>
      <c r="U199" s="231">
        <v>-2.8278348533E-2</v>
      </c>
      <c r="V199" s="231">
        <v>3.0069586963000002E-2</v>
      </c>
      <c r="W199" s="231">
        <v>0.106352005</v>
      </c>
      <c r="X199" s="232" t="str">
        <f t="shared" ref="X199:X262" si="3">IF(OR(B199="",G199="FI-Infra"),"",HYPERLINK("https://content.btgpactual.com/research/ativo/https://content.btgpactual.com/research/ativo/"&amp;B199,"Link"))</f>
        <v>Link</v>
      </c>
    </row>
    <row r="200" spans="2:24" ht="14.25" customHeight="1" x14ac:dyDescent="0.25">
      <c r="B200" s="82" t="s">
        <v>636</v>
      </c>
      <c r="C200" s="242">
        <v>56430935000162</v>
      </c>
      <c r="D200" s="83" t="s">
        <v>637</v>
      </c>
      <c r="E200" s="83" t="s">
        <v>638</v>
      </c>
      <c r="F200" s="83" t="s">
        <v>275</v>
      </c>
      <c r="G200" s="83" t="s">
        <v>179</v>
      </c>
      <c r="H200" s="243">
        <v>0</v>
      </c>
      <c r="I200" s="227">
        <v>59914.752308000003</v>
      </c>
      <c r="J200" s="225">
        <v>7.5</v>
      </c>
      <c r="K200" s="225">
        <v>8.0233862749</v>
      </c>
      <c r="L200" s="226">
        <v>0.93476740905054789</v>
      </c>
      <c r="M200" s="227">
        <v>142878435</v>
      </c>
      <c r="N200" s="227">
        <v>169523360.59</v>
      </c>
      <c r="O200" s="228">
        <v>0.84282446090458307</v>
      </c>
      <c r="P200" s="228">
        <v>0.87785134471000004</v>
      </c>
      <c r="Q200" s="229">
        <v>0.17066666666999999</v>
      </c>
      <c r="R200" s="229">
        <v>0.16</v>
      </c>
      <c r="S200" s="229">
        <v>1.3333333333333334E-2</v>
      </c>
      <c r="T200" s="230">
        <v>0.1</v>
      </c>
      <c r="U200" s="231">
        <v>1.1930971188E-2</v>
      </c>
      <c r="V200" s="231">
        <v>-3.4252940166000001E-2</v>
      </c>
      <c r="W200" s="231">
        <v>8.5867364178000005E-3</v>
      </c>
      <c r="X200" s="232" t="str">
        <f t="shared" si="3"/>
        <v>Link</v>
      </c>
    </row>
    <row r="201" spans="2:24" ht="14.25" customHeight="1" x14ac:dyDescent="0.25">
      <c r="B201" s="82" t="s">
        <v>639</v>
      </c>
      <c r="C201" s="242">
        <v>28152272000126</v>
      </c>
      <c r="D201" s="83" t="s">
        <v>640</v>
      </c>
      <c r="E201" s="83" t="s">
        <v>641</v>
      </c>
      <c r="F201" s="83" t="s">
        <v>275</v>
      </c>
      <c r="G201" s="83" t="s">
        <v>64</v>
      </c>
      <c r="H201" s="243">
        <v>1.349E-2</v>
      </c>
      <c r="I201" s="227">
        <v>3129776.3659999999</v>
      </c>
      <c r="J201" s="225">
        <v>75.44</v>
      </c>
      <c r="K201" s="225">
        <v>80.764684618999993</v>
      </c>
      <c r="L201" s="226">
        <v>0.9340716224657013</v>
      </c>
      <c r="M201" s="227">
        <v>1994758076</v>
      </c>
      <c r="N201" s="227">
        <v>2299737481.5</v>
      </c>
      <c r="O201" s="228">
        <v>0.8673851220178932</v>
      </c>
      <c r="P201" s="228">
        <v>0.92166893468</v>
      </c>
      <c r="Q201" s="229">
        <v>0.14433059384999999</v>
      </c>
      <c r="R201" s="229">
        <v>0.17476670201484626</v>
      </c>
      <c r="S201" s="229">
        <v>1.4563891834570521E-2</v>
      </c>
      <c r="T201" s="230">
        <v>1.0987</v>
      </c>
      <c r="U201" s="231">
        <v>-4.3615983715000001E-2</v>
      </c>
      <c r="V201" s="231">
        <v>1.1988359887E-2</v>
      </c>
      <c r="W201" s="231">
        <v>6.0449884877000003E-2</v>
      </c>
      <c r="X201" s="232" t="str">
        <f t="shared" si="3"/>
        <v>Link</v>
      </c>
    </row>
    <row r="202" spans="2:24" ht="14.25" customHeight="1" x14ac:dyDescent="0.25">
      <c r="B202" s="82" t="s">
        <v>642</v>
      </c>
      <c r="C202" s="242">
        <v>32274163000159</v>
      </c>
      <c r="D202" s="83" t="s">
        <v>643</v>
      </c>
      <c r="E202" s="83" t="s">
        <v>641</v>
      </c>
      <c r="F202" s="83" t="s">
        <v>275</v>
      </c>
      <c r="G202" s="83" t="s">
        <v>63</v>
      </c>
      <c r="H202" s="243">
        <v>0</v>
      </c>
      <c r="I202" s="227">
        <v>435086.45123000001</v>
      </c>
      <c r="J202" s="225">
        <v>32.17</v>
      </c>
      <c r="K202" s="225">
        <v>37.485723233999998</v>
      </c>
      <c r="L202" s="226">
        <v>0.85819339270000872</v>
      </c>
      <c r="M202" s="227">
        <v>274844169.81</v>
      </c>
      <c r="N202" s="227">
        <v>767238559</v>
      </c>
      <c r="O202" s="228">
        <v>0.35822517857838793</v>
      </c>
      <c r="P202" s="228">
        <v>0.42827952381000001</v>
      </c>
      <c r="Q202" s="229">
        <v>0.16288467515999999</v>
      </c>
      <c r="R202" s="229">
        <v>0.16785825303077401</v>
      </c>
      <c r="S202" s="229">
        <v>1.3988187752564501E-2</v>
      </c>
      <c r="T202" s="230">
        <v>0.45</v>
      </c>
      <c r="U202" s="231">
        <v>-7.7415663511999994E-2</v>
      </c>
      <c r="V202" s="231">
        <v>-7.7684888610000002E-2</v>
      </c>
      <c r="W202" s="231">
        <v>0.19848971122</v>
      </c>
      <c r="X202" s="232" t="str">
        <f t="shared" si="3"/>
        <v>Link</v>
      </c>
    </row>
    <row r="203" spans="2:24" ht="14.25" customHeight="1" x14ac:dyDescent="0.25">
      <c r="B203" s="82" t="s">
        <v>806</v>
      </c>
      <c r="C203" s="242">
        <v>63051078000155</v>
      </c>
      <c r="D203" s="83" t="s">
        <v>44</v>
      </c>
      <c r="E203" s="83" t="s">
        <v>417</v>
      </c>
      <c r="F203" s="83" t="s">
        <v>275</v>
      </c>
      <c r="G203" s="83" t="s">
        <v>179</v>
      </c>
      <c r="H203" s="243">
        <v>0</v>
      </c>
      <c r="I203" s="227">
        <v>172267.96431000001</v>
      </c>
      <c r="J203" s="225">
        <v>78.010000000000005</v>
      </c>
      <c r="K203" s="225">
        <v>0</v>
      </c>
      <c r="L203" s="226"/>
      <c r="M203" s="227">
        <v>51103336.869999997</v>
      </c>
      <c r="N203" s="227">
        <v>58672264.770000003</v>
      </c>
      <c r="O203" s="228">
        <v>0.87099649332319429</v>
      </c>
      <c r="P203" s="228" t="s">
        <v>44</v>
      </c>
      <c r="Q203" s="229" t="s">
        <v>44</v>
      </c>
      <c r="R203" s="229">
        <v>0.13536726060761439</v>
      </c>
      <c r="S203" s="229">
        <v>1.1280605050634534E-2</v>
      </c>
      <c r="T203" s="230">
        <v>0.88</v>
      </c>
      <c r="U203" s="231">
        <v>1.2328056061999999E-2</v>
      </c>
      <c r="V203" s="231" t="s">
        <v>44</v>
      </c>
      <c r="W203" s="231" t="s">
        <v>44</v>
      </c>
      <c r="X203" s="232" t="str">
        <f t="shared" si="3"/>
        <v>Link</v>
      </c>
    </row>
    <row r="204" spans="2:24" ht="14.25" customHeight="1" x14ac:dyDescent="0.25">
      <c r="B204" s="82" t="s">
        <v>260</v>
      </c>
      <c r="C204" s="242">
        <v>54895184000124</v>
      </c>
      <c r="D204" s="83" t="s">
        <v>261</v>
      </c>
      <c r="E204" s="83" t="s">
        <v>256</v>
      </c>
      <c r="F204" s="83" t="s">
        <v>262</v>
      </c>
      <c r="G204" s="83" t="s">
        <v>118</v>
      </c>
      <c r="H204" s="243" t="s">
        <v>44</v>
      </c>
      <c r="I204" s="227">
        <v>185359.23738000001</v>
      </c>
      <c r="J204" s="225">
        <v>7.21</v>
      </c>
      <c r="K204" s="225">
        <v>7.6932458566999999</v>
      </c>
      <c r="L204" s="226">
        <v>0.93718569954720166</v>
      </c>
      <c r="M204" s="227">
        <v>108150000</v>
      </c>
      <c r="N204" s="227">
        <v>136534281</v>
      </c>
      <c r="O204" s="228">
        <v>0.79210875985057549</v>
      </c>
      <c r="P204" s="228" t="s">
        <v>44</v>
      </c>
      <c r="Q204" s="229">
        <v>0.15705656624</v>
      </c>
      <c r="R204" s="229">
        <v>0.15247555256588072</v>
      </c>
      <c r="S204" s="229">
        <v>1.2706296047156727E-2</v>
      </c>
      <c r="T204" s="230">
        <v>9.16123945E-2</v>
      </c>
      <c r="U204" s="231">
        <v>-2.6778783194000001E-2</v>
      </c>
      <c r="V204" s="231">
        <v>3.8529044723000002E-3</v>
      </c>
      <c r="W204" s="231">
        <v>0.13672175546000001</v>
      </c>
      <c r="X204" s="232" t="str">
        <f t="shared" si="3"/>
        <v/>
      </c>
    </row>
    <row r="205" spans="2:24" ht="14.25" customHeight="1" x14ac:dyDescent="0.25">
      <c r="B205" s="82" t="s">
        <v>644</v>
      </c>
      <c r="C205" s="242">
        <v>44625612000145</v>
      </c>
      <c r="D205" s="83" t="s">
        <v>645</v>
      </c>
      <c r="E205" s="83" t="s">
        <v>635</v>
      </c>
      <c r="F205" s="83" t="s">
        <v>119</v>
      </c>
      <c r="G205" s="83" t="s">
        <v>43</v>
      </c>
      <c r="H205" s="243">
        <v>0</v>
      </c>
      <c r="I205" s="227">
        <v>529715.20385000005</v>
      </c>
      <c r="J205" s="225">
        <v>100.15</v>
      </c>
      <c r="K205" s="225">
        <v>105.21184359</v>
      </c>
      <c r="L205" s="226">
        <v>0.95188903247693779</v>
      </c>
      <c r="M205" s="227">
        <v>503922351.39999998</v>
      </c>
      <c r="N205" s="227">
        <v>511363710.42000002</v>
      </c>
      <c r="O205" s="228">
        <v>0.98544801113499392</v>
      </c>
      <c r="P205" s="228">
        <v>1.0079624858</v>
      </c>
      <c r="Q205" s="229">
        <v>0.13479780329999999</v>
      </c>
      <c r="R205" s="229">
        <v>0.12581128307538691</v>
      </c>
      <c r="S205" s="229">
        <v>1.0484273589615576E-2</v>
      </c>
      <c r="T205" s="230">
        <v>1.05</v>
      </c>
      <c r="U205" s="231">
        <v>-1.9529059035000001E-2</v>
      </c>
      <c r="V205" s="231">
        <v>1.8019954971999999E-2</v>
      </c>
      <c r="W205" s="231">
        <v>0.13067020846999999</v>
      </c>
      <c r="X205" s="232" t="str">
        <f t="shared" si="3"/>
        <v>Link</v>
      </c>
    </row>
    <row r="206" spans="2:24" ht="14.25" customHeight="1" x14ac:dyDescent="0.25">
      <c r="B206" s="82" t="s">
        <v>646</v>
      </c>
      <c r="C206" s="242">
        <v>15006286000190</v>
      </c>
      <c r="D206" s="83" t="s">
        <v>647</v>
      </c>
      <c r="E206" s="83" t="s">
        <v>257</v>
      </c>
      <c r="F206" s="83" t="s">
        <v>257</v>
      </c>
      <c r="G206" s="83" t="s">
        <v>63</v>
      </c>
      <c r="H206" s="243">
        <v>0</v>
      </c>
      <c r="I206" s="227">
        <v>46457.481846000002</v>
      </c>
      <c r="J206" s="225">
        <v>52.27</v>
      </c>
      <c r="K206" s="225">
        <v>52.385662136000001</v>
      </c>
      <c r="L206" s="226">
        <v>0.99779210319610501</v>
      </c>
      <c r="M206" s="227">
        <v>139874520</v>
      </c>
      <c r="N206" s="227">
        <v>225181949.59</v>
      </c>
      <c r="O206" s="228">
        <v>0.62116222128228527</v>
      </c>
      <c r="P206" s="228">
        <v>0.61101124462</v>
      </c>
      <c r="Q206" s="229">
        <v>9.4126650086000005E-2</v>
      </c>
      <c r="R206" s="229">
        <v>0.11938014157260379</v>
      </c>
      <c r="S206" s="229">
        <v>9.9483451310503155E-3</v>
      </c>
      <c r="T206" s="230">
        <v>0.52</v>
      </c>
      <c r="U206" s="231">
        <v>2.5304040800999999E-2</v>
      </c>
      <c r="V206" s="231">
        <v>9.7096861164000001E-2</v>
      </c>
      <c r="W206" s="231">
        <v>0.15097249630000001</v>
      </c>
      <c r="X206" s="232" t="str">
        <f t="shared" si="3"/>
        <v>Link</v>
      </c>
    </row>
    <row r="207" spans="2:24" ht="14.25" customHeight="1" x14ac:dyDescent="0.25">
      <c r="B207" s="82" t="s">
        <v>648</v>
      </c>
      <c r="C207" s="242">
        <v>42502842000191</v>
      </c>
      <c r="D207" s="83" t="s">
        <v>649</v>
      </c>
      <c r="E207" s="83" t="s">
        <v>44</v>
      </c>
      <c r="F207" s="83" t="s">
        <v>231</v>
      </c>
      <c r="G207" s="83" t="s">
        <v>64</v>
      </c>
      <c r="H207" s="243">
        <v>1.6800000000000001E-3</v>
      </c>
      <c r="I207" s="227">
        <v>896311.84108000004</v>
      </c>
      <c r="J207" s="225">
        <v>71.44</v>
      </c>
      <c r="K207" s="225">
        <v>84.153362876000003</v>
      </c>
      <c r="L207" s="226">
        <v>0.84892626460177056</v>
      </c>
      <c r="M207" s="227">
        <v>248020248.31999999</v>
      </c>
      <c r="N207" s="227">
        <v>345047877.29000002</v>
      </c>
      <c r="O207" s="228">
        <v>0.71879951926656283</v>
      </c>
      <c r="P207" s="228">
        <v>0.84035137091000001</v>
      </c>
      <c r="Q207" s="229">
        <v>0.15110582307000001</v>
      </c>
      <c r="R207" s="229">
        <v>0.23516237402015677</v>
      </c>
      <c r="S207" s="229">
        <v>1.9596864501679731E-2</v>
      </c>
      <c r="T207" s="230">
        <v>1.4</v>
      </c>
      <c r="U207" s="231">
        <v>-6.9064373208999996E-2</v>
      </c>
      <c r="V207" s="231">
        <v>-8.9370447111999998E-2</v>
      </c>
      <c r="W207" s="231">
        <v>-2.6933605273E-2</v>
      </c>
      <c r="X207" s="232" t="str">
        <f t="shared" si="3"/>
        <v>Link</v>
      </c>
    </row>
    <row r="208" spans="2:24" ht="14.25" customHeight="1" x14ac:dyDescent="0.25">
      <c r="B208" s="82" t="s">
        <v>315</v>
      </c>
      <c r="C208" s="242">
        <v>42479593000160</v>
      </c>
      <c r="D208" s="83" t="s">
        <v>316</v>
      </c>
      <c r="E208" s="83" t="s">
        <v>230</v>
      </c>
      <c r="F208" s="83" t="s">
        <v>231</v>
      </c>
      <c r="G208" s="83" t="s">
        <v>126</v>
      </c>
      <c r="H208" s="243" t="s">
        <v>44</v>
      </c>
      <c r="I208" s="227">
        <v>2726907.4089000002</v>
      </c>
      <c r="J208" s="225">
        <v>8.15</v>
      </c>
      <c r="K208" s="225">
        <v>8.6817947920999998</v>
      </c>
      <c r="L208" s="226">
        <v>0.9387459845763797</v>
      </c>
      <c r="M208" s="227">
        <v>1304810998.3</v>
      </c>
      <c r="N208" s="227">
        <v>1638806127.5999999</v>
      </c>
      <c r="O208" s="228">
        <v>0.79619607004000004</v>
      </c>
      <c r="P208" s="228">
        <v>1.0206706430000001</v>
      </c>
      <c r="Q208" s="229">
        <v>0.16539877301</v>
      </c>
      <c r="R208" s="229">
        <v>0.16196319018404909</v>
      </c>
      <c r="S208" s="229">
        <v>1.3496932515337423E-2</v>
      </c>
      <c r="T208" s="230">
        <v>0.11</v>
      </c>
      <c r="U208" s="231">
        <v>2.4600245997000001E-3</v>
      </c>
      <c r="V208" s="231">
        <v>2.8984216371000002E-2</v>
      </c>
      <c r="W208" s="231">
        <v>0.18608605135</v>
      </c>
      <c r="X208" s="232" t="str">
        <f t="shared" si="3"/>
        <v>Link</v>
      </c>
    </row>
    <row r="209" spans="2:24" ht="14.25" customHeight="1" x14ac:dyDescent="0.25">
      <c r="B209" s="82" t="s">
        <v>317</v>
      </c>
      <c r="C209" s="242">
        <v>40413979000144</v>
      </c>
      <c r="D209" s="83" t="s">
        <v>318</v>
      </c>
      <c r="E209" s="83" t="s">
        <v>319</v>
      </c>
      <c r="F209" s="83" t="s">
        <v>225</v>
      </c>
      <c r="G209" s="83" t="s">
        <v>126</v>
      </c>
      <c r="H209" s="243" t="s">
        <v>44</v>
      </c>
      <c r="I209" s="227">
        <v>1357714.2522</v>
      </c>
      <c r="J209" s="225">
        <v>8.31</v>
      </c>
      <c r="K209" s="225">
        <v>8.8756432695999994</v>
      </c>
      <c r="L209" s="226">
        <v>0.93627016629460691</v>
      </c>
      <c r="M209" s="227">
        <v>565415931.75</v>
      </c>
      <c r="N209" s="227">
        <v>654999799.33000004</v>
      </c>
      <c r="O209" s="228">
        <v>0.86323069462000002</v>
      </c>
      <c r="P209" s="228">
        <v>0.96392797697999999</v>
      </c>
      <c r="Q209" s="229">
        <v>0.17990373044999999</v>
      </c>
      <c r="R209" s="229">
        <v>0.18050541516245486</v>
      </c>
      <c r="S209" s="229">
        <v>1.5042117930204572E-2</v>
      </c>
      <c r="T209" s="230">
        <v>0.125</v>
      </c>
      <c r="U209" s="231">
        <v>-6.0132291127999997E-4</v>
      </c>
      <c r="V209" s="231">
        <v>-2.6865783997999999E-2</v>
      </c>
      <c r="W209" s="231">
        <v>0.11965199395999999</v>
      </c>
      <c r="X209" s="232" t="str">
        <f t="shared" si="3"/>
        <v>Link</v>
      </c>
    </row>
    <row r="210" spans="2:24" ht="14.25" customHeight="1" x14ac:dyDescent="0.25">
      <c r="B210" s="82" t="s">
        <v>650</v>
      </c>
      <c r="C210" s="242">
        <v>36642219000131</v>
      </c>
      <c r="D210" s="83" t="s">
        <v>651</v>
      </c>
      <c r="E210" s="83" t="s">
        <v>44</v>
      </c>
      <c r="F210" s="83" t="s">
        <v>119</v>
      </c>
      <c r="G210" s="83" t="s">
        <v>64</v>
      </c>
      <c r="H210" s="243">
        <v>4.5399999999999998E-3</v>
      </c>
      <c r="I210" s="227">
        <v>1462289.0791</v>
      </c>
      <c r="J210" s="225">
        <v>76.19</v>
      </c>
      <c r="K210" s="225">
        <v>81.533373198000007</v>
      </c>
      <c r="L210" s="226">
        <v>0.93446397483121568</v>
      </c>
      <c r="M210" s="227">
        <v>671072758.14999998</v>
      </c>
      <c r="N210" s="227">
        <v>774807950.83000004</v>
      </c>
      <c r="O210" s="228">
        <v>0.86611496104437824</v>
      </c>
      <c r="P210" s="228">
        <v>0.92949179236000001</v>
      </c>
      <c r="Q210" s="229">
        <v>0.17128232051</v>
      </c>
      <c r="R210" s="229">
        <v>0.16537603360021</v>
      </c>
      <c r="S210" s="229">
        <v>1.3781336133350834E-2</v>
      </c>
      <c r="T210" s="230">
        <v>1.05</v>
      </c>
      <c r="U210" s="231">
        <v>-2.4651075136000001E-2</v>
      </c>
      <c r="V210" s="231">
        <v>2.4612624079999999E-2</v>
      </c>
      <c r="W210" s="231">
        <v>0.11276792551000001</v>
      </c>
      <c r="X210" s="232" t="str">
        <f t="shared" si="3"/>
        <v>Link</v>
      </c>
    </row>
    <row r="211" spans="2:24" ht="14.25" customHeight="1" x14ac:dyDescent="0.25">
      <c r="B211" s="82" t="s">
        <v>652</v>
      </c>
      <c r="C211" s="242">
        <v>28267696000136</v>
      </c>
      <c r="D211" s="83" t="s">
        <v>653</v>
      </c>
      <c r="E211" s="83" t="s">
        <v>44</v>
      </c>
      <c r="F211" s="83" t="s">
        <v>119</v>
      </c>
      <c r="G211" s="83" t="s">
        <v>19</v>
      </c>
      <c r="H211" s="243">
        <v>2.4499999999999999E-3</v>
      </c>
      <c r="I211" s="227">
        <v>744105.01015999995</v>
      </c>
      <c r="J211" s="225">
        <v>85.56</v>
      </c>
      <c r="K211" s="225">
        <v>93.329120136</v>
      </c>
      <c r="L211" s="226">
        <v>0.91675566934865804</v>
      </c>
      <c r="M211" s="227">
        <v>362350193.51999998</v>
      </c>
      <c r="N211" s="227">
        <v>429595944.19</v>
      </c>
      <c r="O211" s="228">
        <v>0.84346744521345196</v>
      </c>
      <c r="P211" s="228">
        <v>0.87697907519999996</v>
      </c>
      <c r="Q211" s="229">
        <v>0.16421224871000001</v>
      </c>
      <c r="R211" s="229">
        <v>0.14726507713884993</v>
      </c>
      <c r="S211" s="229">
        <v>1.2272089761570827E-2</v>
      </c>
      <c r="T211" s="230">
        <v>1.05</v>
      </c>
      <c r="U211" s="231">
        <v>-5.8967736514000002E-2</v>
      </c>
      <c r="V211" s="231">
        <v>8.1285593360000005E-2</v>
      </c>
      <c r="W211" s="231">
        <v>0.12385708297</v>
      </c>
      <c r="X211" s="232" t="str">
        <f t="shared" si="3"/>
        <v>Link</v>
      </c>
    </row>
    <row r="212" spans="2:24" ht="14.25" customHeight="1" x14ac:dyDescent="0.25">
      <c r="B212" s="82" t="s">
        <v>791</v>
      </c>
      <c r="C212" s="242">
        <v>56212023000114</v>
      </c>
      <c r="D212" s="83" t="s">
        <v>792</v>
      </c>
      <c r="E212" s="83" t="s">
        <v>319</v>
      </c>
      <c r="F212" s="83" t="s">
        <v>119</v>
      </c>
      <c r="G212" s="83" t="s">
        <v>179</v>
      </c>
      <c r="H212" s="243">
        <v>0</v>
      </c>
      <c r="I212" s="227">
        <v>937006.02599999995</v>
      </c>
      <c r="J212" s="225">
        <v>1008.45</v>
      </c>
      <c r="K212" s="225">
        <v>1008.45</v>
      </c>
      <c r="L212" s="226">
        <v>1</v>
      </c>
      <c r="M212" s="227">
        <v>163331587.34999999</v>
      </c>
      <c r="N212" s="227">
        <v>161669867.61000001</v>
      </c>
      <c r="O212" s="228">
        <v>1.0102784752939156</v>
      </c>
      <c r="P212" s="228">
        <v>1.0223241547999999</v>
      </c>
      <c r="Q212" s="229">
        <v>0.14714451351999999</v>
      </c>
      <c r="R212" s="229">
        <v>0.15579323147404434</v>
      </c>
      <c r="S212" s="229">
        <v>1.2982769289503693E-2</v>
      </c>
      <c r="T212" s="230">
        <v>13.09247369</v>
      </c>
      <c r="U212" s="231">
        <v>8.3998663231000005E-3</v>
      </c>
      <c r="V212" s="231">
        <v>9.7969125801999998E-2</v>
      </c>
      <c r="W212" s="231">
        <v>0.15866820106000001</v>
      </c>
      <c r="X212" s="232" t="str">
        <f t="shared" si="3"/>
        <v>Link</v>
      </c>
    </row>
    <row r="213" spans="2:24" ht="14.25" customHeight="1" x14ac:dyDescent="0.25">
      <c r="B213" s="82" t="s">
        <v>654</v>
      </c>
      <c r="C213" s="242">
        <v>36501128000186</v>
      </c>
      <c r="D213" s="83" t="s">
        <v>655</v>
      </c>
      <c r="E213" s="83" t="s">
        <v>44</v>
      </c>
      <c r="F213" s="83" t="s">
        <v>225</v>
      </c>
      <c r="G213" s="83" t="s">
        <v>113</v>
      </c>
      <c r="H213" s="243">
        <v>1.0749999999999999E-2</v>
      </c>
      <c r="I213" s="227">
        <v>3070939.7554000001</v>
      </c>
      <c r="J213" s="225">
        <v>84.33</v>
      </c>
      <c r="K213" s="225">
        <v>92.169659476999996</v>
      </c>
      <c r="L213" s="226">
        <v>0.91494316544636578</v>
      </c>
      <c r="M213" s="227">
        <v>1589765547.5999999</v>
      </c>
      <c r="N213" s="227">
        <v>1840199861.9000001</v>
      </c>
      <c r="O213" s="228">
        <v>0.86390917666876266</v>
      </c>
      <c r="P213" s="228">
        <v>1.0250204753000001</v>
      </c>
      <c r="Q213" s="229">
        <v>0.13992647930999999</v>
      </c>
      <c r="R213" s="229">
        <v>0.12806830309498399</v>
      </c>
      <c r="S213" s="229">
        <v>1.0672358591248666E-2</v>
      </c>
      <c r="T213" s="230">
        <v>0.9</v>
      </c>
      <c r="U213" s="231">
        <v>-3.2246958917000003E-2</v>
      </c>
      <c r="V213" s="231">
        <v>-6.4145242460999993E-2</v>
      </c>
      <c r="W213" s="231">
        <v>7.2059783170999994E-2</v>
      </c>
      <c r="X213" s="232" t="str">
        <f t="shared" si="3"/>
        <v>Link</v>
      </c>
    </row>
    <row r="214" spans="2:24" ht="14.25" customHeight="1" x14ac:dyDescent="0.25">
      <c r="B214" s="82" t="s">
        <v>656</v>
      </c>
      <c r="C214" s="242">
        <v>35652278000128</v>
      </c>
      <c r="D214" s="83" t="s">
        <v>657</v>
      </c>
      <c r="E214" s="83" t="s">
        <v>119</v>
      </c>
      <c r="F214" s="83" t="s">
        <v>119</v>
      </c>
      <c r="G214" s="83" t="s">
        <v>65</v>
      </c>
      <c r="H214" s="243">
        <v>0</v>
      </c>
      <c r="I214" s="227">
        <v>92942.423230999993</v>
      </c>
      <c r="J214" s="225">
        <v>126.26</v>
      </c>
      <c r="K214" s="225">
        <v>133.55260109</v>
      </c>
      <c r="L214" s="226">
        <v>0.94539528971745324</v>
      </c>
      <c r="M214" s="227">
        <v>706605504.32000005</v>
      </c>
      <c r="N214" s="227">
        <v>1027768689.2</v>
      </c>
      <c r="O214" s="228">
        <v>0.68751413790393956</v>
      </c>
      <c r="P214" s="228">
        <v>0.77632707113999999</v>
      </c>
      <c r="Q214" s="229">
        <v>0.11604625376</v>
      </c>
      <c r="R214" s="229">
        <v>0.11747188341517503</v>
      </c>
      <c r="S214" s="229">
        <v>9.7893236179312521E-3</v>
      </c>
      <c r="T214" s="230">
        <v>1.236</v>
      </c>
      <c r="U214" s="231">
        <v>-1.168990034E-2</v>
      </c>
      <c r="V214" s="231">
        <v>-5.7797435184000004E-3</v>
      </c>
      <c r="W214" s="231">
        <v>6.0047201514E-3</v>
      </c>
      <c r="X214" s="232" t="str">
        <f t="shared" si="3"/>
        <v>Link</v>
      </c>
    </row>
    <row r="215" spans="2:24" ht="14.25" customHeight="1" x14ac:dyDescent="0.25">
      <c r="B215" s="82" t="s">
        <v>658</v>
      </c>
      <c r="C215" s="242">
        <v>51646298000142</v>
      </c>
      <c r="D215" s="83" t="s">
        <v>659</v>
      </c>
      <c r="E215" s="83" t="s">
        <v>807</v>
      </c>
      <c r="F215" s="83" t="s">
        <v>510</v>
      </c>
      <c r="G215" s="83" t="s">
        <v>64</v>
      </c>
      <c r="H215" s="243">
        <v>0</v>
      </c>
      <c r="I215" s="227">
        <v>175277.35368999999</v>
      </c>
      <c r="J215" s="225">
        <v>8.7100000000000009</v>
      </c>
      <c r="K215" s="225">
        <v>9.07</v>
      </c>
      <c r="L215" s="226">
        <v>0.96030871003307616</v>
      </c>
      <c r="M215" s="227">
        <v>257496525.91</v>
      </c>
      <c r="N215" s="227">
        <v>298661479.33999997</v>
      </c>
      <c r="O215" s="228">
        <v>0.86216852095901764</v>
      </c>
      <c r="P215" s="228">
        <v>0.90065729888000001</v>
      </c>
      <c r="Q215" s="229">
        <v>0.16507462686999999</v>
      </c>
      <c r="R215" s="229">
        <v>0.15154994259471871</v>
      </c>
      <c r="S215" s="229">
        <v>1.2629161882893225E-2</v>
      </c>
      <c r="T215" s="230">
        <v>0.11</v>
      </c>
      <c r="U215" s="231">
        <v>-3.6504424777E-2</v>
      </c>
      <c r="V215" s="231">
        <v>5.4024011190999997E-2</v>
      </c>
      <c r="W215" s="231">
        <v>0.19710173315000001</v>
      </c>
      <c r="X215" s="232" t="str">
        <f t="shared" si="3"/>
        <v>Link</v>
      </c>
    </row>
    <row r="216" spans="2:24" ht="14.25" customHeight="1" x14ac:dyDescent="0.25">
      <c r="B216" s="82" t="s">
        <v>660</v>
      </c>
      <c r="C216" s="242">
        <v>9517273000182</v>
      </c>
      <c r="D216" s="83" t="s">
        <v>661</v>
      </c>
      <c r="E216" s="83" t="s">
        <v>662</v>
      </c>
      <c r="F216" s="83" t="s">
        <v>276</v>
      </c>
      <c r="G216" s="83" t="s">
        <v>19</v>
      </c>
      <c r="H216" s="243">
        <v>0</v>
      </c>
      <c r="I216" s="227">
        <v>64874.493076999999</v>
      </c>
      <c r="J216" s="225">
        <v>52.5</v>
      </c>
      <c r="K216" s="225">
        <v>54.2117</v>
      </c>
      <c r="L216" s="226">
        <v>0.96842563505663903</v>
      </c>
      <c r="M216" s="227">
        <v>87449006.005999997</v>
      </c>
      <c r="N216" s="227">
        <v>162080722.69999999</v>
      </c>
      <c r="O216" s="228">
        <v>0.53953983267869521</v>
      </c>
      <c r="P216" s="228">
        <v>0.53818082559000002</v>
      </c>
      <c r="Q216" s="229">
        <v>0.13344</v>
      </c>
      <c r="R216" s="229">
        <v>0.13446857142857144</v>
      </c>
      <c r="S216" s="229">
        <v>1.1205714285714286E-2</v>
      </c>
      <c r="T216" s="230">
        <v>0.58830000000000005</v>
      </c>
      <c r="U216" s="231">
        <v>-2.0853785957999998E-2</v>
      </c>
      <c r="V216" s="231">
        <v>9.6126552098000001E-2</v>
      </c>
      <c r="W216" s="231">
        <v>0.24121696535000001</v>
      </c>
      <c r="X216" s="232" t="str">
        <f t="shared" si="3"/>
        <v>Link</v>
      </c>
    </row>
    <row r="217" spans="2:24" ht="14.25" customHeight="1" x14ac:dyDescent="0.25">
      <c r="B217" s="82" t="s">
        <v>663</v>
      </c>
      <c r="C217" s="242">
        <v>3507519000159</v>
      </c>
      <c r="D217" s="83" t="s">
        <v>664</v>
      </c>
      <c r="E217" s="83" t="s">
        <v>257</v>
      </c>
      <c r="F217" s="83" t="s">
        <v>257</v>
      </c>
      <c r="G217" s="83" t="s">
        <v>61</v>
      </c>
      <c r="H217" s="243">
        <v>0</v>
      </c>
      <c r="I217" s="227">
        <v>93342.067999999999</v>
      </c>
      <c r="J217" s="225">
        <v>970</v>
      </c>
      <c r="K217" s="225">
        <v>989.98</v>
      </c>
      <c r="L217" s="226">
        <v>0.97981777409644633</v>
      </c>
      <c r="M217" s="227">
        <v>590681500</v>
      </c>
      <c r="N217" s="227">
        <v>628839781.49000001</v>
      </c>
      <c r="O217" s="228">
        <v>0.93931954909152515</v>
      </c>
      <c r="P217" s="228">
        <v>0.90932110007</v>
      </c>
      <c r="Q217" s="229">
        <v>6.7010309278000002E-2</v>
      </c>
      <c r="R217" s="229">
        <v>5.5670103092783502E-2</v>
      </c>
      <c r="S217" s="229">
        <v>4.6391752577319588E-3</v>
      </c>
      <c r="T217" s="230">
        <v>4.5</v>
      </c>
      <c r="U217" s="231">
        <v>2.5792874441000001E-2</v>
      </c>
      <c r="V217" s="231">
        <v>8.0601009224E-2</v>
      </c>
      <c r="W217" s="231">
        <v>6.179217771E-2</v>
      </c>
      <c r="X217" s="232" t="str">
        <f t="shared" si="3"/>
        <v>Link</v>
      </c>
    </row>
    <row r="218" spans="2:24" ht="14.25" customHeight="1" x14ac:dyDescent="0.25">
      <c r="B218" s="82" t="s">
        <v>781</v>
      </c>
      <c r="C218" s="242">
        <v>59090726000105</v>
      </c>
      <c r="D218" s="83" t="s">
        <v>44</v>
      </c>
      <c r="E218" s="83" t="s">
        <v>228</v>
      </c>
      <c r="F218" s="83" t="s">
        <v>119</v>
      </c>
      <c r="G218" s="83" t="s">
        <v>61</v>
      </c>
      <c r="H218" s="243">
        <v>0</v>
      </c>
      <c r="I218" s="227">
        <v>4412736.1404999997</v>
      </c>
      <c r="J218" s="225">
        <v>9.8000000000000007</v>
      </c>
      <c r="K218" s="225">
        <v>12.435807656</v>
      </c>
      <c r="L218" s="226">
        <v>0.78804692635075613</v>
      </c>
      <c r="M218" s="227">
        <v>500460667</v>
      </c>
      <c r="N218" s="227">
        <v>496307537.54000002</v>
      </c>
      <c r="O218" s="228">
        <v>1.0083680563881527</v>
      </c>
      <c r="P218" s="228">
        <v>1.0346142384999999</v>
      </c>
      <c r="Q218" s="229">
        <v>6.5204081632999997E-2</v>
      </c>
      <c r="R218" s="229">
        <v>6.7346938775510207E-2</v>
      </c>
      <c r="S218" s="229">
        <v>5.6122448979591833E-3</v>
      </c>
      <c r="T218" s="230">
        <v>5.5E-2</v>
      </c>
      <c r="U218" s="231">
        <v>-1.4941342091000001E-2</v>
      </c>
      <c r="V218" s="231">
        <v>-2.7771761089000001E-2</v>
      </c>
      <c r="W218" s="231">
        <v>-7.2858598404999999E-3</v>
      </c>
      <c r="X218" s="232" t="str">
        <f t="shared" si="3"/>
        <v>Link</v>
      </c>
    </row>
    <row r="219" spans="2:24" ht="14.25" customHeight="1" x14ac:dyDescent="0.25">
      <c r="B219" s="82" t="s">
        <v>768</v>
      </c>
      <c r="C219" s="242">
        <v>53730029000195</v>
      </c>
      <c r="D219" s="83" t="s">
        <v>769</v>
      </c>
      <c r="E219" s="83" t="s">
        <v>770</v>
      </c>
      <c r="F219" s="83" t="s">
        <v>573</v>
      </c>
      <c r="G219" s="83" t="s">
        <v>66</v>
      </c>
      <c r="H219" s="243">
        <v>0</v>
      </c>
      <c r="I219" s="227">
        <v>179143.66308</v>
      </c>
      <c r="J219" s="225">
        <v>55.2</v>
      </c>
      <c r="K219" s="225">
        <v>68.276661417</v>
      </c>
      <c r="L219" s="226">
        <v>0.80847538316007816</v>
      </c>
      <c r="M219" s="227">
        <v>55081706.457999997</v>
      </c>
      <c r="N219" s="227">
        <v>102371038.42</v>
      </c>
      <c r="O219" s="228">
        <v>0.53805946787425385</v>
      </c>
      <c r="P219" s="228">
        <v>0.64207163014000002</v>
      </c>
      <c r="Q219" s="229">
        <v>0.22173559004999999</v>
      </c>
      <c r="R219" s="229">
        <v>0.21760916252173909</v>
      </c>
      <c r="S219" s="229">
        <v>1.8134096876811591E-2</v>
      </c>
      <c r="T219" s="230">
        <v>1.0010021475999999</v>
      </c>
      <c r="U219" s="231">
        <v>-7.8294812411999995E-2</v>
      </c>
      <c r="V219" s="231">
        <v>-6.2021304520000001E-2</v>
      </c>
      <c r="W219" s="231">
        <v>-0.17074201326999999</v>
      </c>
      <c r="X219" s="232" t="str">
        <f t="shared" si="3"/>
        <v>Link</v>
      </c>
    </row>
    <row r="220" spans="2:24" ht="14.25" customHeight="1" x14ac:dyDescent="0.25">
      <c r="B220" s="82" t="s">
        <v>320</v>
      </c>
      <c r="C220" s="242">
        <v>28152777000190</v>
      </c>
      <c r="D220" s="83" t="s">
        <v>321</v>
      </c>
      <c r="E220" s="83" t="s">
        <v>234</v>
      </c>
      <c r="F220" s="83" t="s">
        <v>229</v>
      </c>
      <c r="G220" s="83" t="s">
        <v>126</v>
      </c>
      <c r="H220" s="243" t="s">
        <v>44</v>
      </c>
      <c r="I220" s="227">
        <v>1954324.7592</v>
      </c>
      <c r="J220" s="225">
        <v>9.69</v>
      </c>
      <c r="K220" s="225">
        <v>10.307168003999999</v>
      </c>
      <c r="L220" s="226">
        <v>0.9401224464605128</v>
      </c>
      <c r="M220" s="227">
        <v>588574020.57000005</v>
      </c>
      <c r="N220" s="227">
        <v>626552265.14999998</v>
      </c>
      <c r="O220" s="228">
        <v>0.93938535268000001</v>
      </c>
      <c r="P220" s="228">
        <v>1.006338497</v>
      </c>
      <c r="Q220" s="229">
        <v>0.16305469555999999</v>
      </c>
      <c r="R220" s="229">
        <v>0.14860681114551083</v>
      </c>
      <c r="S220" s="229">
        <v>1.238390092879257E-2</v>
      </c>
      <c r="T220" s="230">
        <v>0.12</v>
      </c>
      <c r="U220" s="231">
        <v>-6.2154953166000003E-3</v>
      </c>
      <c r="V220" s="231">
        <v>-2.7556445068999999E-2</v>
      </c>
      <c r="W220" s="231">
        <v>0.19626793256</v>
      </c>
      <c r="X220" s="232" t="str">
        <f t="shared" si="3"/>
        <v>Link</v>
      </c>
    </row>
    <row r="221" spans="2:24" ht="14.25" customHeight="1" x14ac:dyDescent="0.25">
      <c r="B221" s="82" t="s">
        <v>665</v>
      </c>
      <c r="C221" s="242">
        <v>41076710000182</v>
      </c>
      <c r="D221" s="83" t="s">
        <v>666</v>
      </c>
      <c r="E221" s="83" t="s">
        <v>234</v>
      </c>
      <c r="F221" s="83" t="s">
        <v>119</v>
      </c>
      <c r="G221" s="83" t="s">
        <v>64</v>
      </c>
      <c r="H221" s="243">
        <v>2.2799999999999999E-3</v>
      </c>
      <c r="I221" s="227">
        <v>486482.92599999998</v>
      </c>
      <c r="J221" s="225">
        <v>80.23</v>
      </c>
      <c r="K221" s="225">
        <v>87.270773840000004</v>
      </c>
      <c r="L221" s="226">
        <v>0.91932266060905599</v>
      </c>
      <c r="M221" s="227">
        <v>336966000</v>
      </c>
      <c r="N221" s="227">
        <v>395913219.12</v>
      </c>
      <c r="O221" s="228">
        <v>0.85111075793068358</v>
      </c>
      <c r="P221" s="228">
        <v>0.85947696636000004</v>
      </c>
      <c r="Q221" s="229">
        <v>0.14956998629000001</v>
      </c>
      <c r="R221" s="229">
        <v>0.14956998628941792</v>
      </c>
      <c r="S221" s="229">
        <v>1.246416552411816E-2</v>
      </c>
      <c r="T221" s="230">
        <v>1</v>
      </c>
      <c r="U221" s="231">
        <v>-4.839465112E-2</v>
      </c>
      <c r="V221" s="231">
        <v>3.4105177617999999E-2</v>
      </c>
      <c r="W221" s="231">
        <v>0.11765469687000001</v>
      </c>
      <c r="X221" s="232" t="str">
        <f t="shared" si="3"/>
        <v>Link</v>
      </c>
    </row>
    <row r="222" spans="2:24" ht="14.25" customHeight="1" x14ac:dyDescent="0.25">
      <c r="B222" s="82" t="s">
        <v>667</v>
      </c>
      <c r="C222" s="242">
        <v>43741171000184</v>
      </c>
      <c r="D222" s="83" t="s">
        <v>668</v>
      </c>
      <c r="E222" s="83" t="s">
        <v>234</v>
      </c>
      <c r="F222" s="83" t="s">
        <v>431</v>
      </c>
      <c r="G222" s="83" t="s">
        <v>21</v>
      </c>
      <c r="H222" s="243">
        <v>6.0899999999999999E-3</v>
      </c>
      <c r="I222" s="227">
        <v>4992600.8409000002</v>
      </c>
      <c r="J222" s="225">
        <v>8.14</v>
      </c>
      <c r="K222" s="225">
        <v>8.2996415770999992</v>
      </c>
      <c r="L222" s="226">
        <v>0.9807652444244731</v>
      </c>
      <c r="M222" s="227">
        <v>900772969.79999995</v>
      </c>
      <c r="N222" s="227"/>
      <c r="O222" s="228" t="s">
        <v>44</v>
      </c>
      <c r="P222" s="228">
        <v>1.0405994089999999</v>
      </c>
      <c r="Q222" s="229">
        <v>0.14742014742000001</v>
      </c>
      <c r="R222" s="229">
        <v>0.14742014742014742</v>
      </c>
      <c r="S222" s="229">
        <v>1.2285012285012284E-2</v>
      </c>
      <c r="T222" s="230">
        <v>0.1</v>
      </c>
      <c r="U222" s="231">
        <v>-1.2178890502E-2</v>
      </c>
      <c r="V222" s="231">
        <v>4.6125273363999998E-2</v>
      </c>
      <c r="W222" s="231">
        <v>0.11866919688999999</v>
      </c>
      <c r="X222" s="232" t="str">
        <f t="shared" si="3"/>
        <v>Link</v>
      </c>
    </row>
    <row r="223" spans="2:24" ht="14.25" customHeight="1" x14ac:dyDescent="0.25">
      <c r="B223" s="82" t="s">
        <v>669</v>
      </c>
      <c r="C223" s="242">
        <v>40011225000168</v>
      </c>
      <c r="D223" s="83" t="s">
        <v>670</v>
      </c>
      <c r="E223" s="83" t="s">
        <v>234</v>
      </c>
      <c r="F223" s="83" t="s">
        <v>119</v>
      </c>
      <c r="G223" s="83" t="s">
        <v>43</v>
      </c>
      <c r="H223" s="243">
        <v>1.9300000000000001E-3</v>
      </c>
      <c r="I223" s="227">
        <v>362326.85985000001</v>
      </c>
      <c r="J223" s="225">
        <v>71</v>
      </c>
      <c r="K223" s="225">
        <v>75.802239728999993</v>
      </c>
      <c r="L223" s="226">
        <v>0.93664778578880459</v>
      </c>
      <c r="M223" s="227">
        <v>285465085</v>
      </c>
      <c r="N223" s="227">
        <v>337792105.14999998</v>
      </c>
      <c r="O223" s="228">
        <v>0.84509105052421629</v>
      </c>
      <c r="P223" s="228">
        <v>0.87636247143000001</v>
      </c>
      <c r="Q223" s="229">
        <v>0.14422535211000001</v>
      </c>
      <c r="R223" s="229">
        <v>0.12169014084507042</v>
      </c>
      <c r="S223" s="229">
        <v>1.0140845070422535E-2</v>
      </c>
      <c r="T223" s="230">
        <v>0.72</v>
      </c>
      <c r="U223" s="231">
        <v>-1.8058533357999999E-2</v>
      </c>
      <c r="V223" s="231">
        <v>1.3656127509999999E-2</v>
      </c>
      <c r="W223" s="231">
        <v>0.20050248703000001</v>
      </c>
      <c r="X223" s="232" t="str">
        <f t="shared" si="3"/>
        <v>Link</v>
      </c>
    </row>
    <row r="224" spans="2:24" ht="14.25" customHeight="1" x14ac:dyDescent="0.25">
      <c r="B224" s="82" t="s">
        <v>322</v>
      </c>
      <c r="C224" s="242">
        <v>53313475000102</v>
      </c>
      <c r="D224" s="83" t="s">
        <v>323</v>
      </c>
      <c r="E224" s="83" t="s">
        <v>234</v>
      </c>
      <c r="F224" s="83" t="s">
        <v>229</v>
      </c>
      <c r="G224" s="83" t="s">
        <v>126</v>
      </c>
      <c r="H224" s="243" t="s">
        <v>44</v>
      </c>
      <c r="I224" s="227">
        <v>218214.22708000001</v>
      </c>
      <c r="J224" s="225">
        <v>9.1199999999999992</v>
      </c>
      <c r="K224" s="225">
        <v>9.5432075086000001</v>
      </c>
      <c r="L224" s="226">
        <v>0.95565353596066926</v>
      </c>
      <c r="M224" s="227">
        <v>110259951.84</v>
      </c>
      <c r="N224" s="227">
        <v>62625277.479999997</v>
      </c>
      <c r="O224" s="228">
        <v>0.90324982684999999</v>
      </c>
      <c r="P224" s="228" t="s">
        <v>44</v>
      </c>
      <c r="Q224" s="229">
        <v>0.13157894737</v>
      </c>
      <c r="R224" s="229">
        <v>0.13157894736842107</v>
      </c>
      <c r="S224" s="229">
        <v>1.0964912280701756E-2</v>
      </c>
      <c r="T224" s="230">
        <v>0.1</v>
      </c>
      <c r="U224" s="231">
        <v>-8.8666551673999994E-3</v>
      </c>
      <c r="V224" s="231">
        <v>-1.8741558371E-2</v>
      </c>
      <c r="W224" s="231">
        <v>5.9048196514E-2</v>
      </c>
      <c r="X224" s="232" t="str">
        <f t="shared" si="3"/>
        <v>Link</v>
      </c>
    </row>
    <row r="225" spans="2:24" ht="14.25" customHeight="1" x14ac:dyDescent="0.25">
      <c r="B225" s="82" t="s">
        <v>173</v>
      </c>
      <c r="C225" s="242">
        <v>48969881000180</v>
      </c>
      <c r="D225" s="83" t="s">
        <v>174</v>
      </c>
      <c r="E225" s="83" t="s">
        <v>234</v>
      </c>
      <c r="F225" s="83" t="s">
        <v>119</v>
      </c>
      <c r="G225" s="83" t="s">
        <v>118</v>
      </c>
      <c r="H225" s="243" t="s">
        <v>44</v>
      </c>
      <c r="I225" s="227">
        <v>101962.32169</v>
      </c>
      <c r="J225" s="225">
        <v>9.9499999999999993</v>
      </c>
      <c r="K225" s="225">
        <v>10.952371813999999</v>
      </c>
      <c r="L225" s="226">
        <v>0.9084790188807591</v>
      </c>
      <c r="M225" s="227">
        <v>71678207.91866298</v>
      </c>
      <c r="N225" s="227">
        <v>69710357.280000001</v>
      </c>
      <c r="O225" s="228">
        <v>1.0282289564341045</v>
      </c>
      <c r="P225" s="228" t="s">
        <v>44</v>
      </c>
      <c r="Q225" s="229">
        <v>0.14874371858999999</v>
      </c>
      <c r="R225" s="229">
        <v>0.13266331658291458</v>
      </c>
      <c r="S225" s="229">
        <v>1.1055276381909548E-2</v>
      </c>
      <c r="T225" s="230">
        <v>0.11</v>
      </c>
      <c r="U225" s="231">
        <v>-4.0766225853999999E-2</v>
      </c>
      <c r="V225" s="231">
        <v>-2.4271510284999999E-2</v>
      </c>
      <c r="W225" s="231">
        <v>0.13224410640000001</v>
      </c>
      <c r="X225" s="232" t="str">
        <f t="shared" si="3"/>
        <v/>
      </c>
    </row>
    <row r="226" spans="2:24" ht="14.25" customHeight="1" x14ac:dyDescent="0.25">
      <c r="B226" s="82" t="s">
        <v>671</v>
      </c>
      <c r="C226" s="242">
        <v>52227760000130</v>
      </c>
      <c r="D226" s="83" t="s">
        <v>672</v>
      </c>
      <c r="E226" s="83" t="s">
        <v>234</v>
      </c>
      <c r="F226" s="83" t="s">
        <v>119</v>
      </c>
      <c r="G226" s="83" t="s">
        <v>64</v>
      </c>
      <c r="H226" s="243">
        <v>0</v>
      </c>
      <c r="I226" s="227">
        <v>292560.26585000003</v>
      </c>
      <c r="J226" s="225">
        <v>9.39</v>
      </c>
      <c r="K226" s="225">
        <v>9.4</v>
      </c>
      <c r="L226" s="226">
        <v>0.99893617021276593</v>
      </c>
      <c r="M226" s="227">
        <v>69657301.769999996</v>
      </c>
      <c r="N226" s="227">
        <v>72108487.120000005</v>
      </c>
      <c r="O226" s="228">
        <v>0.96600697854164042</v>
      </c>
      <c r="P226" s="228">
        <v>1.0047641511000001</v>
      </c>
      <c r="Q226" s="229">
        <v>0.16826411076</v>
      </c>
      <c r="R226" s="229">
        <v>0.12779552715654952</v>
      </c>
      <c r="S226" s="229">
        <v>1.0649627263045794E-2</v>
      </c>
      <c r="T226" s="230">
        <v>0.1</v>
      </c>
      <c r="U226" s="231">
        <v>1.1784150521E-2</v>
      </c>
      <c r="V226" s="231">
        <v>8.2488560722000004E-2</v>
      </c>
      <c r="W226" s="231">
        <v>0.16058207114</v>
      </c>
      <c r="X226" s="232" t="str">
        <f t="shared" si="3"/>
        <v>Link</v>
      </c>
    </row>
    <row r="227" spans="2:24" ht="14.25" customHeight="1" x14ac:dyDescent="0.25">
      <c r="B227" s="82" t="s">
        <v>673</v>
      </c>
      <c r="C227" s="242">
        <v>15538445000105</v>
      </c>
      <c r="D227" s="83" t="s">
        <v>674</v>
      </c>
      <c r="E227" s="83" t="s">
        <v>377</v>
      </c>
      <c r="F227" s="83" t="s">
        <v>225</v>
      </c>
      <c r="G227" s="83" t="s">
        <v>63</v>
      </c>
      <c r="H227" s="243">
        <v>0</v>
      </c>
      <c r="I227" s="227">
        <v>80054.525691999996</v>
      </c>
      <c r="J227" s="225">
        <v>29.06</v>
      </c>
      <c r="K227" s="225">
        <v>38.494399373</v>
      </c>
      <c r="L227" s="226">
        <v>0.75491501291958596</v>
      </c>
      <c r="M227" s="227">
        <v>52249880</v>
      </c>
      <c r="N227" s="227">
        <v>96682195.909999996</v>
      </c>
      <c r="O227" s="228">
        <v>0.54042918148692676</v>
      </c>
      <c r="P227" s="228">
        <v>0.67240903823999998</v>
      </c>
      <c r="Q227" s="229">
        <v>0.20165175498999999</v>
      </c>
      <c r="R227" s="229">
        <v>0.18582243633860979</v>
      </c>
      <c r="S227" s="229">
        <v>1.5485203028217482E-2</v>
      </c>
      <c r="T227" s="230">
        <v>0.45</v>
      </c>
      <c r="U227" s="231">
        <v>-0.22609853529000001</v>
      </c>
      <c r="V227" s="231">
        <v>-0.12652455702000001</v>
      </c>
      <c r="W227" s="231">
        <v>5.1688172025000003E-3</v>
      </c>
      <c r="X227" s="232" t="str">
        <f t="shared" si="3"/>
        <v>Link</v>
      </c>
    </row>
    <row r="228" spans="2:24" ht="14.25" customHeight="1" x14ac:dyDescent="0.25">
      <c r="B228" s="82" t="s">
        <v>675</v>
      </c>
      <c r="C228" s="242">
        <v>43010543000100</v>
      </c>
      <c r="D228" s="83" t="s">
        <v>676</v>
      </c>
      <c r="E228" s="83" t="s">
        <v>677</v>
      </c>
      <c r="F228" s="83" t="s">
        <v>119</v>
      </c>
      <c r="G228" s="83" t="s">
        <v>64</v>
      </c>
      <c r="H228" s="243">
        <v>1.0200000000000001E-3</v>
      </c>
      <c r="I228" s="227">
        <v>436341.20014999999</v>
      </c>
      <c r="J228" s="225">
        <v>7.44</v>
      </c>
      <c r="K228" s="225">
        <v>8.4083765981000003</v>
      </c>
      <c r="L228" s="226">
        <v>0.88483191888445867</v>
      </c>
      <c r="M228" s="227">
        <v>150206457.59999999</v>
      </c>
      <c r="N228" s="227">
        <v>189756870.25</v>
      </c>
      <c r="O228" s="228">
        <v>0.79157322421110066</v>
      </c>
      <c r="P228" s="228">
        <v>0.97114561290000001</v>
      </c>
      <c r="Q228" s="229">
        <v>0.16223118280000001</v>
      </c>
      <c r="R228" s="229">
        <v>0.1596774193548387</v>
      </c>
      <c r="S228" s="229">
        <v>1.3306451612903225E-2</v>
      </c>
      <c r="T228" s="230">
        <v>9.9000000000000005E-2</v>
      </c>
      <c r="U228" s="231">
        <v>-2.9900379854E-2</v>
      </c>
      <c r="V228" s="231">
        <v>-0.11516808111</v>
      </c>
      <c r="W228" s="231">
        <v>2.9689017259E-2</v>
      </c>
      <c r="X228" s="232" t="str">
        <f t="shared" si="3"/>
        <v>Link</v>
      </c>
    </row>
    <row r="229" spans="2:24" ht="14.25" customHeight="1" x14ac:dyDescent="0.25">
      <c r="B229" s="82" t="s">
        <v>678</v>
      </c>
      <c r="C229" s="242">
        <v>26681370000125</v>
      </c>
      <c r="D229" s="83" t="s">
        <v>679</v>
      </c>
      <c r="E229" s="83" t="s">
        <v>680</v>
      </c>
      <c r="F229" s="83" t="s">
        <v>119</v>
      </c>
      <c r="G229" s="83" t="s">
        <v>63</v>
      </c>
      <c r="H229" s="243">
        <v>2.1700000000000001E-3</v>
      </c>
      <c r="I229" s="227">
        <v>1328059.7006000001</v>
      </c>
      <c r="J229" s="225">
        <v>7.61</v>
      </c>
      <c r="K229" s="225">
        <v>8.5599937761000007</v>
      </c>
      <c r="L229" s="226">
        <v>0.88901933798685251</v>
      </c>
      <c r="M229" s="227">
        <v>377584784.02999997</v>
      </c>
      <c r="N229" s="227">
        <v>468116382.76999998</v>
      </c>
      <c r="O229" s="228">
        <v>0.80660450675899331</v>
      </c>
      <c r="P229" s="228">
        <v>0.90072833126999996</v>
      </c>
      <c r="Q229" s="229">
        <v>0.1544021025</v>
      </c>
      <c r="R229" s="229">
        <v>0.19710906701708281</v>
      </c>
      <c r="S229" s="229">
        <v>1.6425755584756899E-2</v>
      </c>
      <c r="T229" s="230">
        <v>0.125</v>
      </c>
      <c r="U229" s="231">
        <v>-2.9955385596E-2</v>
      </c>
      <c r="V229" s="231">
        <v>-2.8740412412E-2</v>
      </c>
      <c r="W229" s="231">
        <v>0.1070095425</v>
      </c>
      <c r="X229" s="232" t="str">
        <f t="shared" si="3"/>
        <v>Link</v>
      </c>
    </row>
    <row r="230" spans="2:24" ht="14.25" customHeight="1" x14ac:dyDescent="0.25">
      <c r="B230" s="82" t="s">
        <v>681</v>
      </c>
      <c r="C230" s="242">
        <v>25032881000153</v>
      </c>
      <c r="D230" s="83" t="s">
        <v>682</v>
      </c>
      <c r="E230" s="83" t="s">
        <v>683</v>
      </c>
      <c r="F230" s="83" t="s">
        <v>276</v>
      </c>
      <c r="G230" s="83" t="s">
        <v>66</v>
      </c>
      <c r="H230" s="243">
        <v>7.0000000000000001E-3</v>
      </c>
      <c r="I230" s="227">
        <v>5255551.8591</v>
      </c>
      <c r="J230" s="225">
        <v>43.9</v>
      </c>
      <c r="K230" s="225">
        <v>86.631050381999998</v>
      </c>
      <c r="L230" s="226">
        <v>0.50674671271354499</v>
      </c>
      <c r="M230" s="227">
        <v>1034633811.1</v>
      </c>
      <c r="N230" s="227">
        <v>2527306182.0999999</v>
      </c>
      <c r="O230" s="228">
        <v>0.40938206000837529</v>
      </c>
      <c r="P230" s="228">
        <v>0.81083902076000003</v>
      </c>
      <c r="Q230" s="229">
        <v>0.22847380410000001</v>
      </c>
      <c r="R230" s="229">
        <v>0.19681093394077451</v>
      </c>
      <c r="S230" s="229">
        <v>1.6400911161731209E-2</v>
      </c>
      <c r="T230" s="230">
        <v>0.72</v>
      </c>
      <c r="U230" s="231">
        <v>-0.12164865946</v>
      </c>
      <c r="V230" s="231">
        <v>-0.48361408351000001</v>
      </c>
      <c r="W230" s="231">
        <v>-0.40364219198000001</v>
      </c>
      <c r="X230" s="232" t="str">
        <f t="shared" si="3"/>
        <v>Link</v>
      </c>
    </row>
    <row r="231" spans="2:24" ht="14.25" customHeight="1" x14ac:dyDescent="0.25">
      <c r="B231" s="82" t="s">
        <v>793</v>
      </c>
      <c r="C231" s="242">
        <v>39714024000148</v>
      </c>
      <c r="D231" s="83" t="s">
        <v>794</v>
      </c>
      <c r="E231" s="83" t="s">
        <v>445</v>
      </c>
      <c r="F231" s="83" t="s">
        <v>445</v>
      </c>
      <c r="G231" s="83" t="s">
        <v>20</v>
      </c>
      <c r="H231" s="243">
        <v>0</v>
      </c>
      <c r="I231" s="227">
        <v>127084.24984</v>
      </c>
      <c r="J231" s="225">
        <v>251.85</v>
      </c>
      <c r="K231" s="225">
        <v>251.85</v>
      </c>
      <c r="L231" s="226">
        <v>1</v>
      </c>
      <c r="M231" s="227">
        <v>537579869.39999998</v>
      </c>
      <c r="N231" s="227">
        <v>599562918.46000004</v>
      </c>
      <c r="O231" s="228">
        <v>0.89661960879901337</v>
      </c>
      <c r="P231" s="228">
        <v>0.87067939717999998</v>
      </c>
      <c r="Q231" s="229">
        <v>0.13658923963</v>
      </c>
      <c r="R231" s="229">
        <v>0.13817748659916618</v>
      </c>
      <c r="S231" s="229">
        <v>1.1514790549930515E-2</v>
      </c>
      <c r="T231" s="230">
        <v>2.9</v>
      </c>
      <c r="U231" s="231">
        <v>1.9243116588999999E-2</v>
      </c>
      <c r="V231" s="231">
        <v>0.10202578133</v>
      </c>
      <c r="W231" s="231">
        <v>0.15358054592000001</v>
      </c>
      <c r="X231" s="232" t="str">
        <f t="shared" si="3"/>
        <v>Link</v>
      </c>
    </row>
    <row r="232" spans="2:24" ht="14.25" customHeight="1" x14ac:dyDescent="0.25">
      <c r="B232" s="82" t="s">
        <v>684</v>
      </c>
      <c r="C232" s="242">
        <v>42737077000199</v>
      </c>
      <c r="D232" s="83" t="s">
        <v>685</v>
      </c>
      <c r="E232" s="83" t="s">
        <v>230</v>
      </c>
      <c r="F232" s="83" t="s">
        <v>231</v>
      </c>
      <c r="G232" s="83" t="s">
        <v>43</v>
      </c>
      <c r="H232" s="243">
        <v>0</v>
      </c>
      <c r="I232" s="227">
        <v>217765.37908000001</v>
      </c>
      <c r="J232" s="225">
        <v>72.48</v>
      </c>
      <c r="K232" s="225">
        <v>75.355232426000001</v>
      </c>
      <c r="L232" s="226">
        <v>0.9618442895943089</v>
      </c>
      <c r="M232" s="227">
        <v>70955600.640000001</v>
      </c>
      <c r="N232" s="227">
        <v>75882180.489999995</v>
      </c>
      <c r="O232" s="228">
        <v>0.93507593194888183</v>
      </c>
      <c r="P232" s="228">
        <v>0.87551309758999996</v>
      </c>
      <c r="Q232" s="229">
        <v>0.15093818984999999</v>
      </c>
      <c r="R232" s="229">
        <v>0.11754966887417218</v>
      </c>
      <c r="S232" s="229">
        <v>9.7958057395143485E-3</v>
      </c>
      <c r="T232" s="230">
        <v>0.71</v>
      </c>
      <c r="U232" s="231">
        <v>-1.5484922575000001E-2</v>
      </c>
      <c r="V232" s="231">
        <v>8.5079777873000001E-2</v>
      </c>
      <c r="W232" s="231">
        <v>0.20650968518999999</v>
      </c>
      <c r="X232" s="232" t="str">
        <f t="shared" si="3"/>
        <v>Link</v>
      </c>
    </row>
    <row r="233" spans="2:24" ht="14.25" customHeight="1" x14ac:dyDescent="0.25">
      <c r="B233" s="82" t="s">
        <v>686</v>
      </c>
      <c r="C233" s="242">
        <v>56805391000176</v>
      </c>
      <c r="D233" s="83" t="s">
        <v>687</v>
      </c>
      <c r="E233" s="83" t="s">
        <v>44</v>
      </c>
      <c r="F233" s="83" t="s">
        <v>119</v>
      </c>
      <c r="G233" s="83" t="s">
        <v>63</v>
      </c>
      <c r="H233" s="243">
        <v>1.9300000000000001E-3</v>
      </c>
      <c r="I233" s="227">
        <v>635241.16</v>
      </c>
      <c r="J233" s="225">
        <v>63.14</v>
      </c>
      <c r="K233" s="225">
        <v>71.779693863000006</v>
      </c>
      <c r="L233" s="226">
        <v>0.87963596111889419</v>
      </c>
      <c r="M233" s="227">
        <v>285913073.60000002</v>
      </c>
      <c r="N233" s="227">
        <v>464764801.41000003</v>
      </c>
      <c r="O233" s="228">
        <v>0.61517798407409308</v>
      </c>
      <c r="P233" s="228">
        <v>0.72474301869000002</v>
      </c>
      <c r="Q233" s="229">
        <v>0.16138739309</v>
      </c>
      <c r="R233" s="229">
        <v>0.15964523281596452</v>
      </c>
      <c r="S233" s="229">
        <v>1.3303769401330377E-2</v>
      </c>
      <c r="T233" s="230">
        <v>0.84</v>
      </c>
      <c r="U233" s="231">
        <v>-5.0716375683999997E-2</v>
      </c>
      <c r="V233" s="231">
        <v>-9.3200853385000004E-2</v>
      </c>
      <c r="W233" s="231">
        <v>7.1007725187999998E-2</v>
      </c>
      <c r="X233" s="232" t="str">
        <f t="shared" si="3"/>
        <v>Link</v>
      </c>
    </row>
    <row r="234" spans="2:24" ht="14.25" customHeight="1" x14ac:dyDescent="0.25">
      <c r="B234" s="82" t="s">
        <v>689</v>
      </c>
      <c r="C234" s="242">
        <v>16671412000193</v>
      </c>
      <c r="D234" s="83" t="s">
        <v>690</v>
      </c>
      <c r="E234" s="83" t="s">
        <v>257</v>
      </c>
      <c r="F234" s="83" t="s">
        <v>257</v>
      </c>
      <c r="G234" s="83" t="s">
        <v>65</v>
      </c>
      <c r="H234" s="243">
        <v>2.4399999999999999E-3</v>
      </c>
      <c r="I234" s="227">
        <v>978514.71384999994</v>
      </c>
      <c r="J234" s="225">
        <v>46.59</v>
      </c>
      <c r="K234" s="225">
        <v>75.445999422</v>
      </c>
      <c r="L234" s="226">
        <v>0.61752777293602124</v>
      </c>
      <c r="M234" s="227">
        <v>360564296.27999997</v>
      </c>
      <c r="N234" s="227">
        <v>593400931.41999996</v>
      </c>
      <c r="O234" s="228">
        <v>0.60762340803405002</v>
      </c>
      <c r="P234" s="228">
        <v>0.82793282811000002</v>
      </c>
      <c r="Q234" s="229">
        <v>0.21463833440999999</v>
      </c>
      <c r="R234" s="229">
        <v>0.11332904056664519</v>
      </c>
      <c r="S234" s="229">
        <v>9.4440867138870996E-3</v>
      </c>
      <c r="T234" s="230">
        <v>0.44</v>
      </c>
      <c r="U234" s="231">
        <v>-0.18406304728</v>
      </c>
      <c r="V234" s="231">
        <v>-0.24483242241</v>
      </c>
      <c r="W234" s="231">
        <v>-6.3313436638000001E-2</v>
      </c>
      <c r="X234" s="232" t="str">
        <f t="shared" si="3"/>
        <v>Link</v>
      </c>
    </row>
    <row r="235" spans="2:24" ht="14.25" customHeight="1" x14ac:dyDescent="0.25">
      <c r="B235" s="82" t="s">
        <v>691</v>
      </c>
      <c r="C235" s="242">
        <v>36368925000137</v>
      </c>
      <c r="D235" s="83" t="s">
        <v>692</v>
      </c>
      <c r="E235" s="83" t="s">
        <v>693</v>
      </c>
      <c r="F235" s="83" t="s">
        <v>275</v>
      </c>
      <c r="G235" s="83" t="s">
        <v>180</v>
      </c>
      <c r="H235" s="243">
        <v>0</v>
      </c>
      <c r="I235" s="227">
        <v>2078323.8446</v>
      </c>
      <c r="J235" s="225">
        <v>185</v>
      </c>
      <c r="K235" s="225">
        <v>195.98963996000001</v>
      </c>
      <c r="L235" s="226">
        <v>0.94392744452082822</v>
      </c>
      <c r="M235" s="227">
        <v>752214070</v>
      </c>
      <c r="N235" s="227">
        <v>427069557.02999997</v>
      </c>
      <c r="O235" s="228">
        <v>1.7613385398649708</v>
      </c>
      <c r="P235" s="228">
        <v>1.6240316363</v>
      </c>
      <c r="Q235" s="229">
        <v>0.19378378378</v>
      </c>
      <c r="R235" s="229">
        <v>6.4864864864864868E-2</v>
      </c>
      <c r="S235" s="229">
        <v>5.4054054054054057E-3</v>
      </c>
      <c r="T235" s="230">
        <v>1</v>
      </c>
      <c r="U235" s="231">
        <v>-4.6293432311999998E-2</v>
      </c>
      <c r="V235" s="231">
        <v>0.24631703079</v>
      </c>
      <c r="W235" s="231">
        <v>0.64168713915999998</v>
      </c>
      <c r="X235" s="232" t="str">
        <f t="shared" si="3"/>
        <v>Link</v>
      </c>
    </row>
    <row r="236" spans="2:24" ht="14.25" customHeight="1" x14ac:dyDescent="0.25">
      <c r="B236" s="82" t="s">
        <v>164</v>
      </c>
      <c r="C236" s="242">
        <v>28548288000152</v>
      </c>
      <c r="D236" s="83" t="s">
        <v>694</v>
      </c>
      <c r="E236" s="83" t="s">
        <v>693</v>
      </c>
      <c r="F236" s="83" t="s">
        <v>275</v>
      </c>
      <c r="G236" s="83" t="s">
        <v>180</v>
      </c>
      <c r="H236" s="243">
        <v>3.031E-2</v>
      </c>
      <c r="I236" s="227">
        <v>23831970.943</v>
      </c>
      <c r="J236" s="225">
        <v>71.8</v>
      </c>
      <c r="K236" s="225">
        <v>91.951429626000007</v>
      </c>
      <c r="L236" s="226">
        <v>0.78084702208586398</v>
      </c>
      <c r="M236" s="227">
        <v>4482524331.8000002</v>
      </c>
      <c r="N236" s="227">
        <v>6059889222.1999998</v>
      </c>
      <c r="O236" s="228">
        <v>0.73970400570666728</v>
      </c>
      <c r="P236" s="228">
        <v>0.94138712473999997</v>
      </c>
      <c r="Q236" s="229">
        <v>0.16434540389999999</v>
      </c>
      <c r="R236" s="229">
        <v>0.15543175487465183</v>
      </c>
      <c r="S236" s="229">
        <v>1.2952646239554319E-2</v>
      </c>
      <c r="T236" s="230">
        <v>0.93</v>
      </c>
      <c r="U236" s="231">
        <v>-0.20372629478000001</v>
      </c>
      <c r="V236" s="231">
        <v>-0.20018374333</v>
      </c>
      <c r="W236" s="231">
        <v>-0.1619183609</v>
      </c>
      <c r="X236" s="232" t="str">
        <f t="shared" si="3"/>
        <v>Link</v>
      </c>
    </row>
    <row r="237" spans="2:24" ht="14.25" customHeight="1" x14ac:dyDescent="0.25">
      <c r="B237" s="82" t="s">
        <v>695</v>
      </c>
      <c r="C237" s="242">
        <v>43985938000110</v>
      </c>
      <c r="D237" s="83" t="s">
        <v>696</v>
      </c>
      <c r="E237" s="83" t="s">
        <v>693</v>
      </c>
      <c r="F237" s="83" t="s">
        <v>275</v>
      </c>
      <c r="G237" s="83" t="s">
        <v>179</v>
      </c>
      <c r="H237" s="243">
        <v>0</v>
      </c>
      <c r="I237" s="227">
        <v>213573.15</v>
      </c>
      <c r="J237" s="225">
        <v>7.73</v>
      </c>
      <c r="K237" s="225">
        <v>9.1411588988000005</v>
      </c>
      <c r="L237" s="226">
        <v>0.84562582114339468</v>
      </c>
      <c r="M237" s="227">
        <v>274160018.22000003</v>
      </c>
      <c r="N237" s="227">
        <v>307712236.81</v>
      </c>
      <c r="O237" s="228">
        <v>0.89096235191089546</v>
      </c>
      <c r="P237" s="228">
        <v>1.0374883627</v>
      </c>
      <c r="Q237" s="229">
        <v>0.17593790427</v>
      </c>
      <c r="R237" s="229">
        <v>0.17076326002587322</v>
      </c>
      <c r="S237" s="229">
        <v>1.4230271668822767E-2</v>
      </c>
      <c r="T237" s="230">
        <v>0.11</v>
      </c>
      <c r="U237" s="231">
        <v>-2.3989898988999999E-2</v>
      </c>
      <c r="V237" s="231">
        <v>-9.9928339695999999E-2</v>
      </c>
      <c r="W237" s="231">
        <v>-2.6469062793999999E-2</v>
      </c>
      <c r="X237" s="232" t="str">
        <f t="shared" si="3"/>
        <v>Link</v>
      </c>
    </row>
    <row r="238" spans="2:24" ht="14.25" customHeight="1" x14ac:dyDescent="0.25">
      <c r="B238" s="82" t="s">
        <v>697</v>
      </c>
      <c r="C238" s="242">
        <v>14410722000129</v>
      </c>
      <c r="D238" s="83" t="s">
        <v>698</v>
      </c>
      <c r="E238" s="83" t="s">
        <v>370</v>
      </c>
      <c r="F238" s="83" t="s">
        <v>371</v>
      </c>
      <c r="G238" s="83" t="s">
        <v>62</v>
      </c>
      <c r="H238" s="243">
        <v>9.5099999999999994E-3</v>
      </c>
      <c r="I238" s="227">
        <v>946355.95154000004</v>
      </c>
      <c r="J238" s="225">
        <v>88.34</v>
      </c>
      <c r="K238" s="225">
        <v>96.303690755999995</v>
      </c>
      <c r="L238" s="226">
        <v>0.91730648437787077</v>
      </c>
      <c r="M238" s="227">
        <v>1406345414.5999999</v>
      </c>
      <c r="N238" s="227">
        <v>1598815417.4000001</v>
      </c>
      <c r="O238" s="228">
        <v>0.87961712108518719</v>
      </c>
      <c r="P238" s="228">
        <v>0.95381552414000004</v>
      </c>
      <c r="Q238" s="229">
        <v>0.14263074484999999</v>
      </c>
      <c r="R238" s="229">
        <v>0.14263074484944532</v>
      </c>
      <c r="S238" s="229">
        <v>1.1885895404120444E-2</v>
      </c>
      <c r="T238" s="230">
        <v>1.05</v>
      </c>
      <c r="U238" s="231">
        <v>-3.4113273562000002E-2</v>
      </c>
      <c r="V238" s="231">
        <v>-4.1178085875999998E-2</v>
      </c>
      <c r="W238" s="231">
        <v>0.10019456793000001</v>
      </c>
      <c r="X238" s="232" t="str">
        <f t="shared" si="3"/>
        <v>Link</v>
      </c>
    </row>
    <row r="239" spans="2:24" ht="14.25" customHeight="1" x14ac:dyDescent="0.25">
      <c r="B239" s="82" t="s">
        <v>699</v>
      </c>
      <c r="C239" s="242">
        <v>34508872000187</v>
      </c>
      <c r="D239" s="83" t="s">
        <v>700</v>
      </c>
      <c r="E239" s="83" t="s">
        <v>701</v>
      </c>
      <c r="F239" s="83" t="s">
        <v>276</v>
      </c>
      <c r="G239" s="83" t="s">
        <v>64</v>
      </c>
      <c r="H239" s="243">
        <v>1.5499999999999999E-3</v>
      </c>
      <c r="I239" s="227">
        <v>717779.83907999995</v>
      </c>
      <c r="J239" s="225">
        <v>19.57</v>
      </c>
      <c r="K239" s="225">
        <v>40.054316536999998</v>
      </c>
      <c r="L239" s="226">
        <v>0.48858654177564853</v>
      </c>
      <c r="M239" s="227">
        <v>229632325.15000001</v>
      </c>
      <c r="N239" s="227">
        <v>1088533069.4000001</v>
      </c>
      <c r="O239" s="228">
        <v>0.21095576386721393</v>
      </c>
      <c r="P239" s="228">
        <v>0.36588766566999997</v>
      </c>
      <c r="Q239" s="229">
        <v>0.20899335718000001</v>
      </c>
      <c r="R239" s="229">
        <v>0.1839550332141032</v>
      </c>
      <c r="S239" s="229">
        <v>1.5329586101175267E-2</v>
      </c>
      <c r="T239" s="230">
        <v>0.3</v>
      </c>
      <c r="U239" s="231">
        <v>1.9270833332000002E-2</v>
      </c>
      <c r="V239" s="231">
        <v>-0.43886262446000002</v>
      </c>
      <c r="W239" s="231">
        <v>-0.33544374366000002</v>
      </c>
      <c r="X239" s="232" t="str">
        <f t="shared" si="3"/>
        <v>Link</v>
      </c>
    </row>
    <row r="240" spans="2:24" ht="14.25" customHeight="1" x14ac:dyDescent="0.25">
      <c r="B240" s="82" t="s">
        <v>702</v>
      </c>
      <c r="C240" s="242">
        <v>32400250000105</v>
      </c>
      <c r="D240" s="83" t="s">
        <v>703</v>
      </c>
      <c r="E240" s="83" t="s">
        <v>377</v>
      </c>
      <c r="F240" s="83" t="s">
        <v>231</v>
      </c>
      <c r="G240" s="83" t="s">
        <v>64</v>
      </c>
      <c r="H240" s="243">
        <v>6.6899999999999998E-3</v>
      </c>
      <c r="I240" s="227">
        <v>2544730.2333999998</v>
      </c>
      <c r="J240" s="225">
        <v>67.260000000000005</v>
      </c>
      <c r="K240" s="225">
        <v>76.620806262000002</v>
      </c>
      <c r="L240" s="226">
        <v>0.87782944713487732</v>
      </c>
      <c r="M240" s="227">
        <v>990334222.20000005</v>
      </c>
      <c r="N240" s="227">
        <v>1360371537.2</v>
      </c>
      <c r="O240" s="228">
        <v>0.72798804967528696</v>
      </c>
      <c r="P240" s="228">
        <v>0.85565231722000001</v>
      </c>
      <c r="Q240" s="229">
        <v>0.16681534344000001</v>
      </c>
      <c r="R240" s="229">
        <v>0.22301516503122212</v>
      </c>
      <c r="S240" s="229">
        <v>1.8584597085935177E-2</v>
      </c>
      <c r="T240" s="230">
        <v>1.25</v>
      </c>
      <c r="U240" s="231">
        <v>-4.4737963358000003E-2</v>
      </c>
      <c r="V240" s="231">
        <v>-8.5819749456000002E-2</v>
      </c>
      <c r="W240" s="231">
        <v>-2.2662034865E-2</v>
      </c>
      <c r="X240" s="232" t="str">
        <f t="shared" si="3"/>
        <v>Link</v>
      </c>
    </row>
    <row r="241" spans="2:24" ht="14.25" customHeight="1" x14ac:dyDescent="0.25">
      <c r="B241" s="82" t="s">
        <v>325</v>
      </c>
      <c r="C241" s="242">
        <v>42502827000143</v>
      </c>
      <c r="D241" s="83" t="s">
        <v>326</v>
      </c>
      <c r="E241" s="83" t="s">
        <v>324</v>
      </c>
      <c r="F241" s="83" t="s">
        <v>231</v>
      </c>
      <c r="G241" s="83" t="s">
        <v>126</v>
      </c>
      <c r="H241" s="243" t="s">
        <v>44</v>
      </c>
      <c r="I241" s="227">
        <v>667907.50323000003</v>
      </c>
      <c r="J241" s="225">
        <v>51.32</v>
      </c>
      <c r="K241" s="225">
        <v>63.460844045999998</v>
      </c>
      <c r="L241" s="226">
        <v>0.80868763678592692</v>
      </c>
      <c r="M241" s="227">
        <v>235759923.08000001</v>
      </c>
      <c r="N241" s="227">
        <v>468512581.87</v>
      </c>
      <c r="O241" s="228">
        <v>0.5032093741</v>
      </c>
      <c r="P241" s="228">
        <v>1.0268476455</v>
      </c>
      <c r="Q241" s="229">
        <v>0.22213561964</v>
      </c>
      <c r="R241" s="229">
        <v>0.17537022603273578</v>
      </c>
      <c r="S241" s="229">
        <v>1.4614185502727981E-2</v>
      </c>
      <c r="T241" s="230">
        <v>0.75</v>
      </c>
      <c r="U241" s="231">
        <v>-0.10248338579000001</v>
      </c>
      <c r="V241" s="231">
        <v>-0.10274633211</v>
      </c>
      <c r="W241" s="231">
        <v>1.8462308434999999E-4</v>
      </c>
      <c r="X241" s="232" t="str">
        <f t="shared" si="3"/>
        <v>Link</v>
      </c>
    </row>
    <row r="242" spans="2:24" ht="14.25" customHeight="1" x14ac:dyDescent="0.25">
      <c r="B242" s="82" t="s">
        <v>704</v>
      </c>
      <c r="C242" s="242">
        <v>41081374000166</v>
      </c>
      <c r="D242" s="83" t="s">
        <v>705</v>
      </c>
      <c r="E242" s="83" t="s">
        <v>44</v>
      </c>
      <c r="F242" s="83" t="s">
        <v>275</v>
      </c>
      <c r="G242" s="83" t="s">
        <v>64</v>
      </c>
      <c r="H242" s="243">
        <v>0</v>
      </c>
      <c r="I242" s="227">
        <v>256492.52108000001</v>
      </c>
      <c r="J242" s="225">
        <v>7.44</v>
      </c>
      <c r="K242" s="225">
        <v>7.44</v>
      </c>
      <c r="L242" s="226">
        <v>1</v>
      </c>
      <c r="M242" s="227">
        <v>152844852.72</v>
      </c>
      <c r="N242" s="227">
        <v>195740680.43000001</v>
      </c>
      <c r="O242" s="228">
        <v>0.78085379280501566</v>
      </c>
      <c r="P242" s="228">
        <v>0.76865679187000002</v>
      </c>
      <c r="Q242" s="229">
        <v>0.14784946236999999</v>
      </c>
      <c r="R242" s="229">
        <v>0.15322580645161288</v>
      </c>
      <c r="S242" s="229">
        <v>1.2768817204301074E-2</v>
      </c>
      <c r="T242" s="230">
        <v>9.5000000000000001E-2</v>
      </c>
      <c r="U242" s="231">
        <v>4.8625792810999997E-2</v>
      </c>
      <c r="V242" s="231">
        <v>0.1105279332</v>
      </c>
      <c r="W242" s="231">
        <v>0.20718490534</v>
      </c>
      <c r="X242" s="232" t="str">
        <f t="shared" si="3"/>
        <v>Link</v>
      </c>
    </row>
    <row r="243" spans="2:24" ht="14.25" customHeight="1" x14ac:dyDescent="0.25">
      <c r="B243" s="82" t="s">
        <v>706</v>
      </c>
      <c r="C243" s="242">
        <v>40041723000153</v>
      </c>
      <c r="D243" s="83" t="s">
        <v>707</v>
      </c>
      <c r="E243" s="83" t="s">
        <v>377</v>
      </c>
      <c r="F243" s="83" t="s">
        <v>275</v>
      </c>
      <c r="G243" s="83" t="s">
        <v>30</v>
      </c>
      <c r="H243" s="243">
        <v>0</v>
      </c>
      <c r="I243" s="227">
        <v>150025.22185</v>
      </c>
      <c r="J243" s="225">
        <v>55.8</v>
      </c>
      <c r="K243" s="225">
        <v>65.687855720000002</v>
      </c>
      <c r="L243" s="226">
        <v>0.84947208868945545</v>
      </c>
      <c r="M243" s="227">
        <v>111600000</v>
      </c>
      <c r="N243" s="227">
        <v>206801637.59</v>
      </c>
      <c r="O243" s="228">
        <v>0.53964756420960025</v>
      </c>
      <c r="P243" s="228">
        <v>0.63938589973000004</v>
      </c>
      <c r="Q243" s="229">
        <v>9.9462365590999996E-2</v>
      </c>
      <c r="R243" s="229">
        <v>0.13978494623655915</v>
      </c>
      <c r="S243" s="229">
        <v>1.1648745519713262E-2</v>
      </c>
      <c r="T243" s="230">
        <v>0.65</v>
      </c>
      <c r="U243" s="231">
        <v>4.1433370661000002E-2</v>
      </c>
      <c r="V243" s="231">
        <v>-0.12728239311</v>
      </c>
      <c r="W243" s="231">
        <v>-3.325731656E-2</v>
      </c>
      <c r="X243" s="232" t="str">
        <f t="shared" si="3"/>
        <v>Link</v>
      </c>
    </row>
    <row r="244" spans="2:24" ht="14.25" customHeight="1" x14ac:dyDescent="0.25">
      <c r="B244" s="82" t="s">
        <v>708</v>
      </c>
      <c r="C244" s="242">
        <v>36771692000119</v>
      </c>
      <c r="D244" s="83" t="s">
        <v>709</v>
      </c>
      <c r="E244" s="83" t="s">
        <v>327</v>
      </c>
      <c r="F244" s="83" t="s">
        <v>167</v>
      </c>
      <c r="G244" s="83" t="s">
        <v>179</v>
      </c>
      <c r="H244" s="243">
        <v>5.7000000000000002E-3</v>
      </c>
      <c r="I244" s="227">
        <v>2491616.0784999998</v>
      </c>
      <c r="J244" s="225">
        <v>5.12</v>
      </c>
      <c r="K244" s="225">
        <v>6.9713152184</v>
      </c>
      <c r="L244" s="226">
        <v>0.73443817122002142</v>
      </c>
      <c r="M244" s="227">
        <v>843375016.96000004</v>
      </c>
      <c r="N244" s="227">
        <v>1346302651.5999999</v>
      </c>
      <c r="O244" s="228">
        <v>0.6264379082650543</v>
      </c>
      <c r="P244" s="228">
        <v>0.82585636902000004</v>
      </c>
      <c r="Q244" s="229">
        <v>0.16796875</v>
      </c>
      <c r="R244" s="229">
        <v>0.140625</v>
      </c>
      <c r="S244" s="229">
        <v>1.171875E-2</v>
      </c>
      <c r="T244" s="230">
        <v>0.06</v>
      </c>
      <c r="U244" s="231">
        <v>-0.1172413793</v>
      </c>
      <c r="V244" s="231">
        <v>-0.23069175360999999</v>
      </c>
      <c r="W244" s="231">
        <v>-0.24526465035</v>
      </c>
      <c r="X244" s="232" t="str">
        <f t="shared" si="3"/>
        <v>Link</v>
      </c>
    </row>
    <row r="245" spans="2:24" ht="14.25" customHeight="1" x14ac:dyDescent="0.25">
      <c r="B245" s="82" t="s">
        <v>328</v>
      </c>
      <c r="C245" s="242">
        <v>41081088000109</v>
      </c>
      <c r="D245" s="83" t="s">
        <v>329</v>
      </c>
      <c r="E245" s="83" t="s">
        <v>327</v>
      </c>
      <c r="F245" s="83" t="s">
        <v>119</v>
      </c>
      <c r="G245" s="83" t="s">
        <v>126</v>
      </c>
      <c r="H245" s="243" t="s">
        <v>44</v>
      </c>
      <c r="I245" s="227">
        <v>2956539.1771999998</v>
      </c>
      <c r="J245" s="225">
        <v>8.42</v>
      </c>
      <c r="K245" s="225">
        <v>9.5380984733999998</v>
      </c>
      <c r="L245" s="226">
        <v>0.88277553680975607</v>
      </c>
      <c r="M245" s="227">
        <v>727952085.13999999</v>
      </c>
      <c r="N245" s="227">
        <v>835465098.07000005</v>
      </c>
      <c r="O245" s="228">
        <v>0.87131357948999999</v>
      </c>
      <c r="P245" s="228">
        <v>1.0339266788999999</v>
      </c>
      <c r="Q245" s="229">
        <v>0.19596199524999999</v>
      </c>
      <c r="R245" s="229">
        <v>0.18527315914489312</v>
      </c>
      <c r="S245" s="229">
        <v>1.5439429928741094E-2</v>
      </c>
      <c r="T245" s="230">
        <v>0.13</v>
      </c>
      <c r="U245" s="231">
        <v>3.3089126591000002E-2</v>
      </c>
      <c r="V245" s="231">
        <v>-4.4357045945999998E-2</v>
      </c>
      <c r="W245" s="231">
        <v>0.12187365388</v>
      </c>
      <c r="X245" s="232" t="str">
        <f t="shared" si="3"/>
        <v>Link</v>
      </c>
    </row>
    <row r="246" spans="2:24" ht="14.25" customHeight="1" x14ac:dyDescent="0.25">
      <c r="B246" s="82" t="s">
        <v>710</v>
      </c>
      <c r="C246" s="242">
        <v>34197811000146</v>
      </c>
      <c r="D246" s="83" t="s">
        <v>711</v>
      </c>
      <c r="E246" s="83" t="s">
        <v>327</v>
      </c>
      <c r="F246" s="83" t="s">
        <v>119</v>
      </c>
      <c r="G246" s="83" t="s">
        <v>64</v>
      </c>
      <c r="H246" s="243">
        <v>5.8999999999999999E-3</v>
      </c>
      <c r="I246" s="227">
        <v>1953992.2023</v>
      </c>
      <c r="J246" s="225">
        <v>74.040000000000006</v>
      </c>
      <c r="K246" s="225">
        <v>79.541695727000004</v>
      </c>
      <c r="L246" s="226">
        <v>0.93083255672744636</v>
      </c>
      <c r="M246" s="227">
        <v>872727767.88</v>
      </c>
      <c r="N246" s="227">
        <v>1068558167.4</v>
      </c>
      <c r="O246" s="228">
        <v>0.81673398276811493</v>
      </c>
      <c r="P246" s="228">
        <v>0.88822119945</v>
      </c>
      <c r="Q246" s="229">
        <v>0.13911399244</v>
      </c>
      <c r="R246" s="229">
        <v>0.17179902755267423</v>
      </c>
      <c r="S246" s="229">
        <v>1.4316585629389519E-2</v>
      </c>
      <c r="T246" s="230">
        <v>1.06</v>
      </c>
      <c r="U246" s="231">
        <v>-3.9647433805E-2</v>
      </c>
      <c r="V246" s="231">
        <v>1.0001011176E-2</v>
      </c>
      <c r="W246" s="231">
        <v>4.3628514710000003E-2</v>
      </c>
      <c r="X246" s="232" t="str">
        <f t="shared" si="3"/>
        <v>Link</v>
      </c>
    </row>
    <row r="247" spans="2:24" ht="14.25" customHeight="1" x14ac:dyDescent="0.25">
      <c r="B247" s="82" t="s">
        <v>712</v>
      </c>
      <c r="C247" s="242">
        <v>29852732000191</v>
      </c>
      <c r="D247" s="83" t="s">
        <v>713</v>
      </c>
      <c r="E247" s="83" t="s">
        <v>327</v>
      </c>
      <c r="F247" s="83" t="s">
        <v>119</v>
      </c>
      <c r="G247" s="83" t="s">
        <v>64</v>
      </c>
      <c r="H247" s="243">
        <v>9.3200000000000002E-3</v>
      </c>
      <c r="I247" s="227">
        <v>4366060.5526000001</v>
      </c>
      <c r="J247" s="225">
        <v>9.43</v>
      </c>
      <c r="K247" s="225">
        <v>9.6151147856999994</v>
      </c>
      <c r="L247" s="226">
        <v>0.98074752201863358</v>
      </c>
      <c r="M247" s="227">
        <v>1377735136.4000001</v>
      </c>
      <c r="N247" s="227">
        <v>1432802943.9000001</v>
      </c>
      <c r="O247" s="228">
        <v>0.96156637747399587</v>
      </c>
      <c r="P247" s="228">
        <v>1.0012870517000001</v>
      </c>
      <c r="Q247" s="229">
        <v>0.16012725345000001</v>
      </c>
      <c r="R247" s="229">
        <v>0.16542948038176034</v>
      </c>
      <c r="S247" s="229">
        <v>1.3785790031813362E-2</v>
      </c>
      <c r="T247" s="230">
        <v>0.13</v>
      </c>
      <c r="U247" s="231">
        <v>1.0777917103000001E-2</v>
      </c>
      <c r="V247" s="231">
        <v>6.2549944302999996E-2</v>
      </c>
      <c r="W247" s="231">
        <v>0.15998753368999999</v>
      </c>
      <c r="X247" s="232" t="str">
        <f t="shared" si="3"/>
        <v>Link</v>
      </c>
    </row>
    <row r="248" spans="2:24" ht="14.25" customHeight="1" x14ac:dyDescent="0.25">
      <c r="B248" s="82" t="s">
        <v>714</v>
      </c>
      <c r="C248" s="242">
        <v>53656482000107</v>
      </c>
      <c r="D248" s="83" t="s">
        <v>715</v>
      </c>
      <c r="E248" s="83" t="s">
        <v>327</v>
      </c>
      <c r="F248" s="83" t="s">
        <v>167</v>
      </c>
      <c r="G248" s="83" t="s">
        <v>63</v>
      </c>
      <c r="H248" s="243">
        <v>1.2700000000000001E-3</v>
      </c>
      <c r="I248" s="227">
        <v>301749.67569</v>
      </c>
      <c r="J248" s="225">
        <v>5.37</v>
      </c>
      <c r="K248" s="225">
        <v>7.9936221099999996</v>
      </c>
      <c r="L248" s="226">
        <v>0.67178557181007403</v>
      </c>
      <c r="M248" s="227">
        <v>188066722.31999999</v>
      </c>
      <c r="N248" s="227">
        <v>301058584.76999998</v>
      </c>
      <c r="O248" s="228">
        <v>0.62468480167631657</v>
      </c>
      <c r="P248" s="228">
        <v>0.98730640462999997</v>
      </c>
      <c r="Q248" s="229">
        <v>0.22625698323999999</v>
      </c>
      <c r="R248" s="229">
        <v>0.16759776536312848</v>
      </c>
      <c r="S248" s="229">
        <v>1.3966480446927373E-2</v>
      </c>
      <c r="T248" s="230">
        <v>7.4999999999999997E-2</v>
      </c>
      <c r="U248" s="231">
        <v>-5.0397877983000001E-2</v>
      </c>
      <c r="V248" s="231">
        <v>-0.28821747434</v>
      </c>
      <c r="W248" s="231">
        <v>-0.25640676414000002</v>
      </c>
      <c r="X248" s="232" t="str">
        <f t="shared" si="3"/>
        <v>Link</v>
      </c>
    </row>
    <row r="249" spans="2:24" ht="14.25" customHeight="1" x14ac:dyDescent="0.25">
      <c r="B249" s="82" t="s">
        <v>34</v>
      </c>
      <c r="C249" s="242">
        <v>24853044000122</v>
      </c>
      <c r="D249" s="83" t="s">
        <v>716</v>
      </c>
      <c r="E249" s="83" t="s">
        <v>717</v>
      </c>
      <c r="F249" s="83" t="s">
        <v>275</v>
      </c>
      <c r="G249" s="83" t="s">
        <v>65</v>
      </c>
      <c r="H249" s="243">
        <v>9.2899999999999996E-3</v>
      </c>
      <c r="I249" s="227">
        <v>2575859.3254</v>
      </c>
      <c r="J249" s="225">
        <v>91.65</v>
      </c>
      <c r="K249" s="225">
        <v>100.04607933</v>
      </c>
      <c r="L249" s="226">
        <v>0.91607787745179203</v>
      </c>
      <c r="M249" s="227">
        <v>1374511343.4000001</v>
      </c>
      <c r="N249" s="227">
        <v>1639545786.5999999</v>
      </c>
      <c r="O249" s="228">
        <v>0.83834886139434162</v>
      </c>
      <c r="P249" s="228">
        <v>0.87180861379999997</v>
      </c>
      <c r="Q249" s="229">
        <v>0.10190943808</v>
      </c>
      <c r="R249" s="229">
        <v>0.10736497545008181</v>
      </c>
      <c r="S249" s="229">
        <v>8.9470812875068178E-3</v>
      </c>
      <c r="T249" s="230">
        <v>0.82</v>
      </c>
      <c r="U249" s="231">
        <v>5.8165057070999997E-3</v>
      </c>
      <c r="V249" s="231">
        <v>-1.6190667618999999E-2</v>
      </c>
      <c r="W249" s="231">
        <v>0.25374251109000001</v>
      </c>
      <c r="X249" s="232" t="str">
        <f t="shared" si="3"/>
        <v>Link</v>
      </c>
    </row>
    <row r="250" spans="2:24" ht="14.25" customHeight="1" x14ac:dyDescent="0.25">
      <c r="B250" s="82" t="s">
        <v>718</v>
      </c>
      <c r="C250" s="242">
        <v>12516185000170</v>
      </c>
      <c r="D250" s="83" t="s">
        <v>719</v>
      </c>
      <c r="E250" s="83" t="s">
        <v>717</v>
      </c>
      <c r="F250" s="83" t="s">
        <v>275</v>
      </c>
      <c r="G250" s="83" t="s">
        <v>63</v>
      </c>
      <c r="H250" s="243">
        <v>2.3400000000000001E-3</v>
      </c>
      <c r="I250" s="227">
        <v>490105.35092</v>
      </c>
      <c r="J250" s="225">
        <v>4.18</v>
      </c>
      <c r="K250" s="225">
        <v>5.3210093350000003</v>
      </c>
      <c r="L250" s="226">
        <v>0.78556524464357091</v>
      </c>
      <c r="M250" s="227">
        <v>346213913.10000002</v>
      </c>
      <c r="N250" s="227">
        <v>813695317.48000002</v>
      </c>
      <c r="O250" s="228">
        <v>0.42548347724578084</v>
      </c>
      <c r="P250" s="228">
        <v>0.51644894370000005</v>
      </c>
      <c r="Q250" s="229">
        <v>0.12894736842000001</v>
      </c>
      <c r="R250" s="229">
        <v>0.12057416267942586</v>
      </c>
      <c r="S250" s="229">
        <v>1.0047846889952155E-2</v>
      </c>
      <c r="T250" s="230">
        <v>4.2000000000000003E-2</v>
      </c>
      <c r="U250" s="231">
        <v>-8.0914687774000002E-2</v>
      </c>
      <c r="V250" s="231">
        <v>-0.13011970882000001</v>
      </c>
      <c r="W250" s="231">
        <v>-4.4836862943000003E-2</v>
      </c>
      <c r="X250" s="232" t="str">
        <f t="shared" si="3"/>
        <v>Link</v>
      </c>
    </row>
    <row r="251" spans="2:24" ht="14.25" customHeight="1" x14ac:dyDescent="0.25">
      <c r="B251" s="82" t="s">
        <v>720</v>
      </c>
      <c r="C251" s="242">
        <v>17554274000125</v>
      </c>
      <c r="D251" s="83" t="s">
        <v>721</v>
      </c>
      <c r="E251" s="83" t="s">
        <v>717</v>
      </c>
      <c r="F251" s="83" t="s">
        <v>275</v>
      </c>
      <c r="G251" s="83" t="s">
        <v>61</v>
      </c>
      <c r="H251" s="243">
        <v>1.9820000000000001E-2</v>
      </c>
      <c r="I251" s="227">
        <v>6047313.9791000001</v>
      </c>
      <c r="J251" s="225">
        <v>101.7</v>
      </c>
      <c r="K251" s="225">
        <v>108.86671478</v>
      </c>
      <c r="L251" s="226">
        <v>0.93416982597038378</v>
      </c>
      <c r="M251" s="227">
        <v>2931872688</v>
      </c>
      <c r="N251" s="227">
        <v>3327943047.3000002</v>
      </c>
      <c r="O251" s="228">
        <v>0.88098643706618218</v>
      </c>
      <c r="P251" s="228">
        <v>0.92875109013000001</v>
      </c>
      <c r="Q251" s="229">
        <v>9.7640117994000006E-2</v>
      </c>
      <c r="R251" s="229">
        <v>9.9115044247787609E-2</v>
      </c>
      <c r="S251" s="229">
        <v>8.2595870206489674E-3</v>
      </c>
      <c r="T251" s="230">
        <v>0.84</v>
      </c>
      <c r="U251" s="231">
        <v>-2.2585295530999999E-2</v>
      </c>
      <c r="V251" s="231">
        <v>-7.7786218062000003E-3</v>
      </c>
      <c r="W251" s="231">
        <v>8.3744613048000002E-2</v>
      </c>
      <c r="X251" s="232" t="str">
        <f t="shared" si="3"/>
        <v>Link</v>
      </c>
    </row>
    <row r="252" spans="2:24" ht="14.25" customHeight="1" x14ac:dyDescent="0.25">
      <c r="B252" s="82" t="s">
        <v>722</v>
      </c>
      <c r="C252" s="242">
        <v>36445587000190</v>
      </c>
      <c r="D252" s="83" t="s">
        <v>723</v>
      </c>
      <c r="E252" s="83" t="s">
        <v>717</v>
      </c>
      <c r="F252" s="83" t="s">
        <v>167</v>
      </c>
      <c r="G252" s="83" t="s">
        <v>180</v>
      </c>
      <c r="H252" s="243">
        <v>0</v>
      </c>
      <c r="I252" s="227">
        <v>130121.74215000001</v>
      </c>
      <c r="J252" s="225">
        <v>2.27</v>
      </c>
      <c r="K252" s="225">
        <v>2.67</v>
      </c>
      <c r="L252" s="226">
        <v>0.85018726591760307</v>
      </c>
      <c r="M252" s="227">
        <v>61167919.399999999</v>
      </c>
      <c r="N252" s="227">
        <v>95963672.709999993</v>
      </c>
      <c r="O252" s="228">
        <v>0.63740702781195169</v>
      </c>
      <c r="P252" s="228">
        <v>0.75365477816000004</v>
      </c>
      <c r="Q252" s="229">
        <v>0.24832599119000001</v>
      </c>
      <c r="R252" s="229" t="s">
        <v>44</v>
      </c>
      <c r="S252" s="229" t="s">
        <v>44</v>
      </c>
      <c r="T252" s="230" t="s">
        <v>44</v>
      </c>
      <c r="U252" s="231">
        <v>1.3392857143E-2</v>
      </c>
      <c r="V252" s="231">
        <v>0.10786062741999999</v>
      </c>
      <c r="W252" s="231">
        <v>0.33729394908999999</v>
      </c>
      <c r="X252" s="232" t="str">
        <f t="shared" si="3"/>
        <v>Link</v>
      </c>
    </row>
    <row r="253" spans="2:24" ht="14.25" customHeight="1" x14ac:dyDescent="0.25">
      <c r="B253" s="82" t="s">
        <v>724</v>
      </c>
      <c r="C253" s="242">
        <v>30654849000140</v>
      </c>
      <c r="D253" s="83" t="s">
        <v>725</v>
      </c>
      <c r="E253" s="83" t="s">
        <v>432</v>
      </c>
      <c r="F253" s="83" t="s">
        <v>276</v>
      </c>
      <c r="G253" s="83" t="s">
        <v>63</v>
      </c>
      <c r="H253" s="243">
        <v>0</v>
      </c>
      <c r="I253" s="227">
        <v>94887.620922999995</v>
      </c>
      <c r="J253" s="225">
        <v>20.3</v>
      </c>
      <c r="K253" s="225">
        <v>22.7</v>
      </c>
      <c r="L253" s="226">
        <v>0.89427312775330403</v>
      </c>
      <c r="M253" s="227">
        <v>148518271.30000001</v>
      </c>
      <c r="N253" s="227">
        <v>301352604.98000002</v>
      </c>
      <c r="O253" s="228">
        <v>0.49283885005691846</v>
      </c>
      <c r="P253" s="228">
        <v>0.38830167837000001</v>
      </c>
      <c r="Q253" s="229" t="s">
        <v>44</v>
      </c>
      <c r="R253" s="229" t="s">
        <v>44</v>
      </c>
      <c r="S253" s="229" t="s">
        <v>44</v>
      </c>
      <c r="T253" s="230" t="s">
        <v>44</v>
      </c>
      <c r="U253" s="231">
        <v>1.6016016016000001E-2</v>
      </c>
      <c r="V253" s="231">
        <v>0.25696594427000002</v>
      </c>
      <c r="W253" s="231">
        <v>0.56153846153999998</v>
      </c>
      <c r="X253" s="232" t="str">
        <f t="shared" si="3"/>
        <v>Link</v>
      </c>
    </row>
    <row r="254" spans="2:24" ht="14.25" customHeight="1" x14ac:dyDescent="0.25">
      <c r="B254" s="82" t="s">
        <v>726</v>
      </c>
      <c r="C254" s="242">
        <v>11664201000100</v>
      </c>
      <c r="D254" s="83" t="s">
        <v>727</v>
      </c>
      <c r="E254" s="83" t="s">
        <v>311</v>
      </c>
      <c r="F254" s="83" t="s">
        <v>728</v>
      </c>
      <c r="G254" s="83" t="s">
        <v>64</v>
      </c>
      <c r="H254" s="243">
        <v>7.3499999999999998E-3</v>
      </c>
      <c r="I254" s="227">
        <v>2137614.5915000001</v>
      </c>
      <c r="J254" s="225">
        <v>69.75</v>
      </c>
      <c r="K254" s="225">
        <v>75.833860514999998</v>
      </c>
      <c r="L254" s="226">
        <v>0.9197738256540875</v>
      </c>
      <c r="M254" s="227">
        <v>1087571574</v>
      </c>
      <c r="N254" s="227">
        <v>1296540830.9000001</v>
      </c>
      <c r="O254" s="228">
        <v>0.83882554878357118</v>
      </c>
      <c r="P254" s="228">
        <v>0.96942006774</v>
      </c>
      <c r="Q254" s="229">
        <v>0.14623655914</v>
      </c>
      <c r="R254" s="229">
        <v>0.14623655913978495</v>
      </c>
      <c r="S254" s="229">
        <v>1.2186379928315411E-2</v>
      </c>
      <c r="T254" s="230">
        <v>0.85</v>
      </c>
      <c r="U254" s="231">
        <v>-3.3264033264000001E-2</v>
      </c>
      <c r="V254" s="231">
        <v>-7.7347736338000003E-2</v>
      </c>
      <c r="W254" s="231">
        <v>5.2075238385E-2</v>
      </c>
      <c r="X254" s="232" t="str">
        <f t="shared" si="3"/>
        <v>Link</v>
      </c>
    </row>
    <row r="255" spans="2:24" ht="14.25" customHeight="1" x14ac:dyDescent="0.25">
      <c r="B255" s="82" t="s">
        <v>729</v>
      </c>
      <c r="C255" s="242">
        <v>51870412000113</v>
      </c>
      <c r="D255" s="83" t="s">
        <v>730</v>
      </c>
      <c r="E255" s="83" t="s">
        <v>311</v>
      </c>
      <c r="F255" s="83" t="s">
        <v>728</v>
      </c>
      <c r="G255" s="83" t="s">
        <v>179</v>
      </c>
      <c r="H255" s="243">
        <v>2.0500000000000002E-3</v>
      </c>
      <c r="I255" s="227">
        <v>187637.21846</v>
      </c>
      <c r="J255" s="225">
        <v>6.45</v>
      </c>
      <c r="K255" s="225">
        <v>7.0347674665</v>
      </c>
      <c r="L255" s="226">
        <v>0.9168746558738865</v>
      </c>
      <c r="M255" s="227">
        <v>302964530.25</v>
      </c>
      <c r="N255" s="227">
        <v>438891751.08999997</v>
      </c>
      <c r="O255" s="228">
        <v>0.69029442794852969</v>
      </c>
      <c r="P255" s="228">
        <v>0.77962640527000004</v>
      </c>
      <c r="Q255" s="229">
        <v>0.16744186047000001</v>
      </c>
      <c r="R255" s="229">
        <v>0.16744186046511628</v>
      </c>
      <c r="S255" s="229">
        <v>1.3953488372093023E-2</v>
      </c>
      <c r="T255" s="230">
        <v>0.09</v>
      </c>
      <c r="U255" s="231">
        <v>-5.4252199414000002E-2</v>
      </c>
      <c r="V255" s="231">
        <v>-3.5647321602000001E-2</v>
      </c>
      <c r="W255" s="231">
        <v>9.9500327979000006E-2</v>
      </c>
      <c r="X255" s="232" t="str">
        <f t="shared" si="3"/>
        <v>Link</v>
      </c>
    </row>
    <row r="256" spans="2:24" ht="14.25" customHeight="1" x14ac:dyDescent="0.25">
      <c r="B256" s="82" t="s">
        <v>753</v>
      </c>
      <c r="C256" s="242">
        <v>23740595000117</v>
      </c>
      <c r="D256" s="83" t="s">
        <v>754</v>
      </c>
      <c r="E256" s="83" t="s">
        <v>370</v>
      </c>
      <c r="F256" s="83" t="s">
        <v>370</v>
      </c>
      <c r="G256" s="83" t="s">
        <v>61</v>
      </c>
      <c r="H256" s="243">
        <v>0</v>
      </c>
      <c r="I256" s="227">
        <v>34704.475692</v>
      </c>
      <c r="J256" s="225">
        <v>72.260000000000005</v>
      </c>
      <c r="K256" s="225">
        <v>76</v>
      </c>
      <c r="L256" s="226">
        <v>0.95078947368421063</v>
      </c>
      <c r="M256" s="227">
        <v>151659288</v>
      </c>
      <c r="N256" s="227">
        <v>249540046.94999999</v>
      </c>
      <c r="O256" s="228">
        <v>0.60775530762959173</v>
      </c>
      <c r="P256" s="228">
        <v>0.65677054853000005</v>
      </c>
      <c r="Q256" s="229">
        <v>0.11624688624</v>
      </c>
      <c r="R256" s="229">
        <v>0.11624688624411844</v>
      </c>
      <c r="S256" s="229">
        <v>9.687240520343204E-3</v>
      </c>
      <c r="T256" s="230">
        <v>0.7</v>
      </c>
      <c r="U256" s="231">
        <v>-2.7456258413E-2</v>
      </c>
      <c r="V256" s="231">
        <v>1.8717752359999999E-2</v>
      </c>
      <c r="W256" s="231">
        <v>0.10667445846</v>
      </c>
      <c r="X256" s="232" t="str">
        <f t="shared" si="3"/>
        <v>Link</v>
      </c>
    </row>
    <row r="257" spans="2:24" ht="14.25" customHeight="1" x14ac:dyDescent="0.25">
      <c r="B257" s="82" t="s">
        <v>731</v>
      </c>
      <c r="C257" s="242">
        <v>36244015000142</v>
      </c>
      <c r="D257" s="83" t="s">
        <v>732</v>
      </c>
      <c r="E257" s="83" t="s">
        <v>688</v>
      </c>
      <c r="F257" s="83" t="s">
        <v>276</v>
      </c>
      <c r="G257" s="83" t="s">
        <v>64</v>
      </c>
      <c r="H257" s="243">
        <v>0</v>
      </c>
      <c r="I257" s="227">
        <v>71997.867845999994</v>
      </c>
      <c r="J257" s="225">
        <v>1.62</v>
      </c>
      <c r="K257" s="225">
        <v>2.2923414372000002</v>
      </c>
      <c r="L257" s="226">
        <v>0.70670100610263487</v>
      </c>
      <c r="M257" s="227">
        <v>48379827.420000002</v>
      </c>
      <c r="N257" s="227">
        <v>343098392.05000001</v>
      </c>
      <c r="O257" s="228">
        <v>0.1410086101859363</v>
      </c>
      <c r="P257" s="228">
        <v>0.21026534250000001</v>
      </c>
      <c r="Q257" s="229">
        <v>0.20679012346</v>
      </c>
      <c r="R257" s="229">
        <v>0.16296296296296295</v>
      </c>
      <c r="S257" s="229">
        <v>1.3580246913580245E-2</v>
      </c>
      <c r="T257" s="230">
        <v>2.1999999999999999E-2</v>
      </c>
      <c r="U257" s="231">
        <v>-8.9108910890000004E-2</v>
      </c>
      <c r="V257" s="231">
        <v>-0.15569640430000001</v>
      </c>
      <c r="W257" s="231">
        <v>-0.23958971743999999</v>
      </c>
      <c r="X257" s="232" t="str">
        <f t="shared" si="3"/>
        <v>Link</v>
      </c>
    </row>
    <row r="258" spans="2:24" ht="14.25" customHeight="1" x14ac:dyDescent="0.25">
      <c r="B258" s="82" t="s">
        <v>756</v>
      </c>
      <c r="C258" s="242">
        <v>23120027000113</v>
      </c>
      <c r="D258" s="83" t="s">
        <v>757</v>
      </c>
      <c r="E258" s="83" t="s">
        <v>432</v>
      </c>
      <c r="F258" s="83" t="s">
        <v>119</v>
      </c>
      <c r="G258" s="83" t="s">
        <v>64</v>
      </c>
      <c r="H258" s="243">
        <v>0</v>
      </c>
      <c r="I258" s="227">
        <v>204010.65753999999</v>
      </c>
      <c r="J258" s="225">
        <v>7.63</v>
      </c>
      <c r="K258" s="225">
        <v>9.4677685950000008</v>
      </c>
      <c r="L258" s="226">
        <v>0.80589210894206476</v>
      </c>
      <c r="M258" s="227">
        <v>139468449.53999999</v>
      </c>
      <c r="N258" s="227">
        <v>186981463.03</v>
      </c>
      <c r="O258" s="228">
        <v>0.74589452494348685</v>
      </c>
      <c r="P258" s="228">
        <v>0.90505496602000002</v>
      </c>
      <c r="Q258" s="229">
        <v>0.15958726513999999</v>
      </c>
      <c r="R258" s="229">
        <v>0.15727391874180865</v>
      </c>
      <c r="S258" s="229">
        <v>1.3106159895150722E-2</v>
      </c>
      <c r="T258" s="230">
        <v>0.1</v>
      </c>
      <c r="U258" s="231">
        <v>-0.16361467613</v>
      </c>
      <c r="V258" s="231">
        <v>-9.3805906723000002E-2</v>
      </c>
      <c r="W258" s="231">
        <v>-0.11057157684</v>
      </c>
      <c r="X258" s="232" t="str">
        <f t="shared" si="3"/>
        <v>Link</v>
      </c>
    </row>
    <row r="259" spans="2:24" ht="14.25" customHeight="1" x14ac:dyDescent="0.25">
      <c r="B259" s="82" t="s">
        <v>808</v>
      </c>
      <c r="C259" s="242">
        <v>49184940000177</v>
      </c>
      <c r="D259" s="83" t="s">
        <v>809</v>
      </c>
      <c r="E259" s="83" t="s">
        <v>432</v>
      </c>
      <c r="F259" s="83" t="s">
        <v>119</v>
      </c>
      <c r="G259" s="83" t="s">
        <v>19</v>
      </c>
      <c r="H259" s="243">
        <v>0</v>
      </c>
      <c r="I259" s="227">
        <v>354913.73061999999</v>
      </c>
      <c r="J259" s="225">
        <v>8.4499999999999993</v>
      </c>
      <c r="K259" s="225">
        <v>10.168303853999999</v>
      </c>
      <c r="L259" s="226">
        <v>0.83101371883924824</v>
      </c>
      <c r="M259" s="227">
        <v>148478330</v>
      </c>
      <c r="N259" s="227">
        <v>154737600.28</v>
      </c>
      <c r="O259" s="228">
        <v>0.95954913176452417</v>
      </c>
      <c r="P259" s="228">
        <v>0.99020612473000003</v>
      </c>
      <c r="Q259" s="229">
        <v>4.2460980698E-2</v>
      </c>
      <c r="R259" s="229">
        <v>3.3729286153846155E-2</v>
      </c>
      <c r="S259" s="229">
        <v>2.8107738461538466E-3</v>
      </c>
      <c r="T259" s="230">
        <v>2.3751039000000002E-2</v>
      </c>
      <c r="U259" s="231">
        <v>-8.6839798040999996E-4</v>
      </c>
      <c r="V259" s="231">
        <v>-4.8060800374999997E-2</v>
      </c>
      <c r="W259" s="231">
        <v>1.3378699270000001E-2</v>
      </c>
      <c r="X259" s="232" t="str">
        <f t="shared" si="3"/>
        <v>Link</v>
      </c>
    </row>
    <row r="260" spans="2:24" ht="14.25" customHeight="1" x14ac:dyDescent="0.25">
      <c r="B260" s="82" t="s">
        <v>733</v>
      </c>
      <c r="C260" s="242">
        <v>41256643000188</v>
      </c>
      <c r="D260" s="83" t="s">
        <v>734</v>
      </c>
      <c r="E260" s="83" t="s">
        <v>735</v>
      </c>
      <c r="F260" s="83" t="s">
        <v>268</v>
      </c>
      <c r="G260" s="83" t="s">
        <v>64</v>
      </c>
      <c r="H260" s="243">
        <v>1.74E-3</v>
      </c>
      <c r="I260" s="227">
        <v>266707.41061999998</v>
      </c>
      <c r="J260" s="225">
        <v>8.3000000000000007</v>
      </c>
      <c r="K260" s="225">
        <v>9.2992645992000007</v>
      </c>
      <c r="L260" s="226">
        <v>0.89254369648907883</v>
      </c>
      <c r="M260" s="227">
        <v>256572745.68000001</v>
      </c>
      <c r="N260" s="227">
        <v>295309027.56</v>
      </c>
      <c r="O260" s="228">
        <v>0.8688279792864454</v>
      </c>
      <c r="P260" s="228">
        <v>0.94028391596000005</v>
      </c>
      <c r="Q260" s="229">
        <v>0.14457831325000001</v>
      </c>
      <c r="R260" s="229">
        <v>0.14457831325301204</v>
      </c>
      <c r="S260" s="229">
        <v>1.2048192771084336E-2</v>
      </c>
      <c r="T260" s="230">
        <v>0.1</v>
      </c>
      <c r="U260" s="231">
        <v>-7.0548712207E-2</v>
      </c>
      <c r="V260" s="231">
        <v>-3.2803146108000003E-2</v>
      </c>
      <c r="W260" s="231">
        <v>9.9025743927999996E-2</v>
      </c>
      <c r="X260" s="232" t="str">
        <f t="shared" si="3"/>
        <v>Link</v>
      </c>
    </row>
    <row r="261" spans="2:24" ht="14.25" customHeight="1" x14ac:dyDescent="0.25">
      <c r="B261" s="82" t="s">
        <v>755</v>
      </c>
      <c r="C261" s="242">
        <v>35689733000160</v>
      </c>
      <c r="D261" s="83" t="s">
        <v>44</v>
      </c>
      <c r="E261" s="83" t="s">
        <v>767</v>
      </c>
      <c r="F261" s="83" t="s">
        <v>275</v>
      </c>
      <c r="G261" s="83" t="s">
        <v>64</v>
      </c>
      <c r="H261" s="243">
        <v>0</v>
      </c>
      <c r="I261" s="227">
        <v>105869.68953</v>
      </c>
      <c r="J261" s="225">
        <v>66.84</v>
      </c>
      <c r="K261" s="225">
        <v>79.250299611000003</v>
      </c>
      <c r="L261" s="226">
        <v>0.84340375150736413</v>
      </c>
      <c r="M261" s="227">
        <v>32200637.879999999</v>
      </c>
      <c r="N261" s="227">
        <v>36315644.600000001</v>
      </c>
      <c r="O261" s="228">
        <v>0.8866877687199306</v>
      </c>
      <c r="P261" s="228">
        <v>0.98257897755000001</v>
      </c>
      <c r="Q261" s="229">
        <v>0.10372407031</v>
      </c>
      <c r="R261" s="229">
        <v>6.8430578563734287E-2</v>
      </c>
      <c r="S261" s="229">
        <v>5.7025482136445239E-3</v>
      </c>
      <c r="T261" s="230">
        <v>0.38115832259999999</v>
      </c>
      <c r="U261" s="231">
        <v>-2.0355639100999998E-2</v>
      </c>
      <c r="V261" s="231">
        <v>-0.12727890566</v>
      </c>
      <c r="W261" s="231">
        <v>-2.7345860103000001E-2</v>
      </c>
      <c r="X261" s="232" t="str">
        <f t="shared" si="3"/>
        <v>Link</v>
      </c>
    </row>
    <row r="262" spans="2:24" ht="14.25" customHeight="1" x14ac:dyDescent="0.25">
      <c r="B262" s="82" t="s">
        <v>330</v>
      </c>
      <c r="C262" s="242">
        <v>41269527000101</v>
      </c>
      <c r="D262" s="83" t="s">
        <v>331</v>
      </c>
      <c r="E262" s="83" t="s">
        <v>235</v>
      </c>
      <c r="F262" s="83" t="s">
        <v>268</v>
      </c>
      <c r="G262" s="83" t="s">
        <v>126</v>
      </c>
      <c r="H262" s="243" t="s">
        <v>44</v>
      </c>
      <c r="I262" s="227">
        <v>602436.99199999997</v>
      </c>
      <c r="J262" s="225">
        <v>7.16</v>
      </c>
      <c r="K262" s="225">
        <v>8.2248992304000001</v>
      </c>
      <c r="L262" s="226">
        <v>0.87052738269861929</v>
      </c>
      <c r="M262" s="227">
        <v>325945224.16000003</v>
      </c>
      <c r="N262" s="227">
        <v>439004652.63</v>
      </c>
      <c r="O262" s="228">
        <v>0.74246416799000003</v>
      </c>
      <c r="P262" s="228">
        <v>0.99799628801999996</v>
      </c>
      <c r="Q262" s="229">
        <v>0.18156424581</v>
      </c>
      <c r="R262" s="229">
        <v>0.16759776536312851</v>
      </c>
      <c r="S262" s="229">
        <v>1.3966480446927375E-2</v>
      </c>
      <c r="T262" s="230">
        <v>0.1</v>
      </c>
      <c r="U262" s="231">
        <v>-5.7894736841000001E-2</v>
      </c>
      <c r="V262" s="231">
        <v>-6.0006581402999998E-2</v>
      </c>
      <c r="W262" s="231">
        <v>8.8638648436E-2</v>
      </c>
      <c r="X262" s="232" t="str">
        <f t="shared" si="3"/>
        <v>Link</v>
      </c>
    </row>
    <row r="263" spans="2:24" ht="14.25" customHeight="1" x14ac:dyDescent="0.25">
      <c r="B263" s="82" t="s">
        <v>736</v>
      </c>
      <c r="C263" s="242">
        <v>28516301000191</v>
      </c>
      <c r="D263" s="83" t="s">
        <v>737</v>
      </c>
      <c r="E263" s="83" t="s">
        <v>766</v>
      </c>
      <c r="F263" s="83" t="s">
        <v>268</v>
      </c>
      <c r="G263" s="83" t="s">
        <v>64</v>
      </c>
      <c r="H263" s="243">
        <v>4.5300000000000002E-3</v>
      </c>
      <c r="I263" s="227">
        <v>1835113.0234000001</v>
      </c>
      <c r="J263" s="225">
        <v>76.989999999999995</v>
      </c>
      <c r="K263" s="225">
        <v>83.251296341</v>
      </c>
      <c r="L263" s="226">
        <v>0.92479040427966996</v>
      </c>
      <c r="M263" s="227">
        <v>669932488.47000003</v>
      </c>
      <c r="N263" s="227">
        <v>757543686.35000002</v>
      </c>
      <c r="O263" s="228">
        <v>0.88434832279821562</v>
      </c>
      <c r="P263" s="228">
        <v>0.91979795595000002</v>
      </c>
      <c r="Q263" s="229">
        <v>0.14079750617</v>
      </c>
      <c r="R263" s="229">
        <v>0.14495389011559945</v>
      </c>
      <c r="S263" s="229">
        <v>1.207949084296662E-2</v>
      </c>
      <c r="T263" s="230">
        <v>0.93</v>
      </c>
      <c r="U263" s="231">
        <v>-5.6610709473000002E-2</v>
      </c>
      <c r="V263" s="231">
        <v>1.0486620364999999E-2</v>
      </c>
      <c r="W263" s="231">
        <v>7.4142622928999993E-2</v>
      </c>
      <c r="X263" s="232" t="str">
        <f t="shared" ref="X263:X322" si="4">IF(OR(B263="",G263="FI-Infra"),"",HYPERLINK("https://content.btgpactual.com/research/ativo/https://content.btgpactual.com/research/ativo/"&amp;B263,"Link"))</f>
        <v>Link</v>
      </c>
    </row>
    <row r="264" spans="2:24" ht="14.25" customHeight="1" x14ac:dyDescent="0.25">
      <c r="B264" s="82" t="s">
        <v>165</v>
      </c>
      <c r="C264" s="242">
        <v>37404867000112</v>
      </c>
      <c r="D264" s="83" t="s">
        <v>166</v>
      </c>
      <c r="E264" s="83" t="s">
        <v>235</v>
      </c>
      <c r="F264" s="83" t="s">
        <v>225</v>
      </c>
      <c r="G264" s="83" t="s">
        <v>118</v>
      </c>
      <c r="H264" s="243" t="s">
        <v>44</v>
      </c>
      <c r="I264" s="227">
        <v>108940.23861</v>
      </c>
      <c r="J264" s="225">
        <v>48.89</v>
      </c>
      <c r="K264" s="225">
        <v>61.921475047000001</v>
      </c>
      <c r="L264" s="226">
        <v>0.78954837498446584</v>
      </c>
      <c r="M264" s="227">
        <v>154759534.95359415</v>
      </c>
      <c r="N264" s="227">
        <v>232415355.93000001</v>
      </c>
      <c r="O264" s="228">
        <v>0.66587482713579982</v>
      </c>
      <c r="P264" s="228" t="s">
        <v>44</v>
      </c>
      <c r="Q264" s="229">
        <v>0.15340560442000001</v>
      </c>
      <c r="R264" s="229">
        <v>0.18408672530169767</v>
      </c>
      <c r="S264" s="229">
        <v>1.534056044180814E-2</v>
      </c>
      <c r="T264" s="230">
        <v>0.75</v>
      </c>
      <c r="U264" s="231">
        <v>1.1587005999E-2</v>
      </c>
      <c r="V264" s="231">
        <v>0.16803077838</v>
      </c>
      <c r="W264" s="231">
        <v>4.1548098053999998E-2</v>
      </c>
      <c r="X264" s="232" t="str">
        <f t="shared" si="4"/>
        <v/>
      </c>
    </row>
    <row r="265" spans="2:24" ht="14.25" customHeight="1" x14ac:dyDescent="0.25">
      <c r="B265" s="82" t="s">
        <v>738</v>
      </c>
      <c r="C265" s="242">
        <v>26502794000185</v>
      </c>
      <c r="D265" s="83" t="s">
        <v>739</v>
      </c>
      <c r="E265" s="83" t="s">
        <v>766</v>
      </c>
      <c r="F265" s="83" t="s">
        <v>268</v>
      </c>
      <c r="G265" s="83" t="s">
        <v>65</v>
      </c>
      <c r="H265" s="243">
        <v>3.1269999999999999E-2</v>
      </c>
      <c r="I265" s="227">
        <v>8674211.4759999998</v>
      </c>
      <c r="J265" s="225">
        <v>90</v>
      </c>
      <c r="K265" s="225">
        <v>99.100303165</v>
      </c>
      <c r="L265" s="226">
        <v>0.90817078379822735</v>
      </c>
      <c r="M265" s="227">
        <v>4625108810.3999996</v>
      </c>
      <c r="N265" s="227">
        <v>5390513988.1999998</v>
      </c>
      <c r="O265" s="228">
        <v>0.85800886901035867</v>
      </c>
      <c r="P265" s="228">
        <v>0.99524827392000004</v>
      </c>
      <c r="Q265" s="229">
        <v>0.10933333333</v>
      </c>
      <c r="R265" s="229">
        <v>0.10933333333333331</v>
      </c>
      <c r="S265" s="229">
        <v>9.1111111111111098E-3</v>
      </c>
      <c r="T265" s="230">
        <v>0.82</v>
      </c>
      <c r="U265" s="231">
        <v>-2.2589052996999998E-2</v>
      </c>
      <c r="V265" s="231">
        <v>-9.1314282856000004E-2</v>
      </c>
      <c r="W265" s="231">
        <v>1.3713854556000001E-2</v>
      </c>
      <c r="X265" s="232" t="str">
        <f t="shared" si="4"/>
        <v>Link</v>
      </c>
    </row>
    <row r="266" spans="2:24" ht="14.25" customHeight="1" x14ac:dyDescent="0.25">
      <c r="B266" s="82" t="s">
        <v>740</v>
      </c>
      <c r="C266" s="242">
        <v>28757546000100</v>
      </c>
      <c r="D266" s="83" t="s">
        <v>741</v>
      </c>
      <c r="E266" s="83" t="s">
        <v>766</v>
      </c>
      <c r="F266" s="83" t="s">
        <v>268</v>
      </c>
      <c r="G266" s="83" t="s">
        <v>61</v>
      </c>
      <c r="H266" s="243">
        <v>4.2790000000000002E-2</v>
      </c>
      <c r="I266" s="227">
        <v>16505784.448000001</v>
      </c>
      <c r="J266" s="225">
        <v>98.4</v>
      </c>
      <c r="K266" s="225">
        <v>107.56308903</v>
      </c>
      <c r="L266" s="226">
        <v>0.91481195721848085</v>
      </c>
      <c r="M266" s="227">
        <v>6327912612</v>
      </c>
      <c r="N266" s="227">
        <v>7081112753.3999996</v>
      </c>
      <c r="O266" s="228">
        <v>0.8936325168613718</v>
      </c>
      <c r="P266" s="228">
        <v>0.99907131349</v>
      </c>
      <c r="Q266" s="229">
        <v>0.11219512195</v>
      </c>
      <c r="R266" s="229">
        <v>0.11219512195121951</v>
      </c>
      <c r="S266" s="229">
        <v>9.3495934959349596E-3</v>
      </c>
      <c r="T266" s="230">
        <v>0.92</v>
      </c>
      <c r="U266" s="231">
        <v>-5.2255709608000002E-2</v>
      </c>
      <c r="V266" s="231">
        <v>-2.4542661665999999E-2</v>
      </c>
      <c r="W266" s="231">
        <v>0.10754185879</v>
      </c>
      <c r="X266" s="232" t="str">
        <f t="shared" si="4"/>
        <v>Link</v>
      </c>
    </row>
    <row r="267" spans="2:24" ht="14.25" customHeight="1" x14ac:dyDescent="0.25">
      <c r="B267" s="82" t="s">
        <v>742</v>
      </c>
      <c r="C267" s="242">
        <v>30983020000190</v>
      </c>
      <c r="D267" s="83" t="s">
        <v>743</v>
      </c>
      <c r="E267" s="83" t="s">
        <v>766</v>
      </c>
      <c r="F267" s="83" t="s">
        <v>268</v>
      </c>
      <c r="G267" s="83" t="s">
        <v>43</v>
      </c>
      <c r="H267" s="243">
        <v>1.7099999999999999E-3</v>
      </c>
      <c r="I267" s="227">
        <v>341635.96908000001</v>
      </c>
      <c r="J267" s="225">
        <v>5.83</v>
      </c>
      <c r="K267" s="225">
        <v>6.5106869253999999</v>
      </c>
      <c r="L267" s="226">
        <v>0.89545082827674438</v>
      </c>
      <c r="M267" s="227">
        <v>252451476.19999999</v>
      </c>
      <c r="N267" s="227">
        <v>329600015.72000003</v>
      </c>
      <c r="O267" s="228">
        <v>0.76593284028985353</v>
      </c>
      <c r="P267" s="228">
        <v>0.80241569652</v>
      </c>
      <c r="Q267" s="229">
        <v>0.14150943395999999</v>
      </c>
      <c r="R267" s="229">
        <v>0.14408233276157806</v>
      </c>
      <c r="S267" s="229">
        <v>1.2006861063464838E-2</v>
      </c>
      <c r="T267" s="230">
        <v>7.0000000000000007E-2</v>
      </c>
      <c r="U267" s="231">
        <v>-3.9538714991E-2</v>
      </c>
      <c r="V267" s="231">
        <v>-3.5178874494999998E-2</v>
      </c>
      <c r="W267" s="231">
        <v>0.11916779920999999</v>
      </c>
      <c r="X267" s="232" t="str">
        <f t="shared" si="4"/>
        <v>Link</v>
      </c>
    </row>
    <row r="268" spans="2:24" ht="14.25" customHeight="1" x14ac:dyDescent="0.25">
      <c r="B268" s="82" t="s">
        <v>745</v>
      </c>
      <c r="C268" s="242">
        <v>40575940000123</v>
      </c>
      <c r="D268" s="83" t="s">
        <v>746</v>
      </c>
      <c r="E268" s="83" t="s">
        <v>744</v>
      </c>
      <c r="F268" s="83" t="s">
        <v>276</v>
      </c>
      <c r="G268" s="83" t="s">
        <v>19</v>
      </c>
      <c r="H268" s="243">
        <v>0</v>
      </c>
      <c r="I268" s="227">
        <v>44466.451230999999</v>
      </c>
      <c r="J268" s="225">
        <v>9.48</v>
      </c>
      <c r="K268" s="225">
        <v>9.9916917849000004</v>
      </c>
      <c r="L268" s="226">
        <v>0.94878827370623087</v>
      </c>
      <c r="M268" s="227">
        <v>111230925.59999999</v>
      </c>
      <c r="N268" s="227">
        <v>165039415.53</v>
      </c>
      <c r="O268" s="228">
        <v>0.67396582351432899</v>
      </c>
      <c r="P268" s="228">
        <v>0.75035027206000005</v>
      </c>
      <c r="Q268" s="229">
        <v>0.14451476793000001</v>
      </c>
      <c r="R268" s="229">
        <v>0.15189873417721519</v>
      </c>
      <c r="S268" s="229">
        <v>1.2658227848101266E-2</v>
      </c>
      <c r="T268" s="230">
        <v>0.12</v>
      </c>
      <c r="U268" s="231">
        <v>-1.8633540372999999E-2</v>
      </c>
      <c r="V268" s="231">
        <v>1.2409644827000001E-2</v>
      </c>
      <c r="W268" s="231">
        <v>0.28186732139999998</v>
      </c>
      <c r="X268" s="232" t="str">
        <f t="shared" si="4"/>
        <v>Link</v>
      </c>
    </row>
    <row r="269" spans="2:24" ht="14.25" customHeight="1" x14ac:dyDescent="0.25">
      <c r="B269" s="82"/>
      <c r="C269" s="242"/>
      <c r="D269" s="83"/>
      <c r="E269" s="83"/>
      <c r="F269" s="83"/>
      <c r="G269" s="83"/>
      <c r="H269" s="243"/>
      <c r="I269" s="227"/>
      <c r="J269" s="225"/>
      <c r="K269" s="225"/>
      <c r="L269" s="226"/>
      <c r="M269" s="227"/>
      <c r="N269" s="227"/>
      <c r="O269" s="228"/>
      <c r="P269" s="228"/>
      <c r="Q269" s="229"/>
      <c r="R269" s="229"/>
      <c r="S269" s="229"/>
      <c r="T269" s="230"/>
      <c r="U269" s="231"/>
      <c r="V269" s="231"/>
      <c r="W269" s="231"/>
      <c r="X269" s="232" t="str">
        <f t="shared" si="4"/>
        <v/>
      </c>
    </row>
    <row r="270" spans="2:24" ht="14.25" customHeight="1" x14ac:dyDescent="0.25">
      <c r="B270" s="82"/>
      <c r="C270" s="242"/>
      <c r="D270" s="83"/>
      <c r="E270" s="83"/>
      <c r="F270" s="83"/>
      <c r="G270" s="83"/>
      <c r="H270" s="243"/>
      <c r="I270" s="227"/>
      <c r="J270" s="225"/>
      <c r="K270" s="225"/>
      <c r="L270" s="226"/>
      <c r="M270" s="227"/>
      <c r="N270" s="227"/>
      <c r="O270" s="228"/>
      <c r="P270" s="228"/>
      <c r="Q270" s="229"/>
      <c r="R270" s="229"/>
      <c r="S270" s="229"/>
      <c r="T270" s="230"/>
      <c r="U270" s="231"/>
      <c r="V270" s="231"/>
      <c r="W270" s="231"/>
      <c r="X270" s="232" t="str">
        <f t="shared" si="4"/>
        <v/>
      </c>
    </row>
    <row r="271" spans="2:24" ht="14.25" customHeight="1" x14ac:dyDescent="0.25">
      <c r="B271" s="82"/>
      <c r="C271" s="242"/>
      <c r="D271" s="83"/>
      <c r="E271" s="83"/>
      <c r="F271" s="83"/>
      <c r="G271" s="83"/>
      <c r="H271" s="243"/>
      <c r="I271" s="227"/>
      <c r="J271" s="225"/>
      <c r="K271" s="225"/>
      <c r="L271" s="226"/>
      <c r="M271" s="227"/>
      <c r="N271" s="227"/>
      <c r="O271" s="228"/>
      <c r="P271" s="228"/>
      <c r="Q271" s="229"/>
      <c r="R271" s="229"/>
      <c r="S271" s="229"/>
      <c r="T271" s="230"/>
      <c r="U271" s="231"/>
      <c r="V271" s="231"/>
      <c r="W271" s="231"/>
      <c r="X271" s="232" t="str">
        <f t="shared" si="4"/>
        <v/>
      </c>
    </row>
    <row r="272" spans="2:24" ht="14.25" customHeight="1" x14ac:dyDescent="0.25">
      <c r="B272" s="82"/>
      <c r="C272" s="242"/>
      <c r="D272" s="83"/>
      <c r="E272" s="83"/>
      <c r="F272" s="83"/>
      <c r="G272" s="83"/>
      <c r="H272" s="243"/>
      <c r="I272" s="227"/>
      <c r="J272" s="225"/>
      <c r="K272" s="225"/>
      <c r="L272" s="226"/>
      <c r="M272" s="227"/>
      <c r="N272" s="227"/>
      <c r="O272" s="228"/>
      <c r="P272" s="228"/>
      <c r="Q272" s="229"/>
      <c r="R272" s="229"/>
      <c r="S272" s="229"/>
      <c r="T272" s="230"/>
      <c r="U272" s="231"/>
      <c r="V272" s="231"/>
      <c r="W272" s="231"/>
      <c r="X272" s="232" t="str">
        <f t="shared" si="4"/>
        <v/>
      </c>
    </row>
    <row r="273" spans="2:24" ht="14.25" customHeight="1" x14ac:dyDescent="0.25">
      <c r="B273" s="82"/>
      <c r="C273" s="242"/>
      <c r="D273" s="83"/>
      <c r="E273" s="83"/>
      <c r="F273" s="83"/>
      <c r="G273" s="83"/>
      <c r="H273" s="243"/>
      <c r="I273" s="227"/>
      <c r="J273" s="225"/>
      <c r="K273" s="225"/>
      <c r="L273" s="226"/>
      <c r="M273" s="227"/>
      <c r="N273" s="227"/>
      <c r="O273" s="228"/>
      <c r="P273" s="228"/>
      <c r="Q273" s="229"/>
      <c r="R273" s="229"/>
      <c r="S273" s="229"/>
      <c r="T273" s="230"/>
      <c r="U273" s="231"/>
      <c r="V273" s="231"/>
      <c r="W273" s="231"/>
      <c r="X273" s="232" t="str">
        <f t="shared" si="4"/>
        <v/>
      </c>
    </row>
    <row r="274" spans="2:24" ht="14.25" customHeight="1" x14ac:dyDescent="0.25">
      <c r="B274" s="82"/>
      <c r="C274" s="242"/>
      <c r="D274" s="83"/>
      <c r="E274" s="83"/>
      <c r="F274" s="83"/>
      <c r="G274" s="83"/>
      <c r="H274" s="243"/>
      <c r="I274" s="227"/>
      <c r="J274" s="225"/>
      <c r="K274" s="225"/>
      <c r="L274" s="226"/>
      <c r="M274" s="227"/>
      <c r="N274" s="227"/>
      <c r="O274" s="228"/>
      <c r="P274" s="228"/>
      <c r="Q274" s="229"/>
      <c r="R274" s="229"/>
      <c r="S274" s="229"/>
      <c r="T274" s="230"/>
      <c r="U274" s="231"/>
      <c r="V274" s="231"/>
      <c r="W274" s="231"/>
      <c r="X274" s="232" t="str">
        <f t="shared" si="4"/>
        <v/>
      </c>
    </row>
    <row r="275" spans="2:24" ht="14.25" customHeight="1" x14ac:dyDescent="0.25">
      <c r="B275" s="82"/>
      <c r="C275" s="242"/>
      <c r="D275" s="83"/>
      <c r="E275" s="83"/>
      <c r="F275" s="83"/>
      <c r="G275" s="83"/>
      <c r="H275" s="243"/>
      <c r="I275" s="227"/>
      <c r="J275" s="225"/>
      <c r="K275" s="225"/>
      <c r="L275" s="226"/>
      <c r="M275" s="227"/>
      <c r="N275" s="227"/>
      <c r="O275" s="228"/>
      <c r="P275" s="228"/>
      <c r="Q275" s="229"/>
      <c r="R275" s="229"/>
      <c r="S275" s="229"/>
      <c r="T275" s="230"/>
      <c r="U275" s="231"/>
      <c r="V275" s="231"/>
      <c r="W275" s="231"/>
      <c r="X275" s="232" t="str">
        <f t="shared" si="4"/>
        <v/>
      </c>
    </row>
    <row r="276" spans="2:24" ht="14.25" customHeight="1" x14ac:dyDescent="0.25">
      <c r="B276" s="82"/>
      <c r="C276" s="242"/>
      <c r="D276" s="83"/>
      <c r="E276" s="83"/>
      <c r="F276" s="83"/>
      <c r="G276" s="83"/>
      <c r="H276" s="243"/>
      <c r="I276" s="227"/>
      <c r="J276" s="225"/>
      <c r="K276" s="225"/>
      <c r="L276" s="226"/>
      <c r="M276" s="227"/>
      <c r="N276" s="227"/>
      <c r="O276" s="228"/>
      <c r="P276" s="228"/>
      <c r="Q276" s="229"/>
      <c r="R276" s="229"/>
      <c r="S276" s="229"/>
      <c r="T276" s="230"/>
      <c r="U276" s="231"/>
      <c r="V276" s="231"/>
      <c r="W276" s="231"/>
      <c r="X276" s="232" t="str">
        <f t="shared" si="4"/>
        <v/>
      </c>
    </row>
    <row r="277" spans="2:24" ht="14.25" customHeight="1" x14ac:dyDescent="0.25">
      <c r="B277" s="82"/>
      <c r="C277" s="242"/>
      <c r="D277" s="83"/>
      <c r="E277" s="83"/>
      <c r="F277" s="83"/>
      <c r="G277" s="83"/>
      <c r="H277" s="243"/>
      <c r="I277" s="227"/>
      <c r="J277" s="225"/>
      <c r="K277" s="225"/>
      <c r="L277" s="226"/>
      <c r="M277" s="227"/>
      <c r="N277" s="227"/>
      <c r="O277" s="228"/>
      <c r="P277" s="228"/>
      <c r="Q277" s="229"/>
      <c r="R277" s="229"/>
      <c r="S277" s="229"/>
      <c r="T277" s="230"/>
      <c r="U277" s="231"/>
      <c r="V277" s="231"/>
      <c r="W277" s="231"/>
      <c r="X277" s="232" t="str">
        <f t="shared" si="4"/>
        <v/>
      </c>
    </row>
    <row r="278" spans="2:24" ht="14.25" customHeight="1" x14ac:dyDescent="0.25">
      <c r="B278" s="82"/>
      <c r="C278" s="242"/>
      <c r="D278" s="83"/>
      <c r="E278" s="83"/>
      <c r="F278" s="83"/>
      <c r="G278" s="83"/>
      <c r="H278" s="243"/>
      <c r="I278" s="227"/>
      <c r="J278" s="225"/>
      <c r="K278" s="225"/>
      <c r="L278" s="226"/>
      <c r="M278" s="227"/>
      <c r="N278" s="227"/>
      <c r="O278" s="228"/>
      <c r="P278" s="228"/>
      <c r="Q278" s="229"/>
      <c r="R278" s="229"/>
      <c r="S278" s="229"/>
      <c r="T278" s="230"/>
      <c r="U278" s="231"/>
      <c r="V278" s="231"/>
      <c r="W278" s="231"/>
      <c r="X278" s="232" t="str">
        <f t="shared" si="4"/>
        <v/>
      </c>
    </row>
    <row r="279" spans="2:24" ht="14.25" customHeight="1" x14ac:dyDescent="0.25">
      <c r="B279" s="82"/>
      <c r="C279" s="242"/>
      <c r="D279" s="83"/>
      <c r="E279" s="83"/>
      <c r="F279" s="83"/>
      <c r="G279" s="83"/>
      <c r="H279" s="243"/>
      <c r="I279" s="227"/>
      <c r="J279" s="225"/>
      <c r="K279" s="225"/>
      <c r="L279" s="226"/>
      <c r="M279" s="227"/>
      <c r="N279" s="227"/>
      <c r="O279" s="228"/>
      <c r="P279" s="228"/>
      <c r="Q279" s="229"/>
      <c r="R279" s="229"/>
      <c r="S279" s="229"/>
      <c r="T279" s="230"/>
      <c r="U279" s="231"/>
      <c r="V279" s="231"/>
      <c r="W279" s="231"/>
      <c r="X279" s="232" t="str">
        <f t="shared" si="4"/>
        <v/>
      </c>
    </row>
    <row r="280" spans="2:24" ht="14.25" customHeight="1" x14ac:dyDescent="0.25">
      <c r="B280" s="82"/>
      <c r="C280" s="242"/>
      <c r="D280" s="83"/>
      <c r="E280" s="83"/>
      <c r="F280" s="83"/>
      <c r="G280" s="83"/>
      <c r="H280" s="243"/>
      <c r="I280" s="227"/>
      <c r="J280" s="225"/>
      <c r="K280" s="225"/>
      <c r="L280" s="226"/>
      <c r="M280" s="227"/>
      <c r="N280" s="227"/>
      <c r="O280" s="228"/>
      <c r="P280" s="228"/>
      <c r="Q280" s="229"/>
      <c r="R280" s="229"/>
      <c r="S280" s="229"/>
      <c r="T280" s="230"/>
      <c r="U280" s="231"/>
      <c r="V280" s="231"/>
      <c r="W280" s="231"/>
      <c r="X280" s="232" t="str">
        <f t="shared" si="4"/>
        <v/>
      </c>
    </row>
    <row r="281" spans="2:24" ht="14.25" customHeight="1" x14ac:dyDescent="0.25">
      <c r="B281" s="82"/>
      <c r="C281" s="242"/>
      <c r="D281" s="83"/>
      <c r="E281" s="83"/>
      <c r="F281" s="83"/>
      <c r="G281" s="83"/>
      <c r="H281" s="243"/>
      <c r="I281" s="227"/>
      <c r="J281" s="225"/>
      <c r="K281" s="225"/>
      <c r="L281" s="226"/>
      <c r="M281" s="227"/>
      <c r="N281" s="227"/>
      <c r="O281" s="228"/>
      <c r="P281" s="228"/>
      <c r="Q281" s="229"/>
      <c r="R281" s="229"/>
      <c r="S281" s="229"/>
      <c r="T281" s="230"/>
      <c r="U281" s="231"/>
      <c r="V281" s="231"/>
      <c r="W281" s="231"/>
      <c r="X281" s="232" t="str">
        <f t="shared" si="4"/>
        <v/>
      </c>
    </row>
    <row r="282" spans="2:24" ht="14.25" customHeight="1" x14ac:dyDescent="0.25">
      <c r="B282" s="82"/>
      <c r="C282" s="242"/>
      <c r="D282" s="83"/>
      <c r="E282" s="83"/>
      <c r="F282" s="83"/>
      <c r="G282" s="83"/>
      <c r="H282" s="243"/>
      <c r="I282" s="227"/>
      <c r="J282" s="225"/>
      <c r="K282" s="225"/>
      <c r="L282" s="226"/>
      <c r="M282" s="227"/>
      <c r="N282" s="227"/>
      <c r="O282" s="228"/>
      <c r="P282" s="228"/>
      <c r="Q282" s="229"/>
      <c r="R282" s="229"/>
      <c r="S282" s="229"/>
      <c r="T282" s="230"/>
      <c r="U282" s="231"/>
      <c r="V282" s="231"/>
      <c r="W282" s="231"/>
      <c r="X282" s="232" t="str">
        <f t="shared" si="4"/>
        <v/>
      </c>
    </row>
    <row r="283" spans="2:24" ht="14.25" customHeight="1" x14ac:dyDescent="0.25">
      <c r="B283" s="82"/>
      <c r="C283" s="242"/>
      <c r="D283" s="83"/>
      <c r="E283" s="83"/>
      <c r="F283" s="83"/>
      <c r="G283" s="83"/>
      <c r="H283" s="243"/>
      <c r="I283" s="227"/>
      <c r="J283" s="225"/>
      <c r="K283" s="225"/>
      <c r="L283" s="226"/>
      <c r="M283" s="227"/>
      <c r="N283" s="227"/>
      <c r="O283" s="228"/>
      <c r="P283" s="228"/>
      <c r="Q283" s="229"/>
      <c r="R283" s="229"/>
      <c r="S283" s="229"/>
      <c r="T283" s="230"/>
      <c r="U283" s="231"/>
      <c r="V283" s="231"/>
      <c r="W283" s="231"/>
      <c r="X283" s="232" t="str">
        <f t="shared" si="4"/>
        <v/>
      </c>
    </row>
    <row r="284" spans="2:24" ht="14.25" customHeight="1" x14ac:dyDescent="0.25">
      <c r="B284" s="82"/>
      <c r="C284" s="242"/>
      <c r="D284" s="83"/>
      <c r="E284" s="83"/>
      <c r="F284" s="83"/>
      <c r="G284" s="83"/>
      <c r="H284" s="243"/>
      <c r="I284" s="227"/>
      <c r="J284" s="225"/>
      <c r="K284" s="225"/>
      <c r="L284" s="226"/>
      <c r="M284" s="227"/>
      <c r="N284" s="227"/>
      <c r="O284" s="228"/>
      <c r="P284" s="228"/>
      <c r="Q284" s="229"/>
      <c r="R284" s="229"/>
      <c r="S284" s="229"/>
      <c r="T284" s="230"/>
      <c r="U284" s="231"/>
      <c r="V284" s="231"/>
      <c r="W284" s="231"/>
      <c r="X284" s="232" t="str">
        <f t="shared" si="4"/>
        <v/>
      </c>
    </row>
    <row r="285" spans="2:24" ht="14.25" customHeight="1" x14ac:dyDescent="0.25">
      <c r="B285" s="82"/>
      <c r="C285" s="242"/>
      <c r="D285" s="83"/>
      <c r="E285" s="83"/>
      <c r="F285" s="83"/>
      <c r="G285" s="83"/>
      <c r="H285" s="243"/>
      <c r="I285" s="227"/>
      <c r="J285" s="225"/>
      <c r="K285" s="225"/>
      <c r="L285" s="226"/>
      <c r="M285" s="227"/>
      <c r="N285" s="227"/>
      <c r="O285" s="228"/>
      <c r="P285" s="228"/>
      <c r="Q285" s="229"/>
      <c r="R285" s="229"/>
      <c r="S285" s="229"/>
      <c r="T285" s="230"/>
      <c r="U285" s="231"/>
      <c r="V285" s="231"/>
      <c r="W285" s="231"/>
      <c r="X285" s="232" t="str">
        <f t="shared" si="4"/>
        <v/>
      </c>
    </row>
    <row r="286" spans="2:24" ht="14.25" customHeight="1" x14ac:dyDescent="0.25">
      <c r="B286" s="82"/>
      <c r="C286" s="242"/>
      <c r="D286" s="83"/>
      <c r="E286" s="83"/>
      <c r="F286" s="83"/>
      <c r="G286" s="83"/>
      <c r="H286" s="243"/>
      <c r="I286" s="227"/>
      <c r="J286" s="225"/>
      <c r="K286" s="225"/>
      <c r="L286" s="226"/>
      <c r="M286" s="227"/>
      <c r="N286" s="227"/>
      <c r="O286" s="228"/>
      <c r="P286" s="228"/>
      <c r="Q286" s="229"/>
      <c r="R286" s="229"/>
      <c r="S286" s="229"/>
      <c r="T286" s="230"/>
      <c r="U286" s="231"/>
      <c r="V286" s="231"/>
      <c r="W286" s="231"/>
      <c r="X286" s="232" t="str">
        <f t="shared" si="4"/>
        <v/>
      </c>
    </row>
    <row r="287" spans="2:24" ht="14.25" customHeight="1" x14ac:dyDescent="0.25">
      <c r="B287" s="82"/>
      <c r="C287" s="242"/>
      <c r="D287" s="83"/>
      <c r="E287" s="83"/>
      <c r="F287" s="83"/>
      <c r="G287" s="83"/>
      <c r="H287" s="243"/>
      <c r="I287" s="227"/>
      <c r="J287" s="225"/>
      <c r="K287" s="225"/>
      <c r="L287" s="226"/>
      <c r="M287" s="227"/>
      <c r="N287" s="227"/>
      <c r="O287" s="228"/>
      <c r="P287" s="228"/>
      <c r="Q287" s="229"/>
      <c r="R287" s="229"/>
      <c r="S287" s="229"/>
      <c r="T287" s="230"/>
      <c r="U287" s="231"/>
      <c r="V287" s="231"/>
      <c r="W287" s="231"/>
      <c r="X287" s="232" t="str">
        <f t="shared" si="4"/>
        <v/>
      </c>
    </row>
    <row r="288" spans="2:24" ht="14.25" customHeight="1" x14ac:dyDescent="0.25">
      <c r="B288" s="82"/>
      <c r="C288" s="242"/>
      <c r="D288" s="83"/>
      <c r="E288" s="83"/>
      <c r="F288" s="83"/>
      <c r="G288" s="83"/>
      <c r="H288" s="243"/>
      <c r="I288" s="227"/>
      <c r="J288" s="225"/>
      <c r="K288" s="225"/>
      <c r="L288" s="226"/>
      <c r="M288" s="227"/>
      <c r="N288" s="227"/>
      <c r="O288" s="228"/>
      <c r="P288" s="228"/>
      <c r="Q288" s="229"/>
      <c r="R288" s="229"/>
      <c r="S288" s="229"/>
      <c r="T288" s="230"/>
      <c r="U288" s="231"/>
      <c r="V288" s="231"/>
      <c r="W288" s="231"/>
      <c r="X288" s="232" t="str">
        <f t="shared" si="4"/>
        <v/>
      </c>
    </row>
    <row r="289" spans="2:24" ht="14.25" customHeight="1" x14ac:dyDescent="0.25">
      <c r="B289" s="82"/>
      <c r="C289" s="242"/>
      <c r="D289" s="83"/>
      <c r="E289" s="83"/>
      <c r="F289" s="83"/>
      <c r="G289" s="83"/>
      <c r="H289" s="243"/>
      <c r="I289" s="227"/>
      <c r="J289" s="225"/>
      <c r="K289" s="225"/>
      <c r="L289" s="226"/>
      <c r="M289" s="227"/>
      <c r="N289" s="227"/>
      <c r="O289" s="228"/>
      <c r="P289" s="228"/>
      <c r="Q289" s="229"/>
      <c r="R289" s="229"/>
      <c r="S289" s="229"/>
      <c r="T289" s="230"/>
      <c r="U289" s="231"/>
      <c r="V289" s="231"/>
      <c r="W289" s="231"/>
      <c r="X289" s="232" t="str">
        <f t="shared" si="4"/>
        <v/>
      </c>
    </row>
    <row r="290" spans="2:24" ht="14.25" customHeight="1" x14ac:dyDescent="0.25">
      <c r="B290" s="82"/>
      <c r="C290" s="242"/>
      <c r="D290" s="83"/>
      <c r="E290" s="83"/>
      <c r="F290" s="83"/>
      <c r="G290" s="83"/>
      <c r="H290" s="243"/>
      <c r="I290" s="227"/>
      <c r="J290" s="225"/>
      <c r="K290" s="225"/>
      <c r="L290" s="226"/>
      <c r="M290" s="227"/>
      <c r="N290" s="227"/>
      <c r="O290" s="228"/>
      <c r="P290" s="228"/>
      <c r="Q290" s="229"/>
      <c r="R290" s="229"/>
      <c r="S290" s="229"/>
      <c r="T290" s="230"/>
      <c r="U290" s="231"/>
      <c r="V290" s="231"/>
      <c r="W290" s="231"/>
      <c r="X290" s="232" t="str">
        <f t="shared" si="4"/>
        <v/>
      </c>
    </row>
    <row r="291" spans="2:24" ht="14.25" customHeight="1" x14ac:dyDescent="0.25">
      <c r="B291" s="82"/>
      <c r="C291" s="242"/>
      <c r="D291" s="83"/>
      <c r="E291" s="83"/>
      <c r="F291" s="83"/>
      <c r="G291" s="83"/>
      <c r="H291" s="243"/>
      <c r="I291" s="227"/>
      <c r="J291" s="225"/>
      <c r="K291" s="225"/>
      <c r="L291" s="226"/>
      <c r="M291" s="227"/>
      <c r="N291" s="227"/>
      <c r="O291" s="228"/>
      <c r="P291" s="228"/>
      <c r="Q291" s="229"/>
      <c r="R291" s="229"/>
      <c r="S291" s="229"/>
      <c r="T291" s="230"/>
      <c r="U291" s="231"/>
      <c r="V291" s="231"/>
      <c r="W291" s="231"/>
      <c r="X291" s="232" t="str">
        <f t="shared" si="4"/>
        <v/>
      </c>
    </row>
    <row r="292" spans="2:24" ht="14.25" customHeight="1" x14ac:dyDescent="0.25">
      <c r="B292" s="82"/>
      <c r="C292" s="242"/>
      <c r="D292" s="83"/>
      <c r="E292" s="83"/>
      <c r="F292" s="83"/>
      <c r="G292" s="83"/>
      <c r="H292" s="243"/>
      <c r="I292" s="227"/>
      <c r="J292" s="225"/>
      <c r="K292" s="225"/>
      <c r="L292" s="226"/>
      <c r="M292" s="227"/>
      <c r="N292" s="227"/>
      <c r="O292" s="228"/>
      <c r="P292" s="228"/>
      <c r="Q292" s="229"/>
      <c r="R292" s="229"/>
      <c r="S292" s="229"/>
      <c r="T292" s="230"/>
      <c r="U292" s="231"/>
      <c r="V292" s="231"/>
      <c r="W292" s="231"/>
      <c r="X292" s="232" t="str">
        <f t="shared" si="4"/>
        <v/>
      </c>
    </row>
    <row r="293" spans="2:24" ht="14.25" customHeight="1" x14ac:dyDescent="0.25">
      <c r="B293" s="82"/>
      <c r="C293" s="242"/>
      <c r="D293" s="83"/>
      <c r="E293" s="83"/>
      <c r="F293" s="83"/>
      <c r="G293" s="83"/>
      <c r="H293" s="243"/>
      <c r="I293" s="227"/>
      <c r="J293" s="225"/>
      <c r="K293" s="225"/>
      <c r="L293" s="226"/>
      <c r="M293" s="227"/>
      <c r="N293" s="227"/>
      <c r="O293" s="228"/>
      <c r="P293" s="228"/>
      <c r="Q293" s="229"/>
      <c r="R293" s="229"/>
      <c r="S293" s="229"/>
      <c r="T293" s="230"/>
      <c r="U293" s="231"/>
      <c r="V293" s="231"/>
      <c r="W293" s="231"/>
      <c r="X293" s="232" t="str">
        <f t="shared" si="4"/>
        <v/>
      </c>
    </row>
    <row r="294" spans="2:24" ht="14.25" customHeight="1" x14ac:dyDescent="0.25">
      <c r="B294" s="82"/>
      <c r="C294" s="242"/>
      <c r="D294" s="83"/>
      <c r="E294" s="83"/>
      <c r="F294" s="83"/>
      <c r="G294" s="83"/>
      <c r="H294" s="243"/>
      <c r="I294" s="227"/>
      <c r="J294" s="225"/>
      <c r="K294" s="225"/>
      <c r="L294" s="226"/>
      <c r="M294" s="227"/>
      <c r="N294" s="227"/>
      <c r="O294" s="228"/>
      <c r="P294" s="228"/>
      <c r="Q294" s="229"/>
      <c r="R294" s="229"/>
      <c r="S294" s="229"/>
      <c r="T294" s="230"/>
      <c r="U294" s="231"/>
      <c r="V294" s="231"/>
      <c r="W294" s="231"/>
      <c r="X294" s="232" t="str">
        <f t="shared" si="4"/>
        <v/>
      </c>
    </row>
    <row r="295" spans="2:24" ht="14.25" customHeight="1" x14ac:dyDescent="0.25">
      <c r="B295" s="82"/>
      <c r="C295" s="242"/>
      <c r="D295" s="83"/>
      <c r="E295" s="83"/>
      <c r="F295" s="83"/>
      <c r="G295" s="83"/>
      <c r="H295" s="243"/>
      <c r="I295" s="227"/>
      <c r="J295" s="225"/>
      <c r="K295" s="225"/>
      <c r="L295" s="226"/>
      <c r="M295" s="227"/>
      <c r="N295" s="227"/>
      <c r="O295" s="228"/>
      <c r="P295" s="228"/>
      <c r="Q295" s="229"/>
      <c r="R295" s="229"/>
      <c r="S295" s="229"/>
      <c r="T295" s="230"/>
      <c r="U295" s="231"/>
      <c r="V295" s="231"/>
      <c r="W295" s="231"/>
      <c r="X295" s="232" t="str">
        <f t="shared" si="4"/>
        <v/>
      </c>
    </row>
    <row r="296" spans="2:24" ht="14.25" customHeight="1" x14ac:dyDescent="0.25">
      <c r="B296" s="82"/>
      <c r="C296" s="242"/>
      <c r="D296" s="83"/>
      <c r="E296" s="83"/>
      <c r="F296" s="83"/>
      <c r="G296" s="83"/>
      <c r="H296" s="243"/>
      <c r="I296" s="227"/>
      <c r="J296" s="225"/>
      <c r="K296" s="225"/>
      <c r="L296" s="226"/>
      <c r="M296" s="227"/>
      <c r="N296" s="227"/>
      <c r="O296" s="228"/>
      <c r="P296" s="228"/>
      <c r="Q296" s="229"/>
      <c r="R296" s="229"/>
      <c r="S296" s="229"/>
      <c r="T296" s="230"/>
      <c r="U296" s="231"/>
      <c r="V296" s="231"/>
      <c r="W296" s="231"/>
      <c r="X296" s="232" t="str">
        <f t="shared" si="4"/>
        <v/>
      </c>
    </row>
    <row r="297" spans="2:24" ht="14.25" customHeight="1" x14ac:dyDescent="0.25">
      <c r="B297" s="82"/>
      <c r="C297" s="242"/>
      <c r="D297" s="83"/>
      <c r="E297" s="83"/>
      <c r="F297" s="83"/>
      <c r="G297" s="83"/>
      <c r="H297" s="243"/>
      <c r="I297" s="227"/>
      <c r="J297" s="225"/>
      <c r="K297" s="225"/>
      <c r="L297" s="226"/>
      <c r="M297" s="227"/>
      <c r="N297" s="227"/>
      <c r="O297" s="228"/>
      <c r="P297" s="228"/>
      <c r="Q297" s="229"/>
      <c r="R297" s="229"/>
      <c r="S297" s="229"/>
      <c r="T297" s="230"/>
      <c r="U297" s="231"/>
      <c r="V297" s="231"/>
      <c r="W297" s="231"/>
      <c r="X297" s="232" t="str">
        <f t="shared" si="4"/>
        <v/>
      </c>
    </row>
    <row r="298" spans="2:24" ht="14.25" customHeight="1" x14ac:dyDescent="0.25">
      <c r="B298" s="82"/>
      <c r="C298" s="242"/>
      <c r="D298" s="83"/>
      <c r="E298" s="83"/>
      <c r="F298" s="83"/>
      <c r="G298" s="83"/>
      <c r="H298" s="243"/>
      <c r="I298" s="227"/>
      <c r="J298" s="225"/>
      <c r="K298" s="225"/>
      <c r="L298" s="226"/>
      <c r="M298" s="227"/>
      <c r="N298" s="227"/>
      <c r="O298" s="228"/>
      <c r="P298" s="228"/>
      <c r="Q298" s="229"/>
      <c r="R298" s="229"/>
      <c r="S298" s="229"/>
      <c r="T298" s="230"/>
      <c r="U298" s="231"/>
      <c r="V298" s="231"/>
      <c r="W298" s="231"/>
      <c r="X298" s="232" t="str">
        <f t="shared" si="4"/>
        <v/>
      </c>
    </row>
    <row r="299" spans="2:24" ht="14.25" customHeight="1" x14ac:dyDescent="0.25">
      <c r="B299" s="82"/>
      <c r="C299" s="242"/>
      <c r="D299" s="83"/>
      <c r="E299" s="83"/>
      <c r="F299" s="83"/>
      <c r="G299" s="83"/>
      <c r="H299" s="243"/>
      <c r="I299" s="227"/>
      <c r="J299" s="225"/>
      <c r="K299" s="225"/>
      <c r="L299" s="226"/>
      <c r="M299" s="227"/>
      <c r="N299" s="227"/>
      <c r="O299" s="228"/>
      <c r="P299" s="228"/>
      <c r="Q299" s="229"/>
      <c r="R299" s="229"/>
      <c r="S299" s="229"/>
      <c r="T299" s="230"/>
      <c r="U299" s="231"/>
      <c r="V299" s="231"/>
      <c r="W299" s="231"/>
      <c r="X299" s="232" t="str">
        <f t="shared" si="4"/>
        <v/>
      </c>
    </row>
    <row r="300" spans="2:24" ht="14.25" customHeight="1" x14ac:dyDescent="0.25">
      <c r="B300" s="82"/>
      <c r="C300" s="242"/>
      <c r="D300" s="83"/>
      <c r="E300" s="83"/>
      <c r="F300" s="83"/>
      <c r="G300" s="83"/>
      <c r="H300" s="243"/>
      <c r="I300" s="227"/>
      <c r="J300" s="225"/>
      <c r="K300" s="225"/>
      <c r="L300" s="226"/>
      <c r="M300" s="227"/>
      <c r="N300" s="227"/>
      <c r="O300" s="228"/>
      <c r="P300" s="228"/>
      <c r="Q300" s="229"/>
      <c r="R300" s="229"/>
      <c r="S300" s="229"/>
      <c r="T300" s="230"/>
      <c r="U300" s="231"/>
      <c r="V300" s="231"/>
      <c r="W300" s="231"/>
      <c r="X300" s="232" t="str">
        <f t="shared" si="4"/>
        <v/>
      </c>
    </row>
    <row r="301" spans="2:24" ht="14.25" customHeight="1" x14ac:dyDescent="0.25">
      <c r="B301" s="82"/>
      <c r="C301" s="242"/>
      <c r="D301" s="83"/>
      <c r="E301" s="83"/>
      <c r="F301" s="83"/>
      <c r="G301" s="83"/>
      <c r="H301" s="243"/>
      <c r="I301" s="227"/>
      <c r="J301" s="225"/>
      <c r="K301" s="225"/>
      <c r="L301" s="226"/>
      <c r="M301" s="227"/>
      <c r="N301" s="227"/>
      <c r="O301" s="228"/>
      <c r="P301" s="228"/>
      <c r="Q301" s="229"/>
      <c r="R301" s="229"/>
      <c r="S301" s="229"/>
      <c r="T301" s="230"/>
      <c r="U301" s="231"/>
      <c r="V301" s="231"/>
      <c r="W301" s="231"/>
      <c r="X301" s="232" t="str">
        <f t="shared" si="4"/>
        <v/>
      </c>
    </row>
    <row r="302" spans="2:24" ht="14.25" customHeight="1" x14ac:dyDescent="0.25">
      <c r="B302" s="82"/>
      <c r="C302" s="242"/>
      <c r="D302" s="83"/>
      <c r="E302" s="83"/>
      <c r="F302" s="83"/>
      <c r="G302" s="83"/>
      <c r="H302" s="243"/>
      <c r="I302" s="227"/>
      <c r="J302" s="225"/>
      <c r="K302" s="225"/>
      <c r="L302" s="226"/>
      <c r="M302" s="227"/>
      <c r="N302" s="227"/>
      <c r="O302" s="228"/>
      <c r="P302" s="228"/>
      <c r="Q302" s="229"/>
      <c r="R302" s="229"/>
      <c r="S302" s="229"/>
      <c r="T302" s="230"/>
      <c r="U302" s="231"/>
      <c r="V302" s="231"/>
      <c r="W302" s="231"/>
      <c r="X302" s="232" t="str">
        <f t="shared" si="4"/>
        <v/>
      </c>
    </row>
    <row r="303" spans="2:24" ht="14.25" customHeight="1" x14ac:dyDescent="0.25">
      <c r="B303" s="82"/>
      <c r="C303" s="242"/>
      <c r="D303" s="83"/>
      <c r="E303" s="83"/>
      <c r="F303" s="83"/>
      <c r="G303" s="83"/>
      <c r="H303" s="243"/>
      <c r="I303" s="227"/>
      <c r="J303" s="225"/>
      <c r="K303" s="225"/>
      <c r="L303" s="226"/>
      <c r="M303" s="227"/>
      <c r="N303" s="227"/>
      <c r="O303" s="228"/>
      <c r="P303" s="228"/>
      <c r="Q303" s="229"/>
      <c r="R303" s="229"/>
      <c r="S303" s="229"/>
      <c r="T303" s="230"/>
      <c r="U303" s="231"/>
      <c r="V303" s="231"/>
      <c r="W303" s="231"/>
      <c r="X303" s="232" t="str">
        <f t="shared" si="4"/>
        <v/>
      </c>
    </row>
    <row r="304" spans="2:24" ht="14.25" customHeight="1" x14ac:dyDescent="0.25">
      <c r="B304" s="82"/>
      <c r="C304" s="242"/>
      <c r="D304" s="83"/>
      <c r="E304" s="83"/>
      <c r="F304" s="83"/>
      <c r="G304" s="83"/>
      <c r="H304" s="243"/>
      <c r="I304" s="227"/>
      <c r="J304" s="225"/>
      <c r="K304" s="225"/>
      <c r="L304" s="226"/>
      <c r="M304" s="227"/>
      <c r="N304" s="227"/>
      <c r="O304" s="228"/>
      <c r="P304" s="228"/>
      <c r="Q304" s="229"/>
      <c r="R304" s="229"/>
      <c r="S304" s="229"/>
      <c r="T304" s="230"/>
      <c r="U304" s="231"/>
      <c r="V304" s="231"/>
      <c r="W304" s="231"/>
      <c r="X304" s="232" t="str">
        <f t="shared" si="4"/>
        <v/>
      </c>
    </row>
    <row r="305" spans="2:24" ht="14.25" customHeight="1" x14ac:dyDescent="0.25">
      <c r="B305" s="82"/>
      <c r="C305" s="242"/>
      <c r="D305" s="83"/>
      <c r="E305" s="83"/>
      <c r="F305" s="83"/>
      <c r="G305" s="83"/>
      <c r="H305" s="243"/>
      <c r="I305" s="227"/>
      <c r="J305" s="225"/>
      <c r="K305" s="225"/>
      <c r="L305" s="226"/>
      <c r="M305" s="227"/>
      <c r="N305" s="227"/>
      <c r="O305" s="228"/>
      <c r="P305" s="228"/>
      <c r="Q305" s="229"/>
      <c r="R305" s="229"/>
      <c r="S305" s="229"/>
      <c r="T305" s="230"/>
      <c r="U305" s="231"/>
      <c r="V305" s="231"/>
      <c r="W305" s="231"/>
      <c r="X305" s="232" t="str">
        <f t="shared" si="4"/>
        <v/>
      </c>
    </row>
    <row r="306" spans="2:24" ht="14.25" customHeight="1" x14ac:dyDescent="0.25">
      <c r="B306" s="82"/>
      <c r="C306" s="242"/>
      <c r="D306" s="83"/>
      <c r="E306" s="83"/>
      <c r="F306" s="83"/>
      <c r="G306" s="83"/>
      <c r="H306" s="243"/>
      <c r="I306" s="227"/>
      <c r="J306" s="225"/>
      <c r="K306" s="225"/>
      <c r="L306" s="226"/>
      <c r="M306" s="227"/>
      <c r="N306" s="227"/>
      <c r="O306" s="228"/>
      <c r="P306" s="228"/>
      <c r="Q306" s="229"/>
      <c r="R306" s="229"/>
      <c r="S306" s="229"/>
      <c r="T306" s="230"/>
      <c r="U306" s="231"/>
      <c r="V306" s="231"/>
      <c r="W306" s="231"/>
      <c r="X306" s="232" t="str">
        <f t="shared" si="4"/>
        <v/>
      </c>
    </row>
    <row r="307" spans="2:24" ht="14.25" customHeight="1" x14ac:dyDescent="0.25">
      <c r="B307" s="82"/>
      <c r="C307" s="242"/>
      <c r="D307" s="83"/>
      <c r="E307" s="83"/>
      <c r="F307" s="83"/>
      <c r="G307" s="83"/>
      <c r="H307" s="243"/>
      <c r="I307" s="227"/>
      <c r="J307" s="225"/>
      <c r="K307" s="225"/>
      <c r="L307" s="226"/>
      <c r="M307" s="227"/>
      <c r="N307" s="227"/>
      <c r="O307" s="228"/>
      <c r="P307" s="228"/>
      <c r="Q307" s="229"/>
      <c r="R307" s="229"/>
      <c r="S307" s="229"/>
      <c r="T307" s="230"/>
      <c r="U307" s="231"/>
      <c r="V307" s="231"/>
      <c r="W307" s="231"/>
      <c r="X307" s="232" t="str">
        <f t="shared" si="4"/>
        <v/>
      </c>
    </row>
    <row r="308" spans="2:24" ht="14.25" customHeight="1" x14ac:dyDescent="0.25">
      <c r="B308" s="82"/>
      <c r="C308" s="242"/>
      <c r="D308" s="83"/>
      <c r="E308" s="83"/>
      <c r="F308" s="83"/>
      <c r="G308" s="83"/>
      <c r="H308" s="243"/>
      <c r="I308" s="227"/>
      <c r="J308" s="225"/>
      <c r="K308" s="225"/>
      <c r="L308" s="226"/>
      <c r="M308" s="227"/>
      <c r="N308" s="227"/>
      <c r="O308" s="228"/>
      <c r="P308" s="228"/>
      <c r="Q308" s="229"/>
      <c r="R308" s="229"/>
      <c r="S308" s="229"/>
      <c r="T308" s="230"/>
      <c r="U308" s="231"/>
      <c r="V308" s="231"/>
      <c r="W308" s="231"/>
      <c r="X308" s="232" t="str">
        <f t="shared" si="4"/>
        <v/>
      </c>
    </row>
    <row r="309" spans="2:24" ht="14.25" customHeight="1" x14ac:dyDescent="0.25">
      <c r="B309" s="82"/>
      <c r="C309" s="242"/>
      <c r="D309" s="83"/>
      <c r="E309" s="83"/>
      <c r="F309" s="83"/>
      <c r="G309" s="83"/>
      <c r="H309" s="243"/>
      <c r="I309" s="227"/>
      <c r="J309" s="225"/>
      <c r="K309" s="225"/>
      <c r="L309" s="226"/>
      <c r="M309" s="227"/>
      <c r="N309" s="227"/>
      <c r="O309" s="228"/>
      <c r="P309" s="228"/>
      <c r="Q309" s="229"/>
      <c r="R309" s="229"/>
      <c r="S309" s="229"/>
      <c r="T309" s="230"/>
      <c r="U309" s="231"/>
      <c r="V309" s="231"/>
      <c r="W309" s="231"/>
      <c r="X309" s="232" t="str">
        <f t="shared" si="4"/>
        <v/>
      </c>
    </row>
    <row r="310" spans="2:24" ht="14.25" customHeight="1" x14ac:dyDescent="0.25">
      <c r="B310" s="82"/>
      <c r="C310" s="242"/>
      <c r="D310" s="83"/>
      <c r="E310" s="83"/>
      <c r="F310" s="83"/>
      <c r="G310" s="83"/>
      <c r="H310" s="243"/>
      <c r="I310" s="227"/>
      <c r="J310" s="225"/>
      <c r="K310" s="225"/>
      <c r="L310" s="226"/>
      <c r="M310" s="227"/>
      <c r="N310" s="227"/>
      <c r="O310" s="228"/>
      <c r="P310" s="228"/>
      <c r="Q310" s="229"/>
      <c r="R310" s="229"/>
      <c r="S310" s="229"/>
      <c r="T310" s="230"/>
      <c r="U310" s="231"/>
      <c r="V310" s="231"/>
      <c r="W310" s="231"/>
      <c r="X310" s="232" t="str">
        <f t="shared" si="4"/>
        <v/>
      </c>
    </row>
    <row r="311" spans="2:24" ht="14.25" customHeight="1" x14ac:dyDescent="0.25">
      <c r="B311" s="82"/>
      <c r="C311" s="242"/>
      <c r="D311" s="83"/>
      <c r="E311" s="83"/>
      <c r="F311" s="83"/>
      <c r="G311" s="83"/>
      <c r="H311" s="243"/>
      <c r="I311" s="227"/>
      <c r="J311" s="225"/>
      <c r="K311" s="225"/>
      <c r="L311" s="226"/>
      <c r="M311" s="227"/>
      <c r="N311" s="227"/>
      <c r="O311" s="228"/>
      <c r="P311" s="228"/>
      <c r="Q311" s="229"/>
      <c r="R311" s="229"/>
      <c r="S311" s="229"/>
      <c r="T311" s="230"/>
      <c r="U311" s="231"/>
      <c r="V311" s="231"/>
      <c r="W311" s="231"/>
      <c r="X311" s="232" t="str">
        <f t="shared" si="4"/>
        <v/>
      </c>
    </row>
    <row r="312" spans="2:24" ht="14.25" customHeight="1" x14ac:dyDescent="0.25">
      <c r="B312" s="82"/>
      <c r="C312" s="242"/>
      <c r="D312" s="83"/>
      <c r="E312" s="83"/>
      <c r="F312" s="83"/>
      <c r="G312" s="83"/>
      <c r="H312" s="243"/>
      <c r="I312" s="227"/>
      <c r="J312" s="225"/>
      <c r="K312" s="225"/>
      <c r="L312" s="226"/>
      <c r="M312" s="227"/>
      <c r="N312" s="227"/>
      <c r="O312" s="228"/>
      <c r="P312" s="228"/>
      <c r="Q312" s="229"/>
      <c r="R312" s="229"/>
      <c r="S312" s="229"/>
      <c r="T312" s="230"/>
      <c r="U312" s="231"/>
      <c r="V312" s="231"/>
      <c r="W312" s="231"/>
      <c r="X312" s="232" t="str">
        <f t="shared" si="4"/>
        <v/>
      </c>
    </row>
    <row r="313" spans="2:24" ht="14.25" customHeight="1" x14ac:dyDescent="0.25">
      <c r="B313" s="82"/>
      <c r="C313" s="242"/>
      <c r="D313" s="83"/>
      <c r="E313" s="83"/>
      <c r="F313" s="83"/>
      <c r="G313" s="83"/>
      <c r="H313" s="243"/>
      <c r="I313" s="227"/>
      <c r="J313" s="225"/>
      <c r="K313" s="225"/>
      <c r="L313" s="226"/>
      <c r="M313" s="227"/>
      <c r="N313" s="227"/>
      <c r="O313" s="228"/>
      <c r="P313" s="228"/>
      <c r="Q313" s="229"/>
      <c r="R313" s="229"/>
      <c r="S313" s="229"/>
      <c r="T313" s="230"/>
      <c r="U313" s="231"/>
      <c r="V313" s="231"/>
      <c r="W313" s="231"/>
      <c r="X313" s="232" t="str">
        <f t="shared" si="4"/>
        <v/>
      </c>
    </row>
    <row r="314" spans="2:24" ht="14.25" customHeight="1" x14ac:dyDescent="0.25">
      <c r="B314" s="82"/>
      <c r="C314" s="242"/>
      <c r="D314" s="83"/>
      <c r="E314" s="83"/>
      <c r="F314" s="83"/>
      <c r="G314" s="83"/>
      <c r="H314" s="243"/>
      <c r="I314" s="227"/>
      <c r="J314" s="225"/>
      <c r="K314" s="225"/>
      <c r="L314" s="226"/>
      <c r="M314" s="227"/>
      <c r="N314" s="227"/>
      <c r="O314" s="228"/>
      <c r="P314" s="228"/>
      <c r="Q314" s="229"/>
      <c r="R314" s="229"/>
      <c r="S314" s="229"/>
      <c r="T314" s="230"/>
      <c r="U314" s="231"/>
      <c r="V314" s="231"/>
      <c r="W314" s="231"/>
      <c r="X314" s="232" t="str">
        <f t="shared" si="4"/>
        <v/>
      </c>
    </row>
    <row r="315" spans="2:24" ht="14.25" customHeight="1" x14ac:dyDescent="0.25">
      <c r="B315" s="82"/>
      <c r="C315" s="242"/>
      <c r="D315" s="83"/>
      <c r="E315" s="83"/>
      <c r="F315" s="83"/>
      <c r="G315" s="83"/>
      <c r="H315" s="243"/>
      <c r="I315" s="227"/>
      <c r="J315" s="225"/>
      <c r="K315" s="225"/>
      <c r="L315" s="226"/>
      <c r="M315" s="227"/>
      <c r="N315" s="227"/>
      <c r="O315" s="228"/>
      <c r="P315" s="228"/>
      <c r="Q315" s="229"/>
      <c r="R315" s="229"/>
      <c r="S315" s="229"/>
      <c r="T315" s="230"/>
      <c r="U315" s="231"/>
      <c r="V315" s="231"/>
      <c r="W315" s="231"/>
      <c r="X315" s="232" t="str">
        <f t="shared" si="4"/>
        <v/>
      </c>
    </row>
    <row r="316" spans="2:24" ht="14.25" customHeight="1" x14ac:dyDescent="0.25">
      <c r="B316" s="82"/>
      <c r="C316" s="242"/>
      <c r="D316" s="83"/>
      <c r="E316" s="83"/>
      <c r="F316" s="83"/>
      <c r="G316" s="83"/>
      <c r="H316" s="243"/>
      <c r="I316" s="227"/>
      <c r="J316" s="225"/>
      <c r="K316" s="225"/>
      <c r="L316" s="226"/>
      <c r="M316" s="227"/>
      <c r="N316" s="227"/>
      <c r="O316" s="228"/>
      <c r="P316" s="228"/>
      <c r="Q316" s="229"/>
      <c r="R316" s="229"/>
      <c r="S316" s="229"/>
      <c r="T316" s="230"/>
      <c r="U316" s="231"/>
      <c r="V316" s="231"/>
      <c r="W316" s="231"/>
      <c r="X316" s="232" t="str">
        <f t="shared" si="4"/>
        <v/>
      </c>
    </row>
    <row r="317" spans="2:24" ht="14.25" customHeight="1" x14ac:dyDescent="0.25">
      <c r="B317" s="82"/>
      <c r="C317" s="242"/>
      <c r="D317" s="83"/>
      <c r="E317" s="83"/>
      <c r="F317" s="83"/>
      <c r="G317" s="83"/>
      <c r="H317" s="243"/>
      <c r="I317" s="227"/>
      <c r="J317" s="225"/>
      <c r="K317" s="225"/>
      <c r="L317" s="226"/>
      <c r="M317" s="227"/>
      <c r="N317" s="227"/>
      <c r="O317" s="228"/>
      <c r="P317" s="228"/>
      <c r="Q317" s="229"/>
      <c r="R317" s="229"/>
      <c r="S317" s="229"/>
      <c r="T317" s="230"/>
      <c r="U317" s="231"/>
      <c r="V317" s="231"/>
      <c r="W317" s="231"/>
      <c r="X317" s="232" t="str">
        <f t="shared" si="4"/>
        <v/>
      </c>
    </row>
    <row r="318" spans="2:24" ht="14.25" customHeight="1" x14ac:dyDescent="0.25">
      <c r="B318" s="82"/>
      <c r="C318" s="242"/>
      <c r="D318" s="83"/>
      <c r="E318" s="83"/>
      <c r="F318" s="83"/>
      <c r="G318" s="83"/>
      <c r="H318" s="243"/>
      <c r="I318" s="227"/>
      <c r="J318" s="225"/>
      <c r="K318" s="225"/>
      <c r="L318" s="226"/>
      <c r="M318" s="227"/>
      <c r="N318" s="227"/>
      <c r="O318" s="228"/>
      <c r="P318" s="228"/>
      <c r="Q318" s="229"/>
      <c r="R318" s="229"/>
      <c r="S318" s="229"/>
      <c r="T318" s="230"/>
      <c r="U318" s="231"/>
      <c r="V318" s="231"/>
      <c r="W318" s="231"/>
      <c r="X318" s="232" t="str">
        <f t="shared" si="4"/>
        <v/>
      </c>
    </row>
    <row r="319" spans="2:24" ht="14.25" customHeight="1" x14ac:dyDescent="0.25">
      <c r="B319" s="82"/>
      <c r="C319" s="242"/>
      <c r="D319" s="83"/>
      <c r="E319" s="83"/>
      <c r="F319" s="83"/>
      <c r="G319" s="83"/>
      <c r="H319" s="243"/>
      <c r="I319" s="227"/>
      <c r="J319" s="225"/>
      <c r="K319" s="225"/>
      <c r="L319" s="226"/>
      <c r="M319" s="227"/>
      <c r="N319" s="227"/>
      <c r="O319" s="228"/>
      <c r="P319" s="228"/>
      <c r="Q319" s="229"/>
      <c r="R319" s="229"/>
      <c r="S319" s="229"/>
      <c r="T319" s="230"/>
      <c r="U319" s="231"/>
      <c r="V319" s="231"/>
      <c r="W319" s="231"/>
      <c r="X319" s="232" t="str">
        <f t="shared" si="4"/>
        <v/>
      </c>
    </row>
    <row r="320" spans="2:24" ht="14.25" customHeight="1" x14ac:dyDescent="0.25">
      <c r="B320" s="82"/>
      <c r="C320" s="242"/>
      <c r="D320" s="83"/>
      <c r="E320" s="83"/>
      <c r="F320" s="83"/>
      <c r="G320" s="83"/>
      <c r="H320" s="243"/>
      <c r="I320" s="227"/>
      <c r="J320" s="225"/>
      <c r="K320" s="225"/>
      <c r="L320" s="226"/>
      <c r="M320" s="227"/>
      <c r="N320" s="227"/>
      <c r="O320" s="228"/>
      <c r="P320" s="228"/>
      <c r="Q320" s="229"/>
      <c r="R320" s="229"/>
      <c r="S320" s="229"/>
      <c r="T320" s="230"/>
      <c r="U320" s="231"/>
      <c r="V320" s="231"/>
      <c r="W320" s="231"/>
      <c r="X320" s="232" t="str">
        <f t="shared" si="4"/>
        <v/>
      </c>
    </row>
    <row r="321" spans="2:24" ht="14.25" customHeight="1" x14ac:dyDescent="0.25">
      <c r="B321" s="82"/>
      <c r="C321" s="242"/>
      <c r="D321" s="83"/>
      <c r="E321" s="83"/>
      <c r="F321" s="83"/>
      <c r="G321" s="83"/>
      <c r="H321" s="243"/>
      <c r="I321" s="227"/>
      <c r="J321" s="225"/>
      <c r="K321" s="225"/>
      <c r="L321" s="226"/>
      <c r="M321" s="227"/>
      <c r="N321" s="227"/>
      <c r="O321" s="228"/>
      <c r="P321" s="228"/>
      <c r="Q321" s="229"/>
      <c r="R321" s="229"/>
      <c r="S321" s="229"/>
      <c r="T321" s="230"/>
      <c r="U321" s="231"/>
      <c r="V321" s="231"/>
      <c r="W321" s="231"/>
      <c r="X321" s="232" t="str">
        <f t="shared" si="4"/>
        <v/>
      </c>
    </row>
    <row r="322" spans="2:24" ht="14.25" customHeight="1" x14ac:dyDescent="0.25">
      <c r="B322" s="82"/>
      <c r="C322" s="242"/>
      <c r="D322" s="83"/>
      <c r="E322" s="83"/>
      <c r="F322" s="83"/>
      <c r="G322" s="83"/>
      <c r="H322" s="243"/>
      <c r="I322" s="227"/>
      <c r="J322" s="225"/>
      <c r="K322" s="225"/>
      <c r="L322" s="226"/>
      <c r="M322" s="227"/>
      <c r="N322" s="227"/>
      <c r="O322" s="228"/>
      <c r="P322" s="228"/>
      <c r="Q322" s="229"/>
      <c r="R322" s="229"/>
      <c r="S322" s="229"/>
      <c r="T322" s="230"/>
      <c r="U322" s="231"/>
      <c r="V322" s="231"/>
      <c r="W322" s="231"/>
      <c r="X322" s="232" t="str">
        <f t="shared" si="4"/>
        <v/>
      </c>
    </row>
    <row r="323" spans="2:24" ht="14.25" customHeight="1" x14ac:dyDescent="0.25">
      <c r="B323" s="82"/>
      <c r="C323" s="242"/>
      <c r="D323" s="83"/>
      <c r="E323" s="83"/>
      <c r="F323" s="83"/>
      <c r="G323" s="83"/>
      <c r="H323" s="243"/>
      <c r="I323" s="227"/>
      <c r="J323" s="225"/>
      <c r="K323" s="225"/>
      <c r="L323" s="226"/>
      <c r="M323" s="227"/>
      <c r="N323" s="227"/>
      <c r="O323" s="228"/>
      <c r="P323" s="228"/>
      <c r="Q323" s="229"/>
      <c r="R323" s="229"/>
      <c r="S323" s="229"/>
      <c r="T323" s="230"/>
      <c r="U323" s="231"/>
      <c r="V323" s="231"/>
      <c r="W323" s="231"/>
      <c r="X323" s="227"/>
    </row>
    <row r="324" spans="2:24" ht="14.25" customHeight="1" x14ac:dyDescent="0.25">
      <c r="B324" s="82"/>
      <c r="C324" s="242"/>
      <c r="D324" s="83"/>
      <c r="E324" s="83"/>
      <c r="F324" s="83"/>
      <c r="G324" s="83"/>
      <c r="H324" s="243"/>
      <c r="I324" s="227"/>
      <c r="J324" s="225"/>
      <c r="K324" s="225"/>
      <c r="L324" s="226"/>
      <c r="M324" s="227"/>
      <c r="N324" s="227"/>
      <c r="O324" s="228"/>
      <c r="P324" s="228"/>
      <c r="Q324" s="229"/>
      <c r="R324" s="229"/>
      <c r="S324" s="229"/>
      <c r="T324" s="230"/>
      <c r="U324" s="231"/>
      <c r="V324" s="231"/>
      <c r="W324" s="231"/>
      <c r="X324" s="227"/>
    </row>
    <row r="325" spans="2:24" ht="14.25" customHeight="1" x14ac:dyDescent="0.25">
      <c r="B325" s="82"/>
      <c r="C325" s="242"/>
      <c r="D325" s="83"/>
      <c r="E325" s="83"/>
      <c r="F325" s="83"/>
      <c r="G325" s="83"/>
      <c r="H325" s="243"/>
      <c r="I325" s="227"/>
      <c r="J325" s="225"/>
      <c r="K325" s="225"/>
      <c r="L325" s="226"/>
      <c r="M325" s="227"/>
      <c r="N325" s="227"/>
      <c r="O325" s="228"/>
      <c r="P325" s="228"/>
      <c r="Q325" s="229"/>
      <c r="R325" s="229"/>
      <c r="S325" s="229"/>
      <c r="T325" s="230"/>
      <c r="U325" s="231"/>
      <c r="V325" s="231"/>
      <c r="W325" s="231"/>
      <c r="X325" s="227"/>
    </row>
    <row r="326" spans="2:24" ht="14.25" customHeight="1" x14ac:dyDescent="0.25">
      <c r="B326" s="82"/>
      <c r="C326" s="242"/>
      <c r="D326" s="83"/>
      <c r="E326" s="83"/>
      <c r="F326" s="83"/>
      <c r="G326" s="83"/>
      <c r="H326" s="243"/>
      <c r="I326" s="227"/>
      <c r="J326" s="225"/>
      <c r="K326" s="225"/>
      <c r="L326" s="226"/>
      <c r="M326" s="227"/>
      <c r="N326" s="227"/>
      <c r="O326" s="228"/>
      <c r="P326" s="228"/>
      <c r="Q326" s="229"/>
      <c r="R326" s="229"/>
      <c r="S326" s="229"/>
      <c r="T326" s="230"/>
      <c r="U326" s="231"/>
      <c r="V326" s="231"/>
      <c r="W326" s="231"/>
      <c r="X326" s="227"/>
    </row>
    <row r="327" spans="2:24" ht="14.25" customHeight="1" x14ac:dyDescent="0.25">
      <c r="B327" s="82"/>
      <c r="C327" s="242"/>
      <c r="D327" s="83"/>
      <c r="E327" s="83"/>
      <c r="F327" s="83"/>
      <c r="G327" s="83"/>
      <c r="H327" s="243"/>
      <c r="I327" s="227"/>
      <c r="J327" s="225"/>
      <c r="K327" s="225"/>
      <c r="L327" s="226"/>
      <c r="M327" s="227"/>
      <c r="N327" s="227"/>
      <c r="O327" s="228"/>
      <c r="P327" s="228"/>
      <c r="Q327" s="229"/>
      <c r="R327" s="229"/>
      <c r="S327" s="229"/>
      <c r="T327" s="230"/>
      <c r="U327" s="231"/>
      <c r="V327" s="231"/>
      <c r="W327" s="231"/>
      <c r="X327" s="227"/>
    </row>
    <row r="328" spans="2:24" ht="14.25" customHeight="1" x14ac:dyDescent="0.25">
      <c r="B328" s="82"/>
      <c r="C328" s="242"/>
      <c r="D328" s="83"/>
      <c r="E328" s="83"/>
      <c r="F328" s="83"/>
      <c r="G328" s="83"/>
      <c r="H328" s="243"/>
      <c r="I328" s="227"/>
      <c r="J328" s="225"/>
      <c r="K328" s="225"/>
      <c r="L328" s="226"/>
      <c r="M328" s="227"/>
      <c r="N328" s="227"/>
      <c r="O328" s="228"/>
      <c r="P328" s="228"/>
      <c r="Q328" s="229"/>
      <c r="R328" s="229"/>
      <c r="S328" s="229"/>
      <c r="T328" s="230"/>
      <c r="U328" s="231"/>
      <c r="V328" s="231"/>
      <c r="W328" s="231"/>
      <c r="X328" s="227"/>
    </row>
    <row r="329" spans="2:24" ht="14.25" customHeight="1" x14ac:dyDescent="0.25">
      <c r="B329" s="82"/>
      <c r="C329" s="242"/>
      <c r="D329" s="83"/>
      <c r="E329" s="83"/>
      <c r="F329" s="83"/>
      <c r="G329" s="83"/>
      <c r="H329" s="243"/>
      <c r="I329" s="227"/>
      <c r="J329" s="225"/>
      <c r="K329" s="225"/>
      <c r="L329" s="226"/>
      <c r="M329" s="227"/>
      <c r="N329" s="227"/>
      <c r="O329" s="228"/>
      <c r="P329" s="228"/>
      <c r="Q329" s="229"/>
      <c r="R329" s="229"/>
      <c r="S329" s="229"/>
      <c r="T329" s="230"/>
      <c r="U329" s="231"/>
      <c r="V329" s="231"/>
      <c r="W329" s="231"/>
      <c r="X329" s="227"/>
    </row>
    <row r="330" spans="2:24" ht="14.25" customHeight="1" x14ac:dyDescent="0.25">
      <c r="B330" s="82"/>
      <c r="C330" s="242"/>
      <c r="D330" s="83"/>
      <c r="E330" s="83"/>
      <c r="F330" s="83"/>
      <c r="G330" s="83"/>
      <c r="H330" s="243"/>
      <c r="I330" s="227"/>
      <c r="J330" s="225"/>
      <c r="K330" s="225"/>
      <c r="L330" s="226"/>
      <c r="M330" s="227"/>
      <c r="N330" s="227"/>
      <c r="O330" s="228"/>
      <c r="P330" s="228"/>
      <c r="Q330" s="229"/>
      <c r="R330" s="229"/>
      <c r="S330" s="229"/>
      <c r="T330" s="230"/>
      <c r="U330" s="231"/>
      <c r="V330" s="231"/>
      <c r="W330" s="231"/>
      <c r="X330" s="227"/>
    </row>
    <row r="331" spans="2:24" ht="14.25" customHeight="1" x14ac:dyDescent="0.25">
      <c r="B331" s="82"/>
      <c r="C331" s="242"/>
      <c r="D331" s="83"/>
      <c r="E331" s="83"/>
      <c r="F331" s="83"/>
      <c r="G331" s="83"/>
      <c r="H331" s="243"/>
      <c r="I331" s="227"/>
      <c r="J331" s="225"/>
      <c r="K331" s="225"/>
      <c r="L331" s="226"/>
      <c r="M331" s="227"/>
      <c r="N331" s="227"/>
      <c r="O331" s="228"/>
      <c r="P331" s="228"/>
      <c r="Q331" s="229"/>
      <c r="R331" s="229"/>
      <c r="S331" s="229"/>
      <c r="T331" s="230"/>
      <c r="U331" s="231"/>
      <c r="V331" s="231"/>
      <c r="W331" s="231"/>
      <c r="X331" s="227"/>
    </row>
    <row r="332" spans="2:24" ht="14.25" customHeight="1" x14ac:dyDescent="0.25">
      <c r="B332" s="82"/>
      <c r="C332" s="242"/>
      <c r="D332" s="83"/>
      <c r="E332" s="83"/>
      <c r="F332" s="83"/>
      <c r="G332" s="83"/>
      <c r="H332" s="243"/>
      <c r="I332" s="227"/>
      <c r="J332" s="225"/>
      <c r="K332" s="225"/>
      <c r="L332" s="226"/>
      <c r="M332" s="227"/>
      <c r="N332" s="227"/>
      <c r="O332" s="228"/>
      <c r="P332" s="228"/>
      <c r="Q332" s="229"/>
      <c r="R332" s="229"/>
      <c r="S332" s="229"/>
      <c r="T332" s="230"/>
      <c r="U332" s="231"/>
      <c r="V332" s="231"/>
      <c r="W332" s="231"/>
      <c r="X332" s="227"/>
    </row>
    <row r="333" spans="2:24" ht="14.25" customHeight="1" x14ac:dyDescent="0.25">
      <c r="B333" s="82"/>
      <c r="C333" s="242"/>
      <c r="D333" s="83"/>
      <c r="E333" s="83"/>
      <c r="F333" s="83"/>
      <c r="G333" s="83"/>
      <c r="H333" s="243"/>
      <c r="I333" s="227"/>
      <c r="J333" s="225"/>
      <c r="K333" s="225"/>
      <c r="L333" s="226"/>
      <c r="M333" s="227"/>
      <c r="N333" s="227"/>
      <c r="O333" s="228"/>
      <c r="P333" s="228"/>
      <c r="Q333" s="229"/>
      <c r="R333" s="229"/>
      <c r="S333" s="229"/>
      <c r="T333" s="230"/>
      <c r="U333" s="231"/>
      <c r="V333" s="231"/>
      <c r="W333" s="231"/>
      <c r="X333" s="227"/>
    </row>
    <row r="334" spans="2:24" ht="14.25" customHeight="1" x14ac:dyDescent="0.25">
      <c r="B334" s="82"/>
      <c r="C334" s="242"/>
      <c r="D334" s="83"/>
      <c r="E334" s="83"/>
      <c r="F334" s="83"/>
      <c r="G334" s="83"/>
      <c r="H334" s="243"/>
      <c r="I334" s="227"/>
      <c r="J334" s="225"/>
      <c r="K334" s="225"/>
      <c r="L334" s="226"/>
      <c r="M334" s="227"/>
      <c r="N334" s="227"/>
      <c r="O334" s="228"/>
      <c r="P334" s="228"/>
      <c r="Q334" s="229"/>
      <c r="R334" s="229"/>
      <c r="S334" s="229"/>
      <c r="T334" s="230"/>
      <c r="U334" s="231"/>
      <c r="V334" s="231"/>
      <c r="W334" s="231"/>
      <c r="X334" s="227"/>
    </row>
    <row r="335" spans="2:24" ht="14.25" customHeight="1" x14ac:dyDescent="0.25">
      <c r="B335" s="82"/>
      <c r="C335" s="242"/>
      <c r="D335" s="83"/>
      <c r="E335" s="83"/>
      <c r="F335" s="83"/>
      <c r="G335" s="83"/>
      <c r="H335" s="243"/>
      <c r="I335" s="227"/>
      <c r="J335" s="225"/>
      <c r="K335" s="225"/>
      <c r="L335" s="226"/>
      <c r="M335" s="227"/>
      <c r="N335" s="227"/>
      <c r="O335" s="228"/>
      <c r="P335" s="228"/>
      <c r="Q335" s="229"/>
      <c r="R335" s="229"/>
      <c r="S335" s="229"/>
      <c r="T335" s="230"/>
      <c r="U335" s="231"/>
      <c r="V335" s="231"/>
      <c r="W335" s="231"/>
      <c r="X335" s="227"/>
    </row>
    <row r="336" spans="2:24" ht="14.25" customHeight="1" x14ac:dyDescent="0.25">
      <c r="B336" s="82"/>
      <c r="C336" s="242"/>
      <c r="D336" s="83"/>
      <c r="E336" s="83"/>
      <c r="F336" s="83"/>
      <c r="G336" s="83"/>
      <c r="H336" s="243"/>
      <c r="I336" s="227"/>
      <c r="J336" s="225"/>
      <c r="K336" s="225"/>
      <c r="L336" s="226"/>
      <c r="M336" s="227"/>
      <c r="N336" s="227"/>
      <c r="O336" s="228"/>
      <c r="P336" s="228"/>
      <c r="Q336" s="229"/>
      <c r="R336" s="229"/>
      <c r="S336" s="229"/>
      <c r="T336" s="230"/>
      <c r="U336" s="231"/>
      <c r="V336" s="231"/>
      <c r="W336" s="231"/>
      <c r="X336" s="227"/>
    </row>
    <row r="337" spans="2:24" ht="14.25" customHeight="1" x14ac:dyDescent="0.25">
      <c r="B337" s="82"/>
      <c r="C337" s="242"/>
      <c r="D337" s="83"/>
      <c r="E337" s="83"/>
      <c r="F337" s="83"/>
      <c r="G337" s="83"/>
      <c r="H337" s="243"/>
      <c r="I337" s="227"/>
      <c r="J337" s="225"/>
      <c r="K337" s="225"/>
      <c r="L337" s="226"/>
      <c r="M337" s="227"/>
      <c r="N337" s="227"/>
      <c r="O337" s="228"/>
      <c r="P337" s="228"/>
      <c r="Q337" s="229"/>
      <c r="R337" s="229"/>
      <c r="S337" s="229"/>
      <c r="T337" s="230"/>
      <c r="U337" s="231"/>
      <c r="V337" s="231"/>
      <c r="W337" s="231"/>
      <c r="X337" s="227"/>
    </row>
    <row r="338" spans="2:24" ht="14.25" customHeight="1" x14ac:dyDescent="0.25">
      <c r="B338" s="82"/>
      <c r="C338" s="242"/>
      <c r="D338" s="83"/>
      <c r="E338" s="83"/>
      <c r="F338" s="83"/>
      <c r="G338" s="83"/>
      <c r="H338" s="243"/>
      <c r="I338" s="227"/>
      <c r="J338" s="225"/>
      <c r="K338" s="225"/>
      <c r="L338" s="226"/>
      <c r="M338" s="227"/>
      <c r="N338" s="227"/>
      <c r="O338" s="228"/>
      <c r="P338" s="228"/>
      <c r="Q338" s="229"/>
      <c r="R338" s="229"/>
      <c r="S338" s="229"/>
      <c r="T338" s="230"/>
      <c r="U338" s="231"/>
      <c r="V338" s="231"/>
      <c r="W338" s="231"/>
      <c r="X338" s="227"/>
    </row>
    <row r="339" spans="2:24" ht="14.25" customHeight="1" x14ac:dyDescent="0.25">
      <c r="B339" s="82"/>
      <c r="C339" s="242"/>
      <c r="D339" s="83"/>
      <c r="E339" s="83"/>
      <c r="F339" s="83"/>
      <c r="G339" s="83"/>
      <c r="H339" s="243"/>
      <c r="I339" s="227"/>
      <c r="J339" s="225"/>
      <c r="K339" s="225"/>
      <c r="L339" s="226"/>
      <c r="M339" s="227"/>
      <c r="N339" s="227"/>
      <c r="O339" s="228"/>
      <c r="P339" s="228"/>
      <c r="Q339" s="229"/>
      <c r="R339" s="229"/>
      <c r="S339" s="229"/>
      <c r="T339" s="230"/>
      <c r="U339" s="231"/>
      <c r="V339" s="231"/>
      <c r="W339" s="231"/>
      <c r="X339" s="227"/>
    </row>
    <row r="340" spans="2:24" ht="14.25" customHeight="1" x14ac:dyDescent="0.25">
      <c r="B340" s="82"/>
      <c r="C340" s="242"/>
      <c r="D340" s="83"/>
      <c r="E340" s="83"/>
      <c r="F340" s="83"/>
      <c r="G340" s="83"/>
      <c r="H340" s="243"/>
      <c r="I340" s="227"/>
      <c r="J340" s="225"/>
      <c r="K340" s="225"/>
      <c r="L340" s="226"/>
      <c r="M340" s="227"/>
      <c r="N340" s="227"/>
      <c r="O340" s="228"/>
      <c r="P340" s="228"/>
      <c r="Q340" s="229"/>
      <c r="R340" s="229"/>
      <c r="S340" s="229"/>
      <c r="T340" s="230"/>
      <c r="U340" s="231"/>
      <c r="V340" s="231"/>
      <c r="W340" s="231"/>
      <c r="X340" s="227"/>
    </row>
    <row r="341" spans="2:24" ht="14.25" customHeight="1" x14ac:dyDescent="0.25">
      <c r="B341" s="82"/>
      <c r="C341" s="242"/>
      <c r="D341" s="83"/>
      <c r="E341" s="83"/>
      <c r="F341" s="83"/>
      <c r="G341" s="83"/>
      <c r="H341" s="243"/>
      <c r="I341" s="227"/>
      <c r="J341" s="225"/>
      <c r="K341" s="225"/>
      <c r="L341" s="226"/>
      <c r="M341" s="227"/>
      <c r="N341" s="227"/>
      <c r="O341" s="228"/>
      <c r="P341" s="228"/>
      <c r="Q341" s="229"/>
      <c r="R341" s="229"/>
      <c r="S341" s="229"/>
      <c r="T341" s="230"/>
      <c r="U341" s="231"/>
      <c r="V341" s="231"/>
      <c r="W341" s="231"/>
      <c r="X341" s="227"/>
    </row>
    <row r="342" spans="2:24" ht="14.25" customHeight="1" x14ac:dyDescent="0.25">
      <c r="B342" s="82"/>
      <c r="C342" s="242"/>
      <c r="D342" s="83"/>
      <c r="E342" s="83"/>
      <c r="F342" s="83"/>
      <c r="G342" s="83"/>
      <c r="H342" s="243"/>
      <c r="I342" s="227"/>
      <c r="J342" s="225"/>
      <c r="K342" s="225"/>
      <c r="L342" s="226"/>
      <c r="M342" s="227"/>
      <c r="N342" s="227"/>
      <c r="O342" s="228"/>
      <c r="P342" s="228"/>
      <c r="Q342" s="229"/>
      <c r="R342" s="229"/>
      <c r="S342" s="229"/>
      <c r="T342" s="230"/>
      <c r="U342" s="231"/>
      <c r="V342" s="231"/>
      <c r="W342" s="231"/>
      <c r="X342" s="227"/>
    </row>
    <row r="343" spans="2:24" ht="14.25" customHeight="1" x14ac:dyDescent="0.25">
      <c r="B343" s="82"/>
      <c r="C343" s="242"/>
      <c r="D343" s="83"/>
      <c r="E343" s="83"/>
      <c r="F343" s="83"/>
      <c r="G343" s="83"/>
      <c r="H343" s="243"/>
      <c r="I343" s="227"/>
      <c r="J343" s="225"/>
      <c r="K343" s="225"/>
      <c r="L343" s="226"/>
      <c r="M343" s="227"/>
      <c r="N343" s="227"/>
      <c r="O343" s="228"/>
      <c r="P343" s="228"/>
      <c r="Q343" s="229"/>
      <c r="R343" s="229"/>
      <c r="S343" s="229"/>
      <c r="T343" s="230"/>
      <c r="U343" s="231"/>
      <c r="V343" s="231"/>
      <c r="W343" s="231"/>
      <c r="X343" s="227"/>
    </row>
    <row r="344" spans="2:24" ht="14.25" customHeight="1" x14ac:dyDescent="0.25">
      <c r="B344" s="82"/>
      <c r="C344" s="242"/>
      <c r="D344" s="83"/>
      <c r="E344" s="83"/>
      <c r="F344" s="83"/>
      <c r="G344" s="83"/>
      <c r="H344" s="243"/>
      <c r="I344" s="227"/>
      <c r="J344" s="225"/>
      <c r="K344" s="225"/>
      <c r="L344" s="226"/>
      <c r="M344" s="227"/>
      <c r="N344" s="227"/>
      <c r="O344" s="228"/>
      <c r="P344" s="228"/>
      <c r="Q344" s="229"/>
      <c r="R344" s="229"/>
      <c r="S344" s="229"/>
      <c r="T344" s="230"/>
      <c r="U344" s="231"/>
      <c r="V344" s="231"/>
      <c r="W344" s="231"/>
      <c r="X344" s="227"/>
    </row>
    <row r="345" spans="2:24" ht="14.25" customHeight="1" x14ac:dyDescent="0.25">
      <c r="B345" s="82"/>
      <c r="C345" s="242"/>
      <c r="D345" s="83"/>
      <c r="E345" s="83"/>
      <c r="F345" s="83"/>
      <c r="G345" s="83"/>
      <c r="H345" s="243"/>
      <c r="I345" s="227"/>
      <c r="J345" s="225"/>
      <c r="K345" s="225"/>
      <c r="L345" s="226"/>
      <c r="M345" s="227"/>
      <c r="N345" s="227"/>
      <c r="O345" s="228"/>
      <c r="P345" s="228"/>
      <c r="Q345" s="229"/>
      <c r="R345" s="229"/>
      <c r="S345" s="229"/>
      <c r="T345" s="230"/>
      <c r="U345" s="231"/>
      <c r="V345" s="231"/>
      <c r="W345" s="231"/>
      <c r="X345" s="227"/>
    </row>
    <row r="346" spans="2:24" ht="14.25" customHeight="1" x14ac:dyDescent="0.25">
      <c r="B346" s="82"/>
      <c r="C346" s="242"/>
      <c r="D346" s="83"/>
      <c r="E346" s="83"/>
      <c r="F346" s="83"/>
      <c r="G346" s="83"/>
      <c r="H346" s="243"/>
      <c r="I346" s="227"/>
      <c r="J346" s="225"/>
      <c r="K346" s="225"/>
      <c r="L346" s="226"/>
      <c r="M346" s="227"/>
      <c r="N346" s="227"/>
      <c r="O346" s="228"/>
      <c r="P346" s="228"/>
      <c r="Q346" s="229"/>
      <c r="R346" s="229"/>
      <c r="S346" s="229"/>
      <c r="T346" s="230"/>
      <c r="U346" s="231"/>
      <c r="V346" s="231"/>
      <c r="W346" s="231"/>
      <c r="X346" s="227"/>
    </row>
    <row r="347" spans="2:24" ht="14.25" customHeight="1" x14ac:dyDescent="0.25">
      <c r="B347" s="82"/>
      <c r="C347" s="242"/>
      <c r="D347" s="83"/>
      <c r="E347" s="83"/>
      <c r="F347" s="83"/>
      <c r="G347" s="83"/>
      <c r="H347" s="243"/>
      <c r="I347" s="227"/>
      <c r="J347" s="225"/>
      <c r="K347" s="225"/>
      <c r="L347" s="226"/>
      <c r="M347" s="227"/>
      <c r="N347" s="227"/>
      <c r="O347" s="228"/>
      <c r="P347" s="228"/>
      <c r="Q347" s="229"/>
      <c r="R347" s="229"/>
      <c r="S347" s="229"/>
      <c r="T347" s="230"/>
      <c r="U347" s="231"/>
      <c r="V347" s="231"/>
      <c r="W347" s="231"/>
      <c r="X347" s="227"/>
    </row>
    <row r="348" spans="2:24" ht="14.25" customHeight="1" x14ac:dyDescent="0.25">
      <c r="B348" s="82"/>
      <c r="C348" s="242"/>
      <c r="D348" s="83"/>
      <c r="E348" s="83"/>
      <c r="F348" s="83"/>
      <c r="G348" s="83"/>
      <c r="H348" s="243"/>
      <c r="I348" s="227"/>
      <c r="J348" s="225"/>
      <c r="K348" s="225"/>
      <c r="L348" s="226"/>
      <c r="M348" s="227"/>
      <c r="N348" s="227"/>
      <c r="O348" s="228"/>
      <c r="P348" s="228"/>
      <c r="Q348" s="229"/>
      <c r="R348" s="229"/>
      <c r="S348" s="229"/>
      <c r="T348" s="230"/>
      <c r="U348" s="231"/>
      <c r="V348" s="231"/>
      <c r="W348" s="231"/>
      <c r="X348" s="227"/>
    </row>
    <row r="349" spans="2:24" ht="14.25" customHeight="1" x14ac:dyDescent="0.25">
      <c r="B349" s="82"/>
      <c r="C349" s="242"/>
      <c r="D349" s="83"/>
      <c r="E349" s="83"/>
      <c r="F349" s="83"/>
      <c r="G349" s="83"/>
      <c r="H349" s="243"/>
      <c r="I349" s="227"/>
      <c r="J349" s="225"/>
      <c r="K349" s="225"/>
      <c r="L349" s="226"/>
      <c r="M349" s="227"/>
      <c r="N349" s="227"/>
      <c r="O349" s="228"/>
      <c r="P349" s="228"/>
      <c r="Q349" s="229"/>
      <c r="R349" s="229"/>
      <c r="S349" s="229"/>
      <c r="T349" s="230"/>
      <c r="U349" s="231"/>
      <c r="V349" s="231"/>
      <c r="W349" s="231"/>
      <c r="X349" s="227"/>
    </row>
    <row r="350" spans="2:24" ht="14.25" customHeight="1" x14ac:dyDescent="0.25">
      <c r="B350" s="82"/>
      <c r="C350" s="242"/>
      <c r="D350" s="83"/>
      <c r="E350" s="83"/>
      <c r="F350" s="83"/>
      <c r="G350" s="83"/>
      <c r="H350" s="243"/>
      <c r="I350" s="227"/>
      <c r="J350" s="225"/>
      <c r="K350" s="225"/>
      <c r="L350" s="226"/>
      <c r="M350" s="227"/>
      <c r="N350" s="227"/>
      <c r="O350" s="228"/>
      <c r="P350" s="228"/>
      <c r="Q350" s="229"/>
      <c r="R350" s="229"/>
      <c r="S350" s="229"/>
      <c r="T350" s="230"/>
      <c r="U350" s="231"/>
      <c r="V350" s="231"/>
      <c r="W350" s="231"/>
      <c r="X350" s="227"/>
    </row>
    <row r="351" spans="2:24" ht="14.25" customHeight="1" x14ac:dyDescent="0.25">
      <c r="B351" s="82"/>
      <c r="C351" s="242"/>
      <c r="D351" s="83"/>
      <c r="E351" s="83"/>
      <c r="F351" s="83"/>
      <c r="G351" s="83"/>
      <c r="H351" s="243"/>
      <c r="I351" s="227"/>
      <c r="J351" s="225"/>
      <c r="K351" s="225"/>
      <c r="L351" s="226"/>
      <c r="M351" s="227"/>
      <c r="N351" s="227"/>
      <c r="O351" s="228"/>
      <c r="P351" s="228"/>
      <c r="Q351" s="229"/>
      <c r="R351" s="229"/>
      <c r="S351" s="229"/>
      <c r="T351" s="230"/>
      <c r="U351" s="231"/>
      <c r="V351" s="231"/>
      <c r="W351" s="231"/>
      <c r="X351" s="227"/>
    </row>
    <row r="352" spans="2:24" ht="14.25" customHeight="1" x14ac:dyDescent="0.25">
      <c r="B352" s="82"/>
      <c r="C352" s="242"/>
      <c r="D352" s="83"/>
      <c r="E352" s="83"/>
      <c r="F352" s="83"/>
      <c r="G352" s="83"/>
      <c r="H352" s="243"/>
      <c r="I352" s="227"/>
      <c r="J352" s="225"/>
      <c r="K352" s="225"/>
      <c r="L352" s="226"/>
      <c r="M352" s="227"/>
      <c r="N352" s="227"/>
      <c r="O352" s="228"/>
      <c r="P352" s="228"/>
      <c r="Q352" s="229"/>
      <c r="R352" s="229"/>
      <c r="S352" s="229"/>
      <c r="T352" s="230"/>
      <c r="U352" s="231"/>
      <c r="V352" s="231"/>
      <c r="W352" s="231"/>
      <c r="X352" s="227"/>
    </row>
    <row r="353" spans="2:24" ht="14.25" customHeight="1" x14ac:dyDescent="0.25">
      <c r="B353" s="82"/>
      <c r="C353" s="242"/>
      <c r="D353" s="83"/>
      <c r="E353" s="83"/>
      <c r="F353" s="83"/>
      <c r="G353" s="83"/>
      <c r="H353" s="243"/>
      <c r="I353" s="227"/>
      <c r="J353" s="225"/>
      <c r="K353" s="225"/>
      <c r="L353" s="226"/>
      <c r="M353" s="227"/>
      <c r="N353" s="227"/>
      <c r="O353" s="228"/>
      <c r="P353" s="228"/>
      <c r="Q353" s="229"/>
      <c r="R353" s="229"/>
      <c r="S353" s="229"/>
      <c r="T353" s="230"/>
      <c r="U353" s="231"/>
      <c r="V353" s="231"/>
      <c r="W353" s="231"/>
      <c r="X353" s="227"/>
    </row>
    <row r="354" spans="2:24" ht="14.25" customHeight="1" x14ac:dyDescent="0.25">
      <c r="B354" s="82"/>
      <c r="C354" s="242"/>
      <c r="D354" s="83"/>
      <c r="E354" s="83"/>
      <c r="F354" s="83"/>
      <c r="G354" s="83"/>
      <c r="H354" s="243"/>
      <c r="I354" s="227"/>
      <c r="J354" s="225"/>
      <c r="K354" s="225"/>
      <c r="L354" s="226"/>
      <c r="M354" s="227"/>
      <c r="N354" s="227"/>
      <c r="O354" s="228"/>
      <c r="P354" s="228"/>
      <c r="Q354" s="229"/>
      <c r="R354" s="229"/>
      <c r="S354" s="229"/>
      <c r="T354" s="230"/>
      <c r="U354" s="231"/>
      <c r="V354" s="231"/>
      <c r="W354" s="231"/>
      <c r="X354" s="227"/>
    </row>
    <row r="355" spans="2:24" ht="14.25" customHeight="1" x14ac:dyDescent="0.25">
      <c r="B355" s="82"/>
      <c r="C355" s="242"/>
      <c r="D355" s="83"/>
      <c r="E355" s="83"/>
      <c r="F355" s="83"/>
      <c r="G355" s="83"/>
      <c r="H355" s="243"/>
      <c r="I355" s="227"/>
      <c r="J355" s="225"/>
      <c r="K355" s="225"/>
      <c r="L355" s="226"/>
      <c r="M355" s="227"/>
      <c r="N355" s="227"/>
      <c r="O355" s="228"/>
      <c r="P355" s="228"/>
      <c r="Q355" s="229"/>
      <c r="R355" s="229"/>
      <c r="S355" s="229"/>
      <c r="T355" s="230"/>
      <c r="U355" s="231"/>
      <c r="V355" s="231"/>
      <c r="W355" s="231"/>
      <c r="X355" s="227"/>
    </row>
    <row r="356" spans="2:24" ht="14.25" customHeight="1" x14ac:dyDescent="0.25">
      <c r="B356" s="82"/>
      <c r="C356" s="242"/>
      <c r="D356" s="83"/>
      <c r="E356" s="83"/>
      <c r="F356" s="83"/>
      <c r="G356" s="83"/>
      <c r="H356" s="243"/>
      <c r="I356" s="227"/>
      <c r="J356" s="225"/>
      <c r="K356" s="225"/>
      <c r="L356" s="226"/>
      <c r="M356" s="227"/>
      <c r="N356" s="227"/>
      <c r="O356" s="228"/>
      <c r="P356" s="228"/>
      <c r="Q356" s="229"/>
      <c r="R356" s="229"/>
      <c r="S356" s="229"/>
      <c r="T356" s="230"/>
      <c r="U356" s="231"/>
      <c r="V356" s="231"/>
      <c r="W356" s="231"/>
      <c r="X356" s="227"/>
    </row>
    <row r="357" spans="2:24" ht="14.25" customHeight="1" x14ac:dyDescent="0.25">
      <c r="B357" s="82"/>
      <c r="C357" s="242"/>
      <c r="D357" s="83"/>
      <c r="E357" s="83"/>
      <c r="F357" s="83"/>
      <c r="G357" s="83"/>
      <c r="H357" s="243"/>
      <c r="I357" s="227"/>
      <c r="J357" s="225"/>
      <c r="K357" s="225"/>
      <c r="L357" s="226"/>
      <c r="M357" s="227"/>
      <c r="N357" s="227"/>
      <c r="O357" s="228"/>
      <c r="P357" s="228"/>
      <c r="Q357" s="229"/>
      <c r="R357" s="229"/>
      <c r="S357" s="229"/>
      <c r="T357" s="230"/>
      <c r="U357" s="231"/>
      <c r="V357" s="231"/>
      <c r="W357" s="231"/>
      <c r="X357" s="227"/>
    </row>
    <row r="358" spans="2:24" ht="14.25" customHeight="1" x14ac:dyDescent="0.25">
      <c r="B358" s="82"/>
      <c r="C358" s="242"/>
      <c r="D358" s="83"/>
      <c r="E358" s="83"/>
      <c r="F358" s="83"/>
      <c r="G358" s="83"/>
      <c r="H358" s="243"/>
      <c r="I358" s="227"/>
      <c r="J358" s="225"/>
      <c r="K358" s="225"/>
      <c r="L358" s="226"/>
      <c r="M358" s="227"/>
      <c r="N358" s="227"/>
      <c r="O358" s="228"/>
      <c r="P358" s="228"/>
      <c r="Q358" s="229"/>
      <c r="R358" s="229"/>
      <c r="S358" s="229"/>
      <c r="T358" s="230"/>
      <c r="U358" s="231"/>
      <c r="V358" s="231"/>
      <c r="W358" s="231"/>
      <c r="X358" s="227"/>
    </row>
    <row r="359" spans="2:24" ht="14.25" customHeight="1" x14ac:dyDescent="0.25">
      <c r="B359" s="82"/>
      <c r="C359" s="242"/>
      <c r="D359" s="83"/>
      <c r="E359" s="83"/>
      <c r="F359" s="83"/>
      <c r="G359" s="83"/>
      <c r="H359" s="243"/>
      <c r="I359" s="227"/>
      <c r="J359" s="225"/>
      <c r="K359" s="225"/>
      <c r="L359" s="226"/>
      <c r="M359" s="227"/>
      <c r="N359" s="227"/>
      <c r="O359" s="228"/>
      <c r="P359" s="228"/>
      <c r="Q359" s="229"/>
      <c r="R359" s="229"/>
      <c r="S359" s="229"/>
      <c r="T359" s="230"/>
      <c r="U359" s="231"/>
      <c r="V359" s="231"/>
      <c r="W359" s="231"/>
      <c r="X359" s="227"/>
    </row>
    <row r="360" spans="2:24" ht="14.25" customHeight="1" x14ac:dyDescent="0.25">
      <c r="B360" s="82"/>
      <c r="C360" s="242"/>
      <c r="D360" s="83"/>
      <c r="E360" s="83"/>
      <c r="F360" s="83"/>
      <c r="G360" s="83"/>
      <c r="H360" s="243"/>
      <c r="I360" s="227"/>
      <c r="J360" s="225"/>
      <c r="K360" s="225"/>
      <c r="L360" s="226"/>
      <c r="M360" s="227"/>
      <c r="N360" s="227"/>
      <c r="O360" s="228"/>
      <c r="P360" s="228"/>
      <c r="Q360" s="229"/>
      <c r="R360" s="229"/>
      <c r="S360" s="229"/>
      <c r="T360" s="230"/>
      <c r="U360" s="231"/>
      <c r="V360" s="231"/>
      <c r="W360" s="231"/>
      <c r="X360" s="227"/>
    </row>
    <row r="361" spans="2:24" ht="14.25" customHeight="1" x14ac:dyDescent="0.25">
      <c r="B361" s="82"/>
      <c r="C361" s="242"/>
      <c r="D361" s="83"/>
      <c r="E361" s="83"/>
      <c r="F361" s="83"/>
      <c r="G361" s="83"/>
      <c r="H361" s="243"/>
      <c r="I361" s="227"/>
      <c r="J361" s="225"/>
      <c r="K361" s="225"/>
      <c r="L361" s="226"/>
      <c r="M361" s="227"/>
      <c r="N361" s="227"/>
      <c r="O361" s="228"/>
      <c r="P361" s="228"/>
      <c r="Q361" s="229"/>
      <c r="R361" s="229"/>
      <c r="S361" s="229"/>
      <c r="T361" s="230"/>
      <c r="U361" s="231"/>
      <c r="V361" s="231"/>
      <c r="W361" s="231"/>
      <c r="X361" s="227"/>
    </row>
    <row r="362" spans="2:24" ht="14.25" customHeight="1" x14ac:dyDescent="0.25">
      <c r="B362" s="82"/>
      <c r="C362" s="242"/>
      <c r="D362" s="83"/>
      <c r="E362" s="83"/>
      <c r="F362" s="83"/>
      <c r="G362" s="83"/>
      <c r="H362" s="243"/>
      <c r="I362" s="227"/>
      <c r="J362" s="225"/>
      <c r="K362" s="225"/>
      <c r="L362" s="226"/>
      <c r="M362" s="227"/>
      <c r="N362" s="227"/>
      <c r="O362" s="228"/>
      <c r="P362" s="228"/>
      <c r="Q362" s="229"/>
      <c r="R362" s="229"/>
      <c r="S362" s="229"/>
      <c r="T362" s="230"/>
      <c r="U362" s="231"/>
      <c r="V362" s="231"/>
      <c r="W362" s="231"/>
      <c r="X362" s="227"/>
    </row>
    <row r="363" spans="2:24" ht="14.25" customHeight="1" x14ac:dyDescent="0.25">
      <c r="B363" s="82"/>
      <c r="C363" s="242"/>
      <c r="D363" s="83"/>
      <c r="E363" s="83"/>
      <c r="F363" s="83"/>
      <c r="G363" s="83"/>
      <c r="H363" s="243"/>
      <c r="I363" s="227"/>
      <c r="J363" s="225"/>
      <c r="K363" s="225"/>
      <c r="L363" s="226"/>
      <c r="M363" s="227"/>
      <c r="N363" s="227"/>
      <c r="O363" s="228"/>
      <c r="P363" s="228"/>
      <c r="Q363" s="229"/>
      <c r="R363" s="229"/>
      <c r="S363" s="229"/>
      <c r="T363" s="230"/>
      <c r="U363" s="231"/>
      <c r="V363" s="231"/>
      <c r="W363" s="231"/>
      <c r="X363" s="227"/>
    </row>
    <row r="364" spans="2:24" ht="14.25" customHeight="1" x14ac:dyDescent="0.25">
      <c r="B364" s="82"/>
      <c r="C364" s="242"/>
      <c r="D364" s="83"/>
      <c r="E364" s="83"/>
      <c r="F364" s="83"/>
      <c r="G364" s="83"/>
      <c r="H364" s="243"/>
      <c r="I364" s="227"/>
      <c r="J364" s="225"/>
      <c r="K364" s="225"/>
      <c r="L364" s="226"/>
      <c r="M364" s="227"/>
      <c r="N364" s="227"/>
      <c r="O364" s="228"/>
      <c r="P364" s="228"/>
      <c r="Q364" s="229"/>
      <c r="R364" s="229"/>
      <c r="S364" s="229"/>
      <c r="T364" s="230"/>
      <c r="U364" s="231"/>
      <c r="V364" s="231"/>
      <c r="W364" s="231"/>
      <c r="X364" s="227"/>
    </row>
    <row r="365" spans="2:24" ht="14.25" customHeight="1" x14ac:dyDescent="0.25">
      <c r="B365" s="82"/>
      <c r="C365" s="242"/>
      <c r="D365" s="83"/>
      <c r="E365" s="83"/>
      <c r="F365" s="83"/>
      <c r="G365" s="83"/>
      <c r="H365" s="243"/>
      <c r="I365" s="227"/>
      <c r="J365" s="225"/>
      <c r="K365" s="225"/>
      <c r="L365" s="226"/>
      <c r="M365" s="227"/>
      <c r="N365" s="227"/>
      <c r="O365" s="228"/>
      <c r="P365" s="228"/>
      <c r="Q365" s="229"/>
      <c r="R365" s="229"/>
      <c r="S365" s="229"/>
      <c r="T365" s="230"/>
      <c r="U365" s="231"/>
      <c r="V365" s="231"/>
      <c r="W365" s="231"/>
      <c r="X365" s="227"/>
    </row>
    <row r="366" spans="2:24" ht="14.25" customHeight="1" x14ac:dyDescent="0.25">
      <c r="B366" s="82"/>
      <c r="C366" s="242"/>
      <c r="D366" s="83"/>
      <c r="E366" s="83"/>
      <c r="F366" s="83"/>
      <c r="G366" s="83"/>
      <c r="H366" s="243"/>
      <c r="I366" s="227"/>
      <c r="J366" s="225"/>
      <c r="K366" s="225"/>
      <c r="L366" s="226"/>
      <c r="M366" s="227"/>
      <c r="N366" s="227"/>
      <c r="O366" s="228"/>
      <c r="P366" s="228"/>
      <c r="Q366" s="229"/>
      <c r="R366" s="229"/>
      <c r="S366" s="229"/>
      <c r="T366" s="230"/>
      <c r="U366" s="231"/>
      <c r="V366" s="231"/>
      <c r="W366" s="231"/>
      <c r="X366" s="227"/>
    </row>
    <row r="367" spans="2:24" ht="14.25" customHeight="1" x14ac:dyDescent="0.25">
      <c r="B367" s="82"/>
      <c r="C367" s="242"/>
      <c r="D367" s="83"/>
      <c r="E367" s="83"/>
      <c r="F367" s="83"/>
      <c r="G367" s="83"/>
      <c r="H367" s="243"/>
      <c r="I367" s="227"/>
      <c r="J367" s="225"/>
      <c r="K367" s="225"/>
      <c r="L367" s="226"/>
      <c r="M367" s="227"/>
      <c r="N367" s="227"/>
      <c r="O367" s="228"/>
      <c r="P367" s="228"/>
      <c r="Q367" s="229"/>
      <c r="R367" s="229"/>
      <c r="S367" s="229"/>
      <c r="T367" s="230"/>
      <c r="U367" s="231"/>
      <c r="V367" s="231"/>
      <c r="W367" s="231"/>
      <c r="X367" s="227"/>
    </row>
    <row r="368" spans="2:24" ht="14.25" customHeight="1" x14ac:dyDescent="0.25">
      <c r="B368" s="82"/>
      <c r="C368" s="242"/>
      <c r="D368" s="83"/>
      <c r="E368" s="83"/>
      <c r="F368" s="83"/>
      <c r="G368" s="83"/>
      <c r="H368" s="243"/>
      <c r="I368" s="227"/>
      <c r="J368" s="225"/>
      <c r="K368" s="225"/>
      <c r="L368" s="226"/>
      <c r="M368" s="227"/>
      <c r="N368" s="227"/>
      <c r="O368" s="228"/>
      <c r="P368" s="228"/>
      <c r="Q368" s="229"/>
      <c r="R368" s="229"/>
      <c r="S368" s="229"/>
      <c r="T368" s="230"/>
      <c r="U368" s="231"/>
      <c r="V368" s="231"/>
      <c r="W368" s="231"/>
      <c r="X368" s="227"/>
    </row>
    <row r="369" spans="2:24" ht="14.25" customHeight="1" x14ac:dyDescent="0.25">
      <c r="B369" s="82"/>
      <c r="C369" s="242"/>
      <c r="D369" s="83"/>
      <c r="E369" s="83"/>
      <c r="F369" s="83"/>
      <c r="G369" s="83"/>
      <c r="H369" s="243"/>
      <c r="I369" s="227"/>
      <c r="J369" s="225"/>
      <c r="K369" s="225"/>
      <c r="L369" s="226"/>
      <c r="M369" s="227"/>
      <c r="N369" s="227"/>
      <c r="O369" s="228"/>
      <c r="P369" s="228"/>
      <c r="Q369" s="229"/>
      <c r="R369" s="229"/>
      <c r="S369" s="229"/>
      <c r="T369" s="230"/>
      <c r="U369" s="231"/>
      <c r="V369" s="231"/>
      <c r="W369" s="231"/>
      <c r="X369" s="227"/>
    </row>
    <row r="370" spans="2:24" ht="14.25" customHeight="1" x14ac:dyDescent="0.25">
      <c r="B370" s="82"/>
      <c r="C370" s="242"/>
      <c r="D370" s="83"/>
      <c r="E370" s="83"/>
      <c r="F370" s="83"/>
      <c r="G370" s="83"/>
      <c r="H370" s="243"/>
      <c r="I370" s="227"/>
      <c r="J370" s="225"/>
      <c r="K370" s="225"/>
      <c r="L370" s="226"/>
      <c r="M370" s="227"/>
      <c r="N370" s="227"/>
      <c r="O370" s="228"/>
      <c r="P370" s="228"/>
      <c r="Q370" s="229"/>
      <c r="R370" s="229"/>
      <c r="S370" s="229"/>
      <c r="T370" s="230"/>
      <c r="U370" s="231"/>
      <c r="V370" s="231"/>
      <c r="W370" s="231"/>
      <c r="X370" s="227"/>
    </row>
    <row r="371" spans="2:24" ht="14.25" customHeight="1" x14ac:dyDescent="0.25">
      <c r="B371" s="82"/>
      <c r="C371" s="242"/>
      <c r="D371" s="83"/>
      <c r="E371" s="83"/>
      <c r="F371" s="83"/>
      <c r="G371" s="83"/>
      <c r="H371" s="243"/>
      <c r="I371" s="227"/>
      <c r="J371" s="225"/>
      <c r="K371" s="225"/>
      <c r="L371" s="226"/>
      <c r="M371" s="227"/>
      <c r="N371" s="227"/>
      <c r="O371" s="228"/>
      <c r="P371" s="228"/>
      <c r="Q371" s="229"/>
      <c r="R371" s="229"/>
      <c r="S371" s="229"/>
      <c r="T371" s="230"/>
      <c r="U371" s="231"/>
      <c r="V371" s="231"/>
      <c r="W371" s="231"/>
      <c r="X371" s="227"/>
    </row>
    <row r="372" spans="2:24" ht="14.25" customHeight="1" x14ac:dyDescent="0.25">
      <c r="B372" s="82"/>
      <c r="C372" s="242"/>
      <c r="D372" s="83"/>
      <c r="E372" s="83"/>
      <c r="F372" s="83"/>
      <c r="G372" s="83"/>
      <c r="H372" s="243"/>
      <c r="I372" s="227"/>
      <c r="J372" s="225"/>
      <c r="K372" s="225"/>
      <c r="L372" s="226"/>
      <c r="M372" s="227"/>
      <c r="N372" s="227"/>
      <c r="O372" s="228"/>
      <c r="P372" s="228"/>
      <c r="Q372" s="229"/>
      <c r="R372" s="229"/>
      <c r="S372" s="229"/>
      <c r="T372" s="230"/>
      <c r="U372" s="231"/>
      <c r="V372" s="231"/>
      <c r="W372" s="231"/>
      <c r="X372" s="227"/>
    </row>
    <row r="373" spans="2:24" ht="14.25" customHeight="1" x14ac:dyDescent="0.25">
      <c r="B373" s="82"/>
      <c r="C373" s="242"/>
      <c r="D373" s="83"/>
      <c r="E373" s="83"/>
      <c r="F373" s="83"/>
      <c r="G373" s="83"/>
      <c r="H373" s="243"/>
      <c r="I373" s="227"/>
      <c r="J373" s="225"/>
      <c r="K373" s="225"/>
      <c r="L373" s="226"/>
      <c r="M373" s="227"/>
      <c r="N373" s="227"/>
      <c r="O373" s="228"/>
      <c r="P373" s="228"/>
      <c r="Q373" s="229"/>
      <c r="R373" s="229"/>
      <c r="S373" s="229"/>
      <c r="T373" s="230"/>
      <c r="U373" s="231"/>
      <c r="V373" s="231"/>
      <c r="W373" s="231"/>
      <c r="X373" s="227"/>
    </row>
    <row r="374" spans="2:24" ht="14.25" customHeight="1" x14ac:dyDescent="0.25">
      <c r="B374" s="82"/>
      <c r="C374" s="242"/>
      <c r="D374" s="83"/>
      <c r="E374" s="83"/>
      <c r="F374" s="83"/>
      <c r="G374" s="83"/>
      <c r="H374" s="243"/>
      <c r="I374" s="227"/>
      <c r="J374" s="225"/>
      <c r="K374" s="225"/>
      <c r="L374" s="226"/>
      <c r="M374" s="227"/>
      <c r="N374" s="227"/>
      <c r="O374" s="228"/>
      <c r="P374" s="228"/>
      <c r="Q374" s="229"/>
      <c r="R374" s="229"/>
      <c r="S374" s="229"/>
      <c r="T374" s="230"/>
      <c r="U374" s="231"/>
      <c r="V374" s="231"/>
      <c r="W374" s="231"/>
      <c r="X374" s="227"/>
    </row>
    <row r="375" spans="2:24" ht="14.25" customHeight="1" x14ac:dyDescent="0.25">
      <c r="B375" s="82"/>
      <c r="C375" s="242"/>
      <c r="D375" s="83"/>
      <c r="E375" s="83"/>
      <c r="F375" s="83"/>
      <c r="G375" s="83"/>
      <c r="H375" s="243"/>
      <c r="I375" s="227"/>
      <c r="J375" s="225"/>
      <c r="K375" s="225"/>
      <c r="L375" s="226"/>
      <c r="M375" s="227"/>
      <c r="N375" s="227"/>
      <c r="O375" s="228"/>
      <c r="P375" s="228"/>
      <c r="Q375" s="229"/>
      <c r="R375" s="229"/>
      <c r="S375" s="229"/>
      <c r="T375" s="230"/>
      <c r="U375" s="231"/>
      <c r="V375" s="231"/>
      <c r="W375" s="231"/>
      <c r="X375" s="227"/>
    </row>
    <row r="376" spans="2:24" ht="14.25" customHeight="1" x14ac:dyDescent="0.25">
      <c r="B376" s="82"/>
      <c r="C376" s="242"/>
      <c r="D376" s="83"/>
      <c r="E376" s="83"/>
      <c r="F376" s="83"/>
      <c r="G376" s="83"/>
      <c r="H376" s="243"/>
      <c r="I376" s="227"/>
      <c r="J376" s="225"/>
      <c r="K376" s="225"/>
      <c r="L376" s="226"/>
      <c r="M376" s="227"/>
      <c r="N376" s="227"/>
      <c r="O376" s="228"/>
      <c r="P376" s="228"/>
      <c r="Q376" s="229"/>
      <c r="R376" s="229"/>
      <c r="S376" s="229"/>
      <c r="T376" s="230"/>
      <c r="U376" s="231"/>
      <c r="V376" s="231"/>
      <c r="W376" s="231"/>
      <c r="X376" s="227"/>
    </row>
    <row r="377" spans="2:24" ht="14.25" customHeight="1" x14ac:dyDescent="0.25">
      <c r="B377" s="82"/>
      <c r="C377" s="242"/>
      <c r="D377" s="83"/>
      <c r="E377" s="83"/>
      <c r="F377" s="83"/>
      <c r="G377" s="83"/>
      <c r="H377" s="243"/>
      <c r="I377" s="227"/>
      <c r="J377" s="225"/>
      <c r="K377" s="225"/>
      <c r="L377" s="226"/>
      <c r="M377" s="227"/>
      <c r="N377" s="227"/>
      <c r="O377" s="228"/>
      <c r="P377" s="228"/>
      <c r="Q377" s="229"/>
      <c r="R377" s="229"/>
      <c r="S377" s="229"/>
      <c r="T377" s="230"/>
      <c r="U377" s="231"/>
      <c r="V377" s="231"/>
      <c r="W377" s="231"/>
      <c r="X377" s="227"/>
    </row>
    <row r="378" spans="2:24" ht="14.25" customHeight="1" x14ac:dyDescent="0.25">
      <c r="B378" s="82"/>
      <c r="C378" s="242"/>
      <c r="D378" s="83"/>
      <c r="E378" s="83"/>
      <c r="F378" s="83"/>
      <c r="G378" s="83"/>
      <c r="H378" s="243"/>
      <c r="I378" s="227"/>
      <c r="J378" s="225"/>
      <c r="K378" s="225"/>
      <c r="L378" s="226"/>
      <c r="M378" s="227"/>
      <c r="N378" s="227"/>
      <c r="O378" s="228"/>
      <c r="P378" s="228"/>
      <c r="Q378" s="229"/>
      <c r="R378" s="229"/>
      <c r="S378" s="229"/>
      <c r="T378" s="230"/>
      <c r="U378" s="231"/>
      <c r="V378" s="231"/>
      <c r="W378" s="231"/>
      <c r="X378" s="227"/>
    </row>
    <row r="379" spans="2:24" ht="14.25" customHeight="1" x14ac:dyDescent="0.25">
      <c r="B379" s="82"/>
      <c r="C379" s="242"/>
      <c r="D379" s="83"/>
      <c r="E379" s="83"/>
      <c r="F379" s="83"/>
      <c r="G379" s="83"/>
      <c r="H379" s="243"/>
      <c r="I379" s="227"/>
      <c r="J379" s="225"/>
      <c r="K379" s="225"/>
      <c r="L379" s="226"/>
      <c r="M379" s="227"/>
      <c r="N379" s="227"/>
      <c r="O379" s="228"/>
      <c r="P379" s="228"/>
      <c r="Q379" s="229"/>
      <c r="R379" s="229"/>
      <c r="S379" s="229"/>
      <c r="T379" s="230"/>
      <c r="U379" s="231"/>
      <c r="V379" s="231"/>
      <c r="W379" s="231"/>
      <c r="X379" s="227"/>
    </row>
    <row r="380" spans="2:24" ht="14.25" customHeight="1" x14ac:dyDescent="0.25">
      <c r="B380" s="82"/>
      <c r="C380" s="242"/>
      <c r="D380" s="83"/>
      <c r="E380" s="83"/>
      <c r="F380" s="83"/>
      <c r="G380" s="83"/>
      <c r="H380" s="243"/>
      <c r="I380" s="227"/>
      <c r="J380" s="225"/>
      <c r="K380" s="225"/>
      <c r="L380" s="226"/>
      <c r="M380" s="227"/>
      <c r="N380" s="227"/>
      <c r="O380" s="228"/>
      <c r="P380" s="228"/>
      <c r="Q380" s="229"/>
      <c r="R380" s="229"/>
      <c r="S380" s="229"/>
      <c r="T380" s="230"/>
      <c r="U380" s="231"/>
      <c r="V380" s="231"/>
      <c r="W380" s="231"/>
      <c r="X380" s="227"/>
    </row>
    <row r="381" spans="2:24" ht="14.25" customHeight="1" x14ac:dyDescent="0.25">
      <c r="B381" s="82"/>
      <c r="C381" s="242"/>
      <c r="D381" s="83"/>
      <c r="E381" s="83"/>
      <c r="F381" s="83"/>
      <c r="G381" s="83"/>
      <c r="H381" s="243"/>
      <c r="I381" s="227"/>
      <c r="J381" s="225"/>
      <c r="K381" s="225"/>
      <c r="L381" s="226"/>
      <c r="M381" s="227"/>
      <c r="N381" s="227"/>
      <c r="O381" s="228"/>
      <c r="P381" s="228"/>
      <c r="Q381" s="229"/>
      <c r="R381" s="229"/>
      <c r="S381" s="229"/>
      <c r="T381" s="230"/>
      <c r="U381" s="231"/>
      <c r="V381" s="231"/>
      <c r="W381" s="231"/>
      <c r="X381" s="227"/>
    </row>
    <row r="382" spans="2:24" ht="14.25" customHeight="1" x14ac:dyDescent="0.25">
      <c r="B382" s="82"/>
      <c r="C382" s="242"/>
      <c r="D382" s="83"/>
      <c r="E382" s="83"/>
      <c r="F382" s="83"/>
      <c r="G382" s="83"/>
      <c r="H382" s="243"/>
      <c r="I382" s="227"/>
      <c r="J382" s="225"/>
      <c r="K382" s="225"/>
      <c r="L382" s="226"/>
      <c r="M382" s="227"/>
      <c r="N382" s="227"/>
      <c r="O382" s="228"/>
      <c r="P382" s="228"/>
      <c r="Q382" s="229"/>
      <c r="R382" s="229"/>
      <c r="S382" s="229"/>
      <c r="T382" s="230"/>
      <c r="U382" s="231"/>
      <c r="V382" s="231"/>
      <c r="W382" s="231"/>
      <c r="X382" s="227"/>
    </row>
    <row r="383" spans="2:24" ht="14.25" customHeight="1" x14ac:dyDescent="0.25">
      <c r="B383" s="82"/>
      <c r="C383" s="242"/>
      <c r="D383" s="83"/>
      <c r="E383" s="83"/>
      <c r="F383" s="83"/>
      <c r="G383" s="83"/>
      <c r="H383" s="243"/>
      <c r="I383" s="227"/>
      <c r="J383" s="225"/>
      <c r="K383" s="225"/>
      <c r="L383" s="226"/>
      <c r="M383" s="227"/>
      <c r="N383" s="227"/>
      <c r="O383" s="228"/>
      <c r="P383" s="228"/>
      <c r="Q383" s="229"/>
      <c r="R383" s="229"/>
      <c r="S383" s="229"/>
      <c r="T383" s="230"/>
      <c r="U383" s="231"/>
      <c r="V383" s="231"/>
      <c r="W383" s="231"/>
      <c r="X383" s="227"/>
    </row>
    <row r="384" spans="2:24" ht="14.25" customHeight="1" x14ac:dyDescent="0.25">
      <c r="B384" s="82"/>
      <c r="C384" s="242"/>
      <c r="D384" s="83"/>
      <c r="E384" s="83"/>
      <c r="F384" s="83"/>
      <c r="G384" s="83"/>
      <c r="H384" s="243"/>
      <c r="I384" s="227"/>
      <c r="J384" s="225"/>
      <c r="K384" s="225"/>
      <c r="L384" s="226"/>
      <c r="M384" s="227"/>
      <c r="N384" s="227"/>
      <c r="O384" s="228"/>
      <c r="P384" s="228"/>
      <c r="Q384" s="229"/>
      <c r="R384" s="229"/>
      <c r="S384" s="229"/>
      <c r="T384" s="230"/>
      <c r="U384" s="231"/>
      <c r="V384" s="231"/>
      <c r="W384" s="231"/>
      <c r="X384" s="227"/>
    </row>
    <row r="385" spans="2:24" ht="14.25" customHeight="1" x14ac:dyDescent="0.25">
      <c r="B385" s="82"/>
      <c r="C385" s="242"/>
      <c r="D385" s="83"/>
      <c r="E385" s="83"/>
      <c r="F385" s="83"/>
      <c r="G385" s="83"/>
      <c r="H385" s="243"/>
      <c r="I385" s="227"/>
      <c r="J385" s="225"/>
      <c r="K385" s="225"/>
      <c r="L385" s="226"/>
      <c r="M385" s="227"/>
      <c r="N385" s="227"/>
      <c r="O385" s="228"/>
      <c r="P385" s="228"/>
      <c r="Q385" s="229"/>
      <c r="R385" s="229"/>
      <c r="S385" s="229"/>
      <c r="T385" s="230"/>
      <c r="U385" s="231"/>
      <c r="V385" s="231"/>
      <c r="W385" s="231"/>
      <c r="X385" s="227"/>
    </row>
    <row r="386" spans="2:24" ht="14.25" customHeight="1" x14ac:dyDescent="0.25">
      <c r="B386" s="82"/>
      <c r="C386" s="242"/>
      <c r="D386" s="83"/>
      <c r="E386" s="83"/>
      <c r="F386" s="83"/>
      <c r="G386" s="83"/>
      <c r="H386" s="243"/>
      <c r="I386" s="227"/>
      <c r="J386" s="225"/>
      <c r="K386" s="225"/>
      <c r="L386" s="226"/>
      <c r="M386" s="227"/>
      <c r="N386" s="227"/>
      <c r="O386" s="228"/>
      <c r="P386" s="228"/>
      <c r="Q386" s="229"/>
      <c r="R386" s="229"/>
      <c r="S386" s="229"/>
      <c r="T386" s="230"/>
      <c r="U386" s="231"/>
      <c r="V386" s="231"/>
      <c r="W386" s="231"/>
      <c r="X386" s="227"/>
    </row>
    <row r="387" spans="2:24" ht="14.25" customHeight="1" x14ac:dyDescent="0.25">
      <c r="B387" s="82"/>
      <c r="C387" s="242"/>
      <c r="D387" s="83"/>
      <c r="E387" s="83"/>
      <c r="F387" s="83"/>
      <c r="G387" s="83"/>
      <c r="H387" s="243"/>
      <c r="I387" s="227"/>
      <c r="J387" s="225"/>
      <c r="K387" s="225"/>
      <c r="L387" s="226"/>
      <c r="M387" s="227"/>
      <c r="N387" s="227"/>
      <c r="O387" s="228"/>
      <c r="P387" s="228"/>
      <c r="Q387" s="229"/>
      <c r="R387" s="229"/>
      <c r="S387" s="229"/>
      <c r="T387" s="230"/>
      <c r="U387" s="231"/>
      <c r="V387" s="231"/>
      <c r="W387" s="231"/>
      <c r="X387" s="227"/>
    </row>
    <row r="388" spans="2:24" ht="14.25" customHeight="1" x14ac:dyDescent="0.25">
      <c r="B388" s="82"/>
      <c r="C388" s="242"/>
      <c r="D388" s="83"/>
      <c r="E388" s="83"/>
      <c r="F388" s="83"/>
      <c r="G388" s="83"/>
      <c r="H388" s="243"/>
      <c r="I388" s="227"/>
      <c r="J388" s="225"/>
      <c r="K388" s="225"/>
      <c r="L388" s="226"/>
      <c r="M388" s="227"/>
      <c r="N388" s="227"/>
      <c r="O388" s="228"/>
      <c r="P388" s="228"/>
      <c r="Q388" s="229"/>
      <c r="R388" s="229"/>
      <c r="S388" s="229"/>
      <c r="T388" s="230"/>
      <c r="U388" s="231"/>
      <c r="V388" s="231"/>
      <c r="W388" s="231"/>
      <c r="X388" s="227"/>
    </row>
    <row r="389" spans="2:24" ht="14.25" customHeight="1" x14ac:dyDescent="0.25">
      <c r="B389" s="82"/>
      <c r="C389" s="242"/>
      <c r="D389" s="83"/>
      <c r="E389" s="83"/>
      <c r="F389" s="83"/>
      <c r="G389" s="83"/>
      <c r="H389" s="243"/>
      <c r="I389" s="227"/>
      <c r="J389" s="225"/>
      <c r="K389" s="225"/>
      <c r="L389" s="226"/>
      <c r="M389" s="227"/>
      <c r="N389" s="227"/>
      <c r="O389" s="228"/>
      <c r="P389" s="228"/>
      <c r="Q389" s="229"/>
      <c r="R389" s="229"/>
      <c r="S389" s="229"/>
      <c r="T389" s="230"/>
      <c r="U389" s="231"/>
      <c r="V389" s="231"/>
      <c r="W389" s="231"/>
      <c r="X389" s="227"/>
    </row>
    <row r="390" spans="2:24" ht="14.25" customHeight="1" x14ac:dyDescent="0.25">
      <c r="B390" s="82"/>
      <c r="C390" s="242"/>
      <c r="D390" s="83"/>
      <c r="E390" s="83"/>
      <c r="F390" s="83"/>
      <c r="G390" s="83"/>
      <c r="H390" s="243"/>
      <c r="I390" s="227"/>
      <c r="J390" s="225"/>
      <c r="K390" s="225"/>
      <c r="L390" s="226"/>
      <c r="M390" s="227"/>
      <c r="N390" s="227"/>
      <c r="O390" s="228"/>
      <c r="P390" s="228"/>
      <c r="Q390" s="229"/>
      <c r="R390" s="229"/>
      <c r="S390" s="229"/>
      <c r="T390" s="230"/>
      <c r="U390" s="231"/>
      <c r="V390" s="231"/>
      <c r="W390" s="231"/>
      <c r="X390" s="227"/>
    </row>
    <row r="391" spans="2:24" ht="14.25" customHeight="1" x14ac:dyDescent="0.25">
      <c r="B391" s="82"/>
      <c r="C391" s="242"/>
      <c r="D391" s="83"/>
      <c r="E391" s="83"/>
      <c r="F391" s="83"/>
      <c r="G391" s="83"/>
      <c r="H391" s="243"/>
      <c r="I391" s="227"/>
      <c r="J391" s="225"/>
      <c r="K391" s="225"/>
      <c r="L391" s="226"/>
      <c r="M391" s="227"/>
      <c r="N391" s="227"/>
      <c r="O391" s="228"/>
      <c r="P391" s="228"/>
      <c r="Q391" s="229"/>
      <c r="R391" s="229"/>
      <c r="S391" s="229"/>
      <c r="T391" s="230"/>
      <c r="U391" s="231"/>
      <c r="V391" s="231"/>
      <c r="W391" s="231"/>
      <c r="X391" s="227"/>
    </row>
    <row r="392" spans="2:24" ht="14.25" customHeight="1" x14ac:dyDescent="0.25">
      <c r="B392" s="82"/>
      <c r="C392" s="242"/>
      <c r="D392" s="83"/>
      <c r="E392" s="83"/>
      <c r="F392" s="83"/>
      <c r="G392" s="83"/>
      <c r="H392" s="243"/>
      <c r="I392" s="227"/>
      <c r="J392" s="225"/>
      <c r="K392" s="225"/>
      <c r="L392" s="226"/>
      <c r="M392" s="227"/>
      <c r="N392" s="227"/>
      <c r="O392" s="228"/>
      <c r="P392" s="228"/>
      <c r="Q392" s="229"/>
      <c r="R392" s="229"/>
      <c r="S392" s="229"/>
      <c r="T392" s="230"/>
      <c r="U392" s="231"/>
      <c r="V392" s="231"/>
      <c r="W392" s="231"/>
      <c r="X392" s="227"/>
    </row>
    <row r="393" spans="2:24" ht="14.25" customHeight="1" x14ac:dyDescent="0.25">
      <c r="B393" s="82"/>
      <c r="C393" s="242"/>
      <c r="D393" s="83"/>
      <c r="E393" s="83"/>
      <c r="F393" s="83"/>
      <c r="G393" s="83"/>
      <c r="H393" s="243"/>
      <c r="I393" s="227"/>
      <c r="J393" s="225"/>
      <c r="K393" s="225"/>
      <c r="L393" s="226"/>
      <c r="M393" s="227"/>
      <c r="N393" s="227"/>
      <c r="O393" s="228"/>
      <c r="P393" s="228"/>
      <c r="Q393" s="229"/>
      <c r="R393" s="229"/>
      <c r="S393" s="229"/>
      <c r="T393" s="230"/>
      <c r="U393" s="231"/>
      <c r="V393" s="231"/>
      <c r="W393" s="231"/>
      <c r="X393" s="227"/>
    </row>
    <row r="394" spans="2:24" ht="14.25" customHeight="1" x14ac:dyDescent="0.25">
      <c r="B394" s="82"/>
      <c r="C394" s="242"/>
      <c r="D394" s="83"/>
      <c r="E394" s="83"/>
      <c r="F394" s="83"/>
      <c r="G394" s="83"/>
      <c r="H394" s="243"/>
      <c r="I394" s="227"/>
      <c r="J394" s="225"/>
      <c r="K394" s="225"/>
      <c r="L394" s="226"/>
      <c r="M394" s="227"/>
      <c r="N394" s="227"/>
      <c r="O394" s="228"/>
      <c r="P394" s="228"/>
      <c r="Q394" s="229"/>
      <c r="R394" s="229"/>
      <c r="S394" s="229"/>
      <c r="T394" s="230"/>
      <c r="U394" s="231"/>
      <c r="V394" s="231"/>
      <c r="W394" s="231"/>
      <c r="X394" s="227"/>
    </row>
    <row r="395" spans="2:24" ht="14.25" customHeight="1" x14ac:dyDescent="0.25">
      <c r="B395" s="82"/>
      <c r="C395" s="242"/>
      <c r="D395" s="83"/>
      <c r="E395" s="83"/>
      <c r="F395" s="83"/>
      <c r="G395" s="83"/>
      <c r="H395" s="243"/>
      <c r="I395" s="227"/>
      <c r="J395" s="225"/>
      <c r="K395" s="225"/>
      <c r="L395" s="226"/>
      <c r="M395" s="227"/>
      <c r="N395" s="227"/>
      <c r="O395" s="228"/>
      <c r="P395" s="228"/>
      <c r="Q395" s="229"/>
      <c r="R395" s="229"/>
      <c r="S395" s="229"/>
      <c r="T395" s="230"/>
      <c r="U395" s="231"/>
      <c r="V395" s="231"/>
      <c r="W395" s="231"/>
      <c r="X395" s="227"/>
    </row>
    <row r="396" spans="2:24" ht="14.25" customHeight="1" x14ac:dyDescent="0.25">
      <c r="B396" s="82"/>
      <c r="C396" s="242"/>
      <c r="D396" s="83"/>
      <c r="E396" s="83"/>
      <c r="F396" s="83"/>
      <c r="G396" s="83"/>
      <c r="H396" s="243"/>
      <c r="I396" s="227"/>
      <c r="J396" s="225"/>
      <c r="K396" s="225"/>
      <c r="L396" s="226"/>
      <c r="M396" s="227"/>
      <c r="N396" s="227"/>
      <c r="O396" s="228"/>
      <c r="P396" s="228"/>
      <c r="Q396" s="229"/>
      <c r="R396" s="229"/>
      <c r="S396" s="229"/>
      <c r="T396" s="230"/>
      <c r="U396" s="231"/>
      <c r="V396" s="231"/>
      <c r="W396" s="231"/>
      <c r="X396" s="227"/>
    </row>
    <row r="397" spans="2:24" ht="14.25" customHeight="1" x14ac:dyDescent="0.25">
      <c r="B397" s="82"/>
      <c r="C397" s="242"/>
      <c r="D397" s="83"/>
      <c r="E397" s="83"/>
      <c r="F397" s="83"/>
      <c r="G397" s="83"/>
      <c r="H397" s="243"/>
      <c r="I397" s="227"/>
      <c r="J397" s="225"/>
      <c r="K397" s="225"/>
      <c r="L397" s="226"/>
      <c r="M397" s="227"/>
      <c r="N397" s="227"/>
      <c r="O397" s="228"/>
      <c r="P397" s="228"/>
      <c r="Q397" s="229"/>
      <c r="R397" s="229"/>
      <c r="S397" s="229"/>
      <c r="T397" s="230"/>
      <c r="U397" s="231"/>
      <c r="V397" s="231"/>
      <c r="W397" s="231"/>
      <c r="X397" s="227"/>
    </row>
    <row r="398" spans="2:24" ht="14.25" customHeight="1" x14ac:dyDescent="0.25">
      <c r="B398" s="82"/>
      <c r="C398" s="242"/>
      <c r="D398" s="83"/>
      <c r="E398" s="83"/>
      <c r="F398" s="83"/>
      <c r="G398" s="83"/>
      <c r="H398" s="243"/>
      <c r="I398" s="227"/>
      <c r="J398" s="225"/>
      <c r="K398" s="225"/>
      <c r="L398" s="226"/>
      <c r="M398" s="227"/>
      <c r="N398" s="227"/>
      <c r="O398" s="228"/>
      <c r="P398" s="228"/>
      <c r="Q398" s="229"/>
      <c r="R398" s="229"/>
      <c r="S398" s="229"/>
      <c r="T398" s="230"/>
      <c r="U398" s="231"/>
      <c r="V398" s="231"/>
      <c r="W398" s="231"/>
      <c r="X398" s="227"/>
    </row>
    <row r="399" spans="2:24" ht="14.25" customHeight="1" x14ac:dyDescent="0.25">
      <c r="B399" s="82"/>
      <c r="C399" s="242"/>
      <c r="D399" s="83"/>
      <c r="E399" s="83"/>
      <c r="F399" s="83"/>
      <c r="G399" s="83"/>
      <c r="H399" s="243"/>
      <c r="I399" s="227"/>
      <c r="J399" s="225"/>
      <c r="K399" s="225"/>
      <c r="L399" s="226"/>
      <c r="M399" s="227"/>
      <c r="N399" s="227"/>
      <c r="O399" s="228"/>
      <c r="P399" s="228"/>
      <c r="Q399" s="229"/>
      <c r="R399" s="229"/>
      <c r="S399" s="229"/>
      <c r="T399" s="230"/>
      <c r="U399" s="231"/>
      <c r="V399" s="231"/>
      <c r="W399" s="231"/>
      <c r="X399" s="227"/>
    </row>
    <row r="400" spans="2:24" ht="14.25" customHeight="1" x14ac:dyDescent="0.25">
      <c r="B400" s="82"/>
      <c r="C400" s="242"/>
      <c r="D400" s="83"/>
      <c r="E400" s="83"/>
      <c r="F400" s="83"/>
      <c r="G400" s="83"/>
      <c r="H400" s="243"/>
      <c r="I400" s="227"/>
      <c r="J400" s="225"/>
      <c r="K400" s="225"/>
      <c r="L400" s="226"/>
      <c r="M400" s="227"/>
      <c r="N400" s="227"/>
      <c r="O400" s="228"/>
      <c r="P400" s="228"/>
      <c r="Q400" s="229"/>
      <c r="R400" s="229"/>
      <c r="S400" s="229"/>
      <c r="T400" s="230"/>
      <c r="U400" s="231"/>
      <c r="V400" s="231"/>
      <c r="W400" s="231"/>
      <c r="X400" s="227"/>
    </row>
    <row r="401" spans="2:24" ht="14.25" customHeight="1" x14ac:dyDescent="0.25">
      <c r="B401" s="246"/>
      <c r="C401" s="242"/>
      <c r="D401" s="84"/>
      <c r="E401" s="84"/>
      <c r="F401" s="84"/>
      <c r="G401" s="84"/>
      <c r="H401" s="244"/>
      <c r="I401" s="234"/>
      <c r="J401" s="233"/>
      <c r="K401" s="233"/>
      <c r="L401" s="163"/>
      <c r="M401" s="234"/>
      <c r="N401" s="234"/>
      <c r="O401" s="162"/>
      <c r="P401" s="162"/>
      <c r="Q401" s="235"/>
      <c r="R401" s="235"/>
      <c r="S401" s="235"/>
      <c r="T401" s="236"/>
      <c r="U401" s="237"/>
      <c r="V401" s="237"/>
      <c r="W401" s="237"/>
      <c r="X401" s="234"/>
    </row>
    <row r="402" spans="2:24" ht="14.25" customHeight="1" x14ac:dyDescent="0.25">
      <c r="B402" s="246"/>
      <c r="C402" s="242"/>
      <c r="D402" s="84"/>
      <c r="E402" s="84"/>
      <c r="F402" s="84"/>
      <c r="G402" s="84"/>
      <c r="H402" s="244"/>
      <c r="I402" s="234"/>
      <c r="J402" s="233"/>
      <c r="K402" s="233"/>
      <c r="L402" s="163"/>
      <c r="M402" s="234"/>
      <c r="N402" s="234"/>
      <c r="O402" s="162"/>
      <c r="P402" s="162"/>
      <c r="Q402" s="235"/>
      <c r="R402" s="235"/>
      <c r="S402" s="235"/>
      <c r="T402" s="236"/>
      <c r="U402" s="237"/>
      <c r="V402" s="237"/>
      <c r="W402" s="237"/>
      <c r="X402" s="234"/>
    </row>
    <row r="403" spans="2:24" ht="14.25" customHeight="1" x14ac:dyDescent="0.25">
      <c r="B403" s="246"/>
      <c r="C403" s="242"/>
      <c r="D403" s="84"/>
      <c r="E403" s="84"/>
      <c r="F403" s="84"/>
      <c r="G403" s="84"/>
      <c r="H403" s="244"/>
      <c r="I403" s="234"/>
      <c r="J403" s="233"/>
      <c r="K403" s="233"/>
      <c r="L403" s="163"/>
      <c r="M403" s="234"/>
      <c r="N403" s="234"/>
      <c r="O403" s="162"/>
      <c r="P403" s="162"/>
      <c r="Q403" s="235"/>
      <c r="R403" s="235"/>
      <c r="S403" s="235"/>
      <c r="T403" s="236"/>
      <c r="U403" s="237"/>
      <c r="V403" s="237"/>
      <c r="W403" s="237"/>
      <c r="X403" s="234"/>
    </row>
    <row r="404" spans="2:24" ht="14.25" customHeight="1" x14ac:dyDescent="0.25">
      <c r="B404" s="246"/>
      <c r="C404" s="242"/>
      <c r="D404" s="84"/>
      <c r="E404" s="84"/>
      <c r="F404" s="84"/>
      <c r="G404" s="84"/>
      <c r="H404" s="244"/>
      <c r="I404" s="234"/>
      <c r="J404" s="233"/>
      <c r="K404" s="233"/>
      <c r="L404" s="163"/>
      <c r="M404" s="234"/>
      <c r="N404" s="234"/>
      <c r="O404" s="162"/>
      <c r="P404" s="162"/>
      <c r="Q404" s="235"/>
      <c r="R404" s="235"/>
      <c r="S404" s="235"/>
      <c r="T404" s="236"/>
      <c r="U404" s="237"/>
      <c r="V404" s="237"/>
      <c r="W404" s="237"/>
      <c r="X404" s="234"/>
    </row>
    <row r="405" spans="2:24" ht="14.25" customHeight="1" x14ac:dyDescent="0.25">
      <c r="B405" s="246"/>
      <c r="C405" s="242"/>
      <c r="D405" s="84"/>
      <c r="E405" s="84"/>
      <c r="F405" s="84"/>
      <c r="G405" s="84"/>
      <c r="H405" s="244"/>
      <c r="I405" s="234"/>
      <c r="J405" s="233"/>
      <c r="K405" s="233"/>
      <c r="L405" s="163"/>
      <c r="M405" s="234"/>
      <c r="N405" s="234"/>
      <c r="O405" s="162"/>
      <c r="P405" s="162"/>
      <c r="Q405" s="235"/>
      <c r="R405" s="235"/>
      <c r="S405" s="235"/>
      <c r="T405" s="236"/>
      <c r="U405" s="237"/>
      <c r="V405" s="237"/>
      <c r="W405" s="237"/>
      <c r="X405" s="234"/>
    </row>
    <row r="406" spans="2:24" ht="14.25" customHeight="1" x14ac:dyDescent="0.25">
      <c r="B406" s="246"/>
      <c r="C406" s="242"/>
      <c r="D406" s="84"/>
      <c r="E406" s="84"/>
      <c r="F406" s="84"/>
      <c r="G406" s="84"/>
      <c r="H406" s="244"/>
      <c r="I406" s="234"/>
      <c r="J406" s="233"/>
      <c r="K406" s="233"/>
      <c r="L406" s="163"/>
      <c r="M406" s="234"/>
      <c r="N406" s="234"/>
      <c r="O406" s="162"/>
      <c r="P406" s="162"/>
      <c r="Q406" s="235"/>
      <c r="R406" s="235"/>
      <c r="S406" s="235"/>
      <c r="T406" s="236"/>
      <c r="U406" s="237"/>
      <c r="V406" s="237"/>
      <c r="W406" s="237"/>
      <c r="X406" s="234"/>
    </row>
    <row r="407" spans="2:24" ht="14.25" customHeight="1" x14ac:dyDescent="0.25">
      <c r="B407" s="246"/>
      <c r="C407" s="242"/>
      <c r="D407" s="84"/>
      <c r="E407" s="84"/>
      <c r="F407" s="84"/>
      <c r="G407" s="84"/>
      <c r="H407" s="244"/>
      <c r="I407" s="234"/>
      <c r="J407" s="233"/>
      <c r="K407" s="233"/>
      <c r="L407" s="163"/>
      <c r="M407" s="234"/>
      <c r="N407" s="234"/>
      <c r="O407" s="162"/>
      <c r="P407" s="162"/>
      <c r="Q407" s="235"/>
      <c r="R407" s="235"/>
      <c r="S407" s="235"/>
      <c r="T407" s="236"/>
      <c r="U407" s="237"/>
      <c r="V407" s="237"/>
      <c r="W407" s="237"/>
      <c r="X407" s="234"/>
    </row>
    <row r="408" spans="2:24" ht="14.25" customHeight="1" x14ac:dyDescent="0.25">
      <c r="B408" s="246"/>
      <c r="C408" s="242"/>
      <c r="D408" s="84"/>
      <c r="E408" s="84"/>
      <c r="F408" s="84"/>
      <c r="G408" s="84"/>
      <c r="H408" s="244"/>
      <c r="I408" s="234"/>
      <c r="J408" s="233"/>
      <c r="K408" s="233"/>
      <c r="L408" s="163"/>
      <c r="M408" s="234"/>
      <c r="N408" s="234"/>
      <c r="O408" s="162"/>
      <c r="P408" s="162"/>
      <c r="Q408" s="235"/>
      <c r="R408" s="235"/>
      <c r="S408" s="235"/>
      <c r="T408" s="236"/>
      <c r="U408" s="237"/>
      <c r="V408" s="237"/>
      <c r="W408" s="237"/>
      <c r="X408" s="234"/>
    </row>
    <row r="409" spans="2:24" ht="14.25" customHeight="1" x14ac:dyDescent="0.25">
      <c r="B409" s="246"/>
      <c r="C409" s="242"/>
      <c r="D409" s="84"/>
      <c r="E409" s="84"/>
      <c r="F409" s="84"/>
      <c r="G409" s="84"/>
      <c r="H409" s="244"/>
      <c r="I409" s="234"/>
      <c r="J409" s="233"/>
      <c r="K409" s="233"/>
      <c r="L409" s="163"/>
      <c r="M409" s="234"/>
      <c r="N409" s="234"/>
      <c r="O409" s="162"/>
      <c r="P409" s="162"/>
      <c r="Q409" s="235"/>
      <c r="R409" s="235"/>
      <c r="S409" s="235"/>
      <c r="T409" s="236"/>
      <c r="U409" s="237"/>
      <c r="V409" s="237"/>
      <c r="W409" s="237"/>
      <c r="X409" s="234"/>
    </row>
    <row r="410" spans="2:24" ht="14.25" customHeight="1" x14ac:dyDescent="0.25">
      <c r="B410" s="246"/>
      <c r="C410" s="242"/>
      <c r="D410" s="84"/>
      <c r="E410" s="84"/>
      <c r="F410" s="84"/>
      <c r="G410" s="84"/>
      <c r="H410" s="244"/>
      <c r="I410" s="234"/>
      <c r="J410" s="233"/>
      <c r="K410" s="233"/>
      <c r="L410" s="163"/>
      <c r="M410" s="234"/>
      <c r="N410" s="234"/>
      <c r="O410" s="162"/>
      <c r="P410" s="162"/>
      <c r="Q410" s="235"/>
      <c r="R410" s="235"/>
      <c r="S410" s="235"/>
      <c r="T410" s="236"/>
      <c r="U410" s="237"/>
      <c r="V410" s="237"/>
      <c r="W410" s="237"/>
      <c r="X410" s="234"/>
    </row>
    <row r="411" spans="2:24" ht="14.25" customHeight="1" x14ac:dyDescent="0.25">
      <c r="B411" s="246"/>
      <c r="C411" s="242"/>
      <c r="D411" s="84"/>
      <c r="E411" s="84"/>
      <c r="F411" s="84"/>
      <c r="G411" s="84"/>
      <c r="H411" s="244"/>
      <c r="I411" s="234"/>
      <c r="J411" s="233"/>
      <c r="K411" s="233"/>
      <c r="L411" s="163"/>
      <c r="M411" s="234"/>
      <c r="N411" s="234"/>
      <c r="O411" s="162"/>
      <c r="P411" s="162"/>
      <c r="Q411" s="235"/>
      <c r="R411" s="235"/>
      <c r="S411" s="235"/>
      <c r="T411" s="236"/>
      <c r="U411" s="237"/>
      <c r="V411" s="237"/>
      <c r="W411" s="237"/>
      <c r="X411" s="234"/>
    </row>
    <row r="412" spans="2:24" ht="14.25" customHeight="1" x14ac:dyDescent="0.25">
      <c r="B412" s="246"/>
      <c r="C412" s="242"/>
      <c r="D412" s="84"/>
      <c r="E412" s="84"/>
      <c r="F412" s="84"/>
      <c r="G412" s="84"/>
      <c r="H412" s="244"/>
      <c r="I412" s="234"/>
      <c r="J412" s="233"/>
      <c r="K412" s="233"/>
      <c r="L412" s="163"/>
      <c r="M412" s="234"/>
      <c r="N412" s="234"/>
      <c r="O412" s="162"/>
      <c r="P412" s="162"/>
      <c r="Q412" s="235"/>
      <c r="R412" s="235"/>
      <c r="S412" s="235"/>
      <c r="T412" s="236"/>
      <c r="U412" s="237"/>
      <c r="V412" s="237"/>
      <c r="W412" s="237"/>
      <c r="X412" s="234"/>
    </row>
    <row r="413" spans="2:24" ht="14.25" customHeight="1" x14ac:dyDescent="0.25">
      <c r="B413" s="246"/>
      <c r="C413" s="242"/>
      <c r="D413" s="84"/>
      <c r="E413" s="84"/>
      <c r="F413" s="84"/>
      <c r="G413" s="84"/>
      <c r="H413" s="244"/>
      <c r="I413" s="234"/>
      <c r="J413" s="233"/>
      <c r="K413" s="233"/>
      <c r="L413" s="163"/>
      <c r="M413" s="234"/>
      <c r="N413" s="234"/>
      <c r="O413" s="162"/>
      <c r="P413" s="162"/>
      <c r="Q413" s="235"/>
      <c r="R413" s="235"/>
      <c r="S413" s="235"/>
      <c r="T413" s="236"/>
      <c r="U413" s="237"/>
      <c r="V413" s="237"/>
      <c r="W413" s="237"/>
      <c r="X413" s="234"/>
    </row>
    <row r="414" spans="2:24" ht="14.25" customHeight="1" x14ac:dyDescent="0.25">
      <c r="B414" s="246"/>
      <c r="C414" s="242"/>
      <c r="D414" s="84"/>
      <c r="E414" s="84"/>
      <c r="F414" s="84"/>
      <c r="G414" s="84"/>
      <c r="H414" s="244"/>
      <c r="I414" s="234"/>
      <c r="J414" s="233"/>
      <c r="K414" s="233"/>
      <c r="L414" s="163"/>
      <c r="M414" s="234"/>
      <c r="N414" s="234"/>
      <c r="O414" s="162"/>
      <c r="P414" s="162"/>
      <c r="Q414" s="235"/>
      <c r="R414" s="235"/>
      <c r="S414" s="235"/>
      <c r="T414" s="236"/>
      <c r="U414" s="237"/>
      <c r="V414" s="237"/>
      <c r="W414" s="237"/>
      <c r="X414" s="234"/>
    </row>
    <row r="415" spans="2:24" ht="14.25" customHeight="1" x14ac:dyDescent="0.25">
      <c r="B415" s="246"/>
      <c r="C415" s="242"/>
      <c r="D415" s="84"/>
      <c r="E415" s="84"/>
      <c r="F415" s="84"/>
      <c r="G415" s="84"/>
      <c r="H415" s="244"/>
      <c r="I415" s="234"/>
      <c r="J415" s="233"/>
      <c r="K415" s="233"/>
      <c r="L415" s="163"/>
      <c r="M415" s="234"/>
      <c r="N415" s="234"/>
      <c r="O415" s="162"/>
      <c r="P415" s="162"/>
      <c r="Q415" s="235"/>
      <c r="R415" s="235"/>
      <c r="S415" s="235"/>
      <c r="T415" s="236"/>
      <c r="U415" s="237"/>
      <c r="V415" s="237"/>
      <c r="W415" s="237"/>
      <c r="X415" s="234"/>
    </row>
    <row r="416" spans="2:24" ht="14.25" customHeight="1" x14ac:dyDescent="0.25">
      <c r="B416" s="246"/>
      <c r="C416" s="242"/>
      <c r="D416" s="84"/>
      <c r="E416" s="84"/>
      <c r="F416" s="84"/>
      <c r="G416" s="84"/>
      <c r="H416" s="244"/>
      <c r="I416" s="234"/>
      <c r="J416" s="233"/>
      <c r="K416" s="233"/>
      <c r="L416" s="163"/>
      <c r="M416" s="234"/>
      <c r="N416" s="234"/>
      <c r="O416" s="162"/>
      <c r="P416" s="162"/>
      <c r="Q416" s="235"/>
      <c r="R416" s="235"/>
      <c r="S416" s="235"/>
      <c r="T416" s="236"/>
      <c r="U416" s="237"/>
      <c r="V416" s="237"/>
      <c r="W416" s="237"/>
      <c r="X416" s="234"/>
    </row>
    <row r="417" spans="2:24" ht="14.25" customHeight="1" x14ac:dyDescent="0.25">
      <c r="B417" s="246"/>
      <c r="C417" s="242"/>
      <c r="D417" s="84"/>
      <c r="E417" s="84"/>
      <c r="F417" s="84"/>
      <c r="G417" s="84"/>
      <c r="H417" s="244"/>
      <c r="I417" s="234"/>
      <c r="J417" s="233"/>
      <c r="K417" s="233"/>
      <c r="L417" s="163"/>
      <c r="M417" s="234"/>
      <c r="N417" s="234"/>
      <c r="O417" s="162"/>
      <c r="P417" s="162"/>
      <c r="Q417" s="235"/>
      <c r="R417" s="235"/>
      <c r="S417" s="235"/>
      <c r="T417" s="236"/>
      <c r="U417" s="237"/>
      <c r="V417" s="237"/>
      <c r="W417" s="237"/>
      <c r="X417" s="234"/>
    </row>
    <row r="418" spans="2:24" ht="14.25" customHeight="1" x14ac:dyDescent="0.25">
      <c r="B418" s="246"/>
      <c r="C418" s="242"/>
      <c r="D418" s="84"/>
      <c r="E418" s="84"/>
      <c r="F418" s="84"/>
      <c r="G418" s="84"/>
      <c r="H418" s="244"/>
      <c r="I418" s="234"/>
      <c r="J418" s="233"/>
      <c r="K418" s="233"/>
      <c r="L418" s="163"/>
      <c r="M418" s="234"/>
      <c r="N418" s="234"/>
      <c r="O418" s="162"/>
      <c r="P418" s="162"/>
      <c r="Q418" s="235"/>
      <c r="R418" s="235"/>
      <c r="S418" s="235"/>
      <c r="T418" s="236"/>
      <c r="U418" s="237"/>
      <c r="V418" s="237"/>
      <c r="W418" s="237"/>
      <c r="X418" s="234"/>
    </row>
    <row r="419" spans="2:24" ht="14.25" customHeight="1" x14ac:dyDescent="0.25">
      <c r="B419" s="246"/>
      <c r="C419" s="242"/>
      <c r="D419" s="84"/>
      <c r="E419" s="84"/>
      <c r="F419" s="84"/>
      <c r="G419" s="84"/>
      <c r="H419" s="244"/>
      <c r="I419" s="234"/>
      <c r="J419" s="233"/>
      <c r="K419" s="233"/>
      <c r="L419" s="163"/>
      <c r="M419" s="234"/>
      <c r="N419" s="234"/>
      <c r="O419" s="162"/>
      <c r="P419" s="162"/>
      <c r="Q419" s="235"/>
      <c r="R419" s="235"/>
      <c r="S419" s="235"/>
      <c r="T419" s="236"/>
      <c r="U419" s="237"/>
      <c r="V419" s="237"/>
      <c r="W419" s="237"/>
      <c r="X419" s="234"/>
    </row>
    <row r="420" spans="2:24" ht="14.25" customHeight="1" x14ac:dyDescent="0.25">
      <c r="B420" s="246"/>
      <c r="C420" s="242"/>
      <c r="D420" s="84"/>
      <c r="E420" s="84"/>
      <c r="F420" s="84"/>
      <c r="G420" s="84"/>
      <c r="H420" s="244"/>
      <c r="I420" s="234"/>
      <c r="J420" s="233"/>
      <c r="K420" s="233"/>
      <c r="L420" s="163"/>
      <c r="M420" s="234"/>
      <c r="N420" s="234"/>
      <c r="O420" s="162"/>
      <c r="P420" s="162"/>
      <c r="Q420" s="235"/>
      <c r="R420" s="235"/>
      <c r="S420" s="235"/>
      <c r="T420" s="236"/>
      <c r="U420" s="237"/>
      <c r="V420" s="237"/>
      <c r="W420" s="237"/>
      <c r="X420" s="234"/>
    </row>
    <row r="421" spans="2:24" ht="14.25" customHeight="1" x14ac:dyDescent="0.25">
      <c r="B421" s="246"/>
      <c r="C421" s="242"/>
      <c r="D421" s="84"/>
      <c r="E421" s="84"/>
      <c r="F421" s="84"/>
      <c r="G421" s="84"/>
      <c r="H421" s="244"/>
      <c r="I421" s="234"/>
      <c r="J421" s="233"/>
      <c r="K421" s="233"/>
      <c r="L421" s="163"/>
      <c r="M421" s="234"/>
      <c r="N421" s="234"/>
      <c r="O421" s="162"/>
      <c r="P421" s="162"/>
      <c r="Q421" s="235"/>
      <c r="R421" s="235"/>
      <c r="S421" s="235"/>
      <c r="T421" s="236"/>
      <c r="U421" s="237"/>
      <c r="V421" s="237"/>
      <c r="W421" s="237"/>
      <c r="X421" s="234"/>
    </row>
    <row r="422" spans="2:24" ht="14.25" customHeight="1" x14ac:dyDescent="0.25">
      <c r="B422" s="246"/>
      <c r="C422" s="242"/>
      <c r="D422" s="84"/>
      <c r="E422" s="84"/>
      <c r="F422" s="84"/>
      <c r="G422" s="84"/>
      <c r="H422" s="244"/>
      <c r="I422" s="234"/>
      <c r="J422" s="233"/>
      <c r="K422" s="233"/>
      <c r="L422" s="163"/>
      <c r="M422" s="234"/>
      <c r="N422" s="234"/>
      <c r="O422" s="162"/>
      <c r="P422" s="162"/>
      <c r="Q422" s="235"/>
      <c r="R422" s="235"/>
      <c r="S422" s="235"/>
      <c r="T422" s="236"/>
      <c r="U422" s="237"/>
      <c r="V422" s="237"/>
      <c r="W422" s="237"/>
      <c r="X422" s="234"/>
    </row>
    <row r="423" spans="2:24" ht="14.25" customHeight="1" x14ac:dyDescent="0.25">
      <c r="B423" s="246"/>
      <c r="C423" s="242"/>
      <c r="D423" s="84"/>
      <c r="E423" s="84"/>
      <c r="F423" s="84"/>
      <c r="G423" s="84"/>
      <c r="H423" s="244"/>
      <c r="I423" s="234"/>
      <c r="J423" s="233"/>
      <c r="K423" s="233"/>
      <c r="L423" s="163"/>
      <c r="M423" s="234"/>
      <c r="N423" s="234"/>
      <c r="O423" s="162"/>
      <c r="P423" s="162"/>
      <c r="Q423" s="235"/>
      <c r="R423" s="235"/>
      <c r="S423" s="235"/>
      <c r="T423" s="236"/>
      <c r="U423" s="237"/>
      <c r="V423" s="237"/>
      <c r="W423" s="237"/>
      <c r="X423" s="234"/>
    </row>
    <row r="424" spans="2:24" ht="14.25" customHeight="1" x14ac:dyDescent="0.25">
      <c r="B424" s="246"/>
      <c r="C424" s="242"/>
      <c r="D424" s="84"/>
      <c r="E424" s="84"/>
      <c r="F424" s="84"/>
      <c r="G424" s="84"/>
      <c r="H424" s="244"/>
      <c r="I424" s="234"/>
      <c r="J424" s="233"/>
      <c r="K424" s="233"/>
      <c r="L424" s="163"/>
      <c r="M424" s="234"/>
      <c r="N424" s="234"/>
      <c r="O424" s="162"/>
      <c r="P424" s="162"/>
      <c r="Q424" s="235"/>
      <c r="R424" s="235"/>
      <c r="S424" s="235"/>
      <c r="T424" s="236"/>
      <c r="U424" s="237"/>
      <c r="V424" s="237"/>
      <c r="W424" s="237"/>
      <c r="X424" s="234"/>
    </row>
    <row r="425" spans="2:24" ht="14.25" customHeight="1" x14ac:dyDescent="0.25">
      <c r="B425" s="246"/>
      <c r="C425" s="242"/>
      <c r="D425" s="84"/>
      <c r="E425" s="84"/>
      <c r="F425" s="84"/>
      <c r="G425" s="84"/>
      <c r="H425" s="244"/>
      <c r="I425" s="234"/>
      <c r="J425" s="233"/>
      <c r="K425" s="233"/>
      <c r="L425" s="163"/>
      <c r="M425" s="234"/>
      <c r="N425" s="234"/>
      <c r="O425" s="162"/>
      <c r="P425" s="162"/>
      <c r="Q425" s="235"/>
      <c r="R425" s="235"/>
      <c r="S425" s="235"/>
      <c r="T425" s="236"/>
      <c r="U425" s="237"/>
      <c r="V425" s="237"/>
      <c r="W425" s="237"/>
      <c r="X425" s="234"/>
    </row>
    <row r="426" spans="2:24" ht="14.25" customHeight="1" x14ac:dyDescent="0.25">
      <c r="B426" s="246"/>
      <c r="C426" s="242"/>
      <c r="D426" s="84"/>
      <c r="E426" s="84"/>
      <c r="F426" s="84"/>
      <c r="G426" s="84"/>
      <c r="H426" s="244"/>
      <c r="I426" s="234"/>
      <c r="J426" s="233"/>
      <c r="K426" s="233"/>
      <c r="L426" s="163"/>
      <c r="M426" s="234"/>
      <c r="N426" s="234"/>
      <c r="O426" s="162"/>
      <c r="P426" s="162"/>
      <c r="Q426" s="235"/>
      <c r="R426" s="235"/>
      <c r="S426" s="235"/>
      <c r="T426" s="236"/>
      <c r="U426" s="237"/>
      <c r="V426" s="237"/>
      <c r="W426" s="237"/>
      <c r="X426" s="234"/>
    </row>
    <row r="427" spans="2:24" ht="14.25" customHeight="1" x14ac:dyDescent="0.25">
      <c r="B427" s="246"/>
      <c r="C427" s="242"/>
      <c r="D427" s="84"/>
      <c r="E427" s="84"/>
      <c r="F427" s="84"/>
      <c r="G427" s="84"/>
      <c r="H427" s="244"/>
      <c r="I427" s="234"/>
      <c r="J427" s="233"/>
      <c r="K427" s="233"/>
      <c r="L427" s="163"/>
      <c r="M427" s="234"/>
      <c r="N427" s="234"/>
      <c r="O427" s="162"/>
      <c r="P427" s="162"/>
      <c r="Q427" s="235"/>
      <c r="R427" s="235"/>
      <c r="S427" s="235"/>
      <c r="T427" s="236"/>
      <c r="U427" s="237"/>
      <c r="V427" s="237"/>
      <c r="W427" s="237"/>
      <c r="X427" s="234"/>
    </row>
    <row r="428" spans="2:24" ht="14.25" customHeight="1" x14ac:dyDescent="0.25">
      <c r="B428" s="246"/>
      <c r="C428" s="242"/>
      <c r="D428" s="84"/>
      <c r="E428" s="84"/>
      <c r="F428" s="84"/>
      <c r="G428" s="84"/>
      <c r="H428" s="244"/>
      <c r="I428" s="234"/>
      <c r="J428" s="233"/>
      <c r="K428" s="233"/>
      <c r="L428" s="163"/>
      <c r="M428" s="234"/>
      <c r="N428" s="234"/>
      <c r="O428" s="162"/>
      <c r="P428" s="162"/>
      <c r="Q428" s="235"/>
      <c r="R428" s="235"/>
      <c r="S428" s="235"/>
      <c r="T428" s="236"/>
      <c r="U428" s="237"/>
      <c r="V428" s="237"/>
      <c r="W428" s="237"/>
      <c r="X428" s="234"/>
    </row>
    <row r="429" spans="2:24" ht="14.25" customHeight="1" x14ac:dyDescent="0.25">
      <c r="B429" s="246"/>
      <c r="C429" s="242"/>
      <c r="D429" s="84"/>
      <c r="E429" s="84"/>
      <c r="F429" s="84"/>
      <c r="G429" s="84"/>
      <c r="H429" s="244"/>
      <c r="I429" s="234"/>
      <c r="J429" s="233"/>
      <c r="K429" s="233"/>
      <c r="L429" s="163"/>
      <c r="M429" s="234"/>
      <c r="N429" s="234"/>
      <c r="O429" s="162"/>
      <c r="P429" s="162"/>
      <c r="Q429" s="235"/>
      <c r="R429" s="235"/>
      <c r="S429" s="235"/>
      <c r="T429" s="236"/>
      <c r="U429" s="237"/>
      <c r="V429" s="237"/>
      <c r="W429" s="237"/>
      <c r="X429" s="234"/>
    </row>
    <row r="430" spans="2:24" ht="14.25" customHeight="1" x14ac:dyDescent="0.25">
      <c r="B430" s="246"/>
      <c r="C430" s="242"/>
      <c r="D430" s="84"/>
      <c r="E430" s="84"/>
      <c r="F430" s="84"/>
      <c r="G430" s="84"/>
      <c r="H430" s="244"/>
      <c r="I430" s="234"/>
      <c r="J430" s="233"/>
      <c r="K430" s="233"/>
      <c r="L430" s="163"/>
      <c r="M430" s="234"/>
      <c r="N430" s="234"/>
      <c r="O430" s="162"/>
      <c r="P430" s="162"/>
      <c r="Q430" s="235"/>
      <c r="R430" s="235"/>
      <c r="S430" s="235"/>
      <c r="T430" s="236"/>
      <c r="U430" s="237"/>
      <c r="V430" s="237"/>
      <c r="W430" s="237"/>
      <c r="X430" s="234"/>
    </row>
    <row r="431" spans="2:24" ht="14.25" customHeight="1" x14ac:dyDescent="0.25">
      <c r="B431" s="246"/>
      <c r="C431" s="242"/>
      <c r="D431" s="84"/>
      <c r="E431" s="84"/>
      <c r="F431" s="84"/>
      <c r="G431" s="84"/>
      <c r="H431" s="244"/>
      <c r="I431" s="234"/>
      <c r="J431" s="233"/>
      <c r="K431" s="233"/>
      <c r="L431" s="163"/>
      <c r="M431" s="234"/>
      <c r="N431" s="234"/>
      <c r="O431" s="162"/>
      <c r="P431" s="162"/>
      <c r="Q431" s="235"/>
      <c r="R431" s="235"/>
      <c r="S431" s="235"/>
      <c r="T431" s="236"/>
      <c r="U431" s="237"/>
      <c r="V431" s="237"/>
      <c r="W431" s="237"/>
      <c r="X431" s="234"/>
    </row>
    <row r="432" spans="2:24" ht="14.25" customHeight="1" x14ac:dyDescent="0.25">
      <c r="B432" s="246"/>
      <c r="C432" s="242"/>
      <c r="D432" s="84"/>
      <c r="E432" s="84"/>
      <c r="F432" s="84"/>
      <c r="G432" s="84"/>
      <c r="H432" s="244"/>
      <c r="I432" s="234"/>
      <c r="J432" s="233"/>
      <c r="K432" s="233"/>
      <c r="L432" s="163"/>
      <c r="M432" s="234"/>
      <c r="N432" s="234"/>
      <c r="O432" s="162"/>
      <c r="P432" s="162"/>
      <c r="Q432" s="235"/>
      <c r="R432" s="235"/>
      <c r="S432" s="235"/>
      <c r="T432" s="236"/>
      <c r="U432" s="237"/>
      <c r="V432" s="237"/>
      <c r="W432" s="237"/>
      <c r="X432" s="234"/>
    </row>
    <row r="433" spans="2:24" ht="14.25" customHeight="1" x14ac:dyDescent="0.25">
      <c r="B433" s="246"/>
      <c r="C433" s="242"/>
      <c r="D433" s="84"/>
      <c r="E433" s="84"/>
      <c r="F433" s="84"/>
      <c r="G433" s="84"/>
      <c r="H433" s="244"/>
      <c r="I433" s="234"/>
      <c r="J433" s="233"/>
      <c r="K433" s="233"/>
      <c r="L433" s="163"/>
      <c r="M433" s="234"/>
      <c r="N433" s="234"/>
      <c r="O433" s="162"/>
      <c r="P433" s="162"/>
      <c r="Q433" s="235"/>
      <c r="R433" s="235"/>
      <c r="S433" s="235"/>
      <c r="T433" s="236"/>
      <c r="U433" s="237"/>
      <c r="V433" s="237"/>
      <c r="W433" s="237"/>
      <c r="X433" s="234"/>
    </row>
    <row r="434" spans="2:24" ht="14.25" customHeight="1" x14ac:dyDescent="0.25">
      <c r="B434" s="246"/>
      <c r="C434" s="242"/>
      <c r="D434" s="84"/>
      <c r="E434" s="84"/>
      <c r="F434" s="84"/>
      <c r="G434" s="84"/>
      <c r="H434" s="244"/>
      <c r="I434" s="234"/>
      <c r="J434" s="233"/>
      <c r="K434" s="233"/>
      <c r="L434" s="163"/>
      <c r="M434" s="234"/>
      <c r="N434" s="234"/>
      <c r="O434" s="162"/>
      <c r="P434" s="162"/>
      <c r="Q434" s="235"/>
      <c r="R434" s="235"/>
      <c r="S434" s="235"/>
      <c r="T434" s="236"/>
      <c r="U434" s="237"/>
      <c r="V434" s="237"/>
      <c r="W434" s="237"/>
      <c r="X434" s="234"/>
    </row>
    <row r="435" spans="2:24" ht="14.25" customHeight="1" x14ac:dyDescent="0.25">
      <c r="B435" s="246"/>
      <c r="C435" s="242"/>
      <c r="D435" s="84"/>
      <c r="E435" s="84"/>
      <c r="F435" s="84"/>
      <c r="G435" s="84"/>
      <c r="H435" s="244"/>
      <c r="I435" s="234"/>
      <c r="J435" s="233"/>
      <c r="K435" s="233"/>
      <c r="L435" s="163"/>
      <c r="M435" s="234"/>
      <c r="N435" s="234"/>
      <c r="O435" s="162"/>
      <c r="P435" s="162"/>
      <c r="Q435" s="235"/>
      <c r="R435" s="235"/>
      <c r="S435" s="235"/>
      <c r="T435" s="236"/>
      <c r="U435" s="237"/>
      <c r="V435" s="237"/>
      <c r="W435" s="237"/>
      <c r="X435" s="234"/>
    </row>
    <row r="436" spans="2:24" ht="14.25" customHeight="1" x14ac:dyDescent="0.25">
      <c r="B436" s="246"/>
      <c r="C436" s="242"/>
      <c r="D436" s="84"/>
      <c r="E436" s="84"/>
      <c r="F436" s="84"/>
      <c r="G436" s="84"/>
      <c r="H436" s="244"/>
      <c r="I436" s="234"/>
      <c r="J436" s="233"/>
      <c r="K436" s="233"/>
      <c r="L436" s="163"/>
      <c r="M436" s="234"/>
      <c r="N436" s="234"/>
      <c r="O436" s="162"/>
      <c r="P436" s="162"/>
      <c r="Q436" s="235"/>
      <c r="R436" s="235"/>
      <c r="S436" s="235"/>
      <c r="T436" s="236"/>
      <c r="U436" s="237"/>
      <c r="V436" s="237"/>
      <c r="W436" s="237"/>
      <c r="X436" s="234"/>
    </row>
    <row r="437" spans="2:24" ht="14.25" customHeight="1" x14ac:dyDescent="0.25">
      <c r="B437" s="246"/>
      <c r="C437" s="242"/>
      <c r="D437" s="84"/>
      <c r="E437" s="84"/>
      <c r="F437" s="84"/>
      <c r="G437" s="84"/>
      <c r="H437" s="244"/>
      <c r="I437" s="234"/>
      <c r="J437" s="233"/>
      <c r="K437" s="233"/>
      <c r="L437" s="163"/>
      <c r="M437" s="234"/>
      <c r="N437" s="234"/>
      <c r="O437" s="162"/>
      <c r="P437" s="162"/>
      <c r="Q437" s="235"/>
      <c r="R437" s="235"/>
      <c r="S437" s="235"/>
      <c r="T437" s="236"/>
      <c r="U437" s="237"/>
      <c r="V437" s="237"/>
      <c r="W437" s="237"/>
      <c r="X437" s="234"/>
    </row>
    <row r="438" spans="2:24" ht="14.25" customHeight="1" x14ac:dyDescent="0.25">
      <c r="B438" s="246"/>
      <c r="C438" s="242"/>
      <c r="D438" s="84"/>
      <c r="E438" s="84"/>
      <c r="F438" s="84"/>
      <c r="G438" s="84"/>
      <c r="H438" s="244"/>
      <c r="I438" s="234"/>
      <c r="J438" s="233"/>
      <c r="K438" s="233"/>
      <c r="L438" s="163"/>
      <c r="M438" s="234"/>
      <c r="N438" s="234"/>
      <c r="O438" s="162"/>
      <c r="P438" s="162"/>
      <c r="Q438" s="235"/>
      <c r="R438" s="235"/>
      <c r="S438" s="235"/>
      <c r="T438" s="236"/>
      <c r="U438" s="237"/>
      <c r="V438" s="237"/>
      <c r="W438" s="237"/>
      <c r="X438" s="234"/>
    </row>
    <row r="439" spans="2:24" ht="14.25" customHeight="1" x14ac:dyDescent="0.25">
      <c r="B439" s="246"/>
      <c r="C439" s="242"/>
      <c r="D439" s="84"/>
      <c r="E439" s="84"/>
      <c r="F439" s="84"/>
      <c r="G439" s="84"/>
      <c r="H439" s="244"/>
      <c r="I439" s="234"/>
      <c r="J439" s="233"/>
      <c r="K439" s="233"/>
      <c r="L439" s="163"/>
      <c r="M439" s="234"/>
      <c r="N439" s="234"/>
      <c r="O439" s="162"/>
      <c r="P439" s="162"/>
      <c r="Q439" s="235"/>
      <c r="R439" s="235"/>
      <c r="S439" s="235"/>
      <c r="T439" s="236"/>
      <c r="U439" s="237"/>
      <c r="V439" s="237"/>
      <c r="W439" s="237"/>
      <c r="X439" s="234"/>
    </row>
    <row r="440" spans="2:24" ht="14.25" customHeight="1" x14ac:dyDescent="0.25">
      <c r="B440" s="246"/>
      <c r="C440" s="242"/>
      <c r="D440" s="84"/>
      <c r="E440" s="84"/>
      <c r="F440" s="84"/>
      <c r="G440" s="84"/>
      <c r="H440" s="244"/>
      <c r="I440" s="234"/>
      <c r="J440" s="233"/>
      <c r="K440" s="233"/>
      <c r="L440" s="163"/>
      <c r="M440" s="234"/>
      <c r="N440" s="234"/>
      <c r="O440" s="162"/>
      <c r="P440" s="162"/>
      <c r="Q440" s="235"/>
      <c r="R440" s="235"/>
      <c r="S440" s="235"/>
      <c r="T440" s="236"/>
      <c r="U440" s="237"/>
      <c r="V440" s="237"/>
      <c r="W440" s="237"/>
      <c r="X440" s="234"/>
    </row>
    <row r="441" spans="2:24" ht="14.25" customHeight="1" x14ac:dyDescent="0.25">
      <c r="B441" s="246"/>
      <c r="C441" s="242"/>
      <c r="D441" s="84"/>
      <c r="E441" s="84"/>
      <c r="F441" s="84"/>
      <c r="G441" s="84"/>
      <c r="H441" s="244"/>
      <c r="I441" s="234"/>
      <c r="J441" s="233"/>
      <c r="K441" s="233"/>
      <c r="L441" s="163"/>
      <c r="M441" s="234"/>
      <c r="N441" s="234"/>
      <c r="O441" s="162"/>
      <c r="P441" s="162"/>
      <c r="Q441" s="235"/>
      <c r="R441" s="235"/>
      <c r="S441" s="235"/>
      <c r="T441" s="236"/>
      <c r="U441" s="237"/>
      <c r="V441" s="237"/>
      <c r="W441" s="237"/>
      <c r="X441" s="234"/>
    </row>
    <row r="442" spans="2:24" ht="14.25" customHeight="1" x14ac:dyDescent="0.25">
      <c r="B442" s="246"/>
      <c r="C442" s="242"/>
      <c r="D442" s="84"/>
      <c r="E442" s="84"/>
      <c r="F442" s="84"/>
      <c r="G442" s="84"/>
      <c r="H442" s="244"/>
      <c r="I442" s="234"/>
      <c r="J442" s="233"/>
      <c r="K442" s="233"/>
      <c r="L442" s="163"/>
      <c r="M442" s="234"/>
      <c r="N442" s="234"/>
      <c r="O442" s="162"/>
      <c r="P442" s="162"/>
      <c r="Q442" s="235"/>
      <c r="R442" s="235"/>
      <c r="S442" s="235"/>
      <c r="T442" s="236"/>
      <c r="U442" s="237"/>
      <c r="V442" s="237"/>
      <c r="W442" s="237"/>
      <c r="X442" s="234"/>
    </row>
    <row r="443" spans="2:24" ht="14.25" customHeight="1" x14ac:dyDescent="0.25">
      <c r="B443" s="246"/>
      <c r="C443" s="242"/>
      <c r="D443" s="84"/>
      <c r="E443" s="84"/>
      <c r="F443" s="84"/>
      <c r="G443" s="84"/>
      <c r="H443" s="244"/>
      <c r="I443" s="234"/>
      <c r="J443" s="233"/>
      <c r="K443" s="233"/>
      <c r="L443" s="163"/>
      <c r="M443" s="234"/>
      <c r="N443" s="234"/>
      <c r="O443" s="162"/>
      <c r="P443" s="162"/>
      <c r="Q443" s="235"/>
      <c r="R443" s="235"/>
      <c r="S443" s="235"/>
      <c r="T443" s="236"/>
      <c r="U443" s="237"/>
      <c r="V443" s="237"/>
      <c r="W443" s="237"/>
      <c r="X443" s="234"/>
    </row>
    <row r="444" spans="2:24" ht="14.25" customHeight="1" x14ac:dyDescent="0.25">
      <c r="B444" s="246"/>
      <c r="C444" s="242"/>
      <c r="D444" s="84"/>
      <c r="E444" s="84"/>
      <c r="F444" s="84"/>
      <c r="G444" s="84"/>
      <c r="H444" s="244"/>
      <c r="I444" s="234"/>
      <c r="J444" s="233"/>
      <c r="K444" s="233"/>
      <c r="L444" s="163"/>
      <c r="M444" s="234"/>
      <c r="N444" s="234"/>
      <c r="O444" s="162"/>
      <c r="P444" s="162"/>
      <c r="Q444" s="235"/>
      <c r="R444" s="235"/>
      <c r="S444" s="235"/>
      <c r="T444" s="236"/>
      <c r="U444" s="237"/>
      <c r="V444" s="237"/>
      <c r="W444" s="237"/>
      <c r="X444" s="234"/>
    </row>
    <row r="445" spans="2:24" ht="14.25" customHeight="1" x14ac:dyDescent="0.25">
      <c r="B445" s="246"/>
      <c r="C445" s="242"/>
      <c r="D445" s="84"/>
      <c r="E445" s="84"/>
      <c r="F445" s="84"/>
      <c r="G445" s="84"/>
      <c r="H445" s="244"/>
      <c r="I445" s="234"/>
      <c r="J445" s="233"/>
      <c r="K445" s="233"/>
      <c r="L445" s="163"/>
      <c r="M445" s="234"/>
      <c r="N445" s="234"/>
      <c r="O445" s="162"/>
      <c r="P445" s="162"/>
      <c r="Q445" s="235"/>
      <c r="R445" s="235"/>
      <c r="S445" s="235"/>
      <c r="T445" s="236"/>
      <c r="U445" s="237"/>
      <c r="V445" s="237"/>
      <c r="W445" s="237"/>
      <c r="X445" s="234"/>
    </row>
    <row r="446" spans="2:24" ht="14.25" customHeight="1" x14ac:dyDescent="0.25">
      <c r="B446" s="246"/>
      <c r="C446" s="242"/>
      <c r="D446" s="84"/>
      <c r="E446" s="84"/>
      <c r="F446" s="84"/>
      <c r="G446" s="84"/>
      <c r="H446" s="244"/>
      <c r="I446" s="234"/>
      <c r="J446" s="233"/>
      <c r="K446" s="233"/>
      <c r="L446" s="163"/>
      <c r="M446" s="234"/>
      <c r="N446" s="234"/>
      <c r="O446" s="162"/>
      <c r="P446" s="162"/>
      <c r="Q446" s="235"/>
      <c r="R446" s="235"/>
      <c r="S446" s="235"/>
      <c r="T446" s="236"/>
      <c r="U446" s="237"/>
      <c r="V446" s="237"/>
      <c r="W446" s="237"/>
      <c r="X446" s="234"/>
    </row>
    <row r="447" spans="2:24" ht="14.25" customHeight="1" x14ac:dyDescent="0.25">
      <c r="B447" s="246"/>
      <c r="C447" s="242"/>
      <c r="D447" s="84"/>
      <c r="E447" s="84"/>
      <c r="F447" s="84"/>
      <c r="G447" s="84"/>
      <c r="H447" s="244"/>
      <c r="I447" s="234"/>
      <c r="J447" s="233"/>
      <c r="K447" s="233"/>
      <c r="L447" s="163"/>
      <c r="M447" s="234"/>
      <c r="N447" s="234"/>
      <c r="O447" s="162"/>
      <c r="P447" s="162"/>
      <c r="Q447" s="235"/>
      <c r="R447" s="235"/>
      <c r="S447" s="235"/>
      <c r="T447" s="236"/>
      <c r="U447" s="237"/>
      <c r="V447" s="237"/>
      <c r="W447" s="237"/>
      <c r="X447" s="234"/>
    </row>
    <row r="448" spans="2:24" ht="14.25" customHeight="1" x14ac:dyDescent="0.25">
      <c r="B448" s="246"/>
      <c r="C448" s="242"/>
      <c r="D448" s="84"/>
      <c r="E448" s="84"/>
      <c r="F448" s="84"/>
      <c r="G448" s="84"/>
      <c r="H448" s="244"/>
      <c r="I448" s="234"/>
      <c r="J448" s="233"/>
      <c r="K448" s="233"/>
      <c r="L448" s="163"/>
      <c r="M448" s="234"/>
      <c r="N448" s="234"/>
      <c r="O448" s="162"/>
      <c r="P448" s="162"/>
      <c r="Q448" s="235"/>
      <c r="R448" s="235"/>
      <c r="S448" s="235"/>
      <c r="T448" s="236"/>
      <c r="U448" s="237"/>
      <c r="V448" s="237"/>
      <c r="W448" s="237"/>
      <c r="X448" s="234"/>
    </row>
    <row r="449" spans="2:24" ht="14.25" customHeight="1" x14ac:dyDescent="0.25">
      <c r="B449" s="246"/>
      <c r="C449" s="242"/>
      <c r="D449" s="84"/>
      <c r="E449" s="84"/>
      <c r="F449" s="84"/>
      <c r="G449" s="84"/>
      <c r="H449" s="244"/>
      <c r="I449" s="234"/>
      <c r="J449" s="233"/>
      <c r="K449" s="233"/>
      <c r="L449" s="163"/>
      <c r="M449" s="234"/>
      <c r="N449" s="234"/>
      <c r="O449" s="162"/>
      <c r="P449" s="162"/>
      <c r="Q449" s="235"/>
      <c r="R449" s="235"/>
      <c r="S449" s="235"/>
      <c r="T449" s="236"/>
      <c r="U449" s="237"/>
      <c r="V449" s="237"/>
      <c r="W449" s="237"/>
      <c r="X449" s="234"/>
    </row>
    <row r="450" spans="2:24" ht="14.25" customHeight="1" x14ac:dyDescent="0.25">
      <c r="B450" s="246"/>
      <c r="C450" s="242"/>
      <c r="D450" s="84"/>
      <c r="E450" s="84"/>
      <c r="F450" s="84"/>
      <c r="G450" s="84"/>
      <c r="H450" s="244"/>
      <c r="I450" s="234"/>
      <c r="J450" s="233"/>
      <c r="K450" s="233"/>
      <c r="L450" s="163"/>
      <c r="M450" s="234"/>
      <c r="N450" s="234"/>
      <c r="O450" s="162"/>
      <c r="P450" s="162"/>
      <c r="Q450" s="235"/>
      <c r="R450" s="235"/>
      <c r="S450" s="235"/>
      <c r="T450" s="236"/>
      <c r="U450" s="237"/>
      <c r="V450" s="237"/>
      <c r="W450" s="237"/>
      <c r="X450" s="234"/>
    </row>
    <row r="451" spans="2:24" ht="14.25" customHeight="1" x14ac:dyDescent="0.25">
      <c r="B451" s="246"/>
      <c r="C451" s="242"/>
      <c r="D451" s="84"/>
      <c r="E451" s="84"/>
      <c r="F451" s="84"/>
      <c r="G451" s="84"/>
      <c r="H451" s="244"/>
      <c r="I451" s="234"/>
      <c r="J451" s="233"/>
      <c r="K451" s="233"/>
      <c r="L451" s="163"/>
      <c r="M451" s="234"/>
      <c r="N451" s="234"/>
      <c r="O451" s="162"/>
      <c r="P451" s="162"/>
      <c r="Q451" s="235"/>
      <c r="R451" s="235"/>
      <c r="S451" s="235"/>
      <c r="T451" s="236"/>
      <c r="U451" s="237"/>
      <c r="V451" s="237"/>
      <c r="W451" s="237"/>
      <c r="X451" s="234"/>
    </row>
    <row r="452" spans="2:24" ht="14.25" customHeight="1" x14ac:dyDescent="0.25">
      <c r="B452" s="246"/>
      <c r="C452" s="242"/>
      <c r="D452" s="84"/>
      <c r="E452" s="84"/>
      <c r="F452" s="84"/>
      <c r="G452" s="84"/>
      <c r="H452" s="244"/>
      <c r="I452" s="234"/>
      <c r="J452" s="233"/>
      <c r="K452" s="233"/>
      <c r="L452" s="163"/>
      <c r="M452" s="234"/>
      <c r="N452" s="234"/>
      <c r="O452" s="162"/>
      <c r="P452" s="162"/>
      <c r="Q452" s="235"/>
      <c r="R452" s="235"/>
      <c r="S452" s="235"/>
      <c r="T452" s="236"/>
      <c r="U452" s="237"/>
      <c r="V452" s="237"/>
      <c r="W452" s="237"/>
      <c r="X452" s="234"/>
    </row>
    <row r="453" spans="2:24" ht="14.25" customHeight="1" x14ac:dyDescent="0.25">
      <c r="B453" s="246"/>
      <c r="C453" s="242"/>
      <c r="D453" s="84"/>
      <c r="E453" s="84"/>
      <c r="F453" s="84"/>
      <c r="G453" s="84"/>
      <c r="H453" s="244"/>
      <c r="I453" s="234"/>
      <c r="J453" s="233"/>
      <c r="K453" s="233"/>
      <c r="L453" s="163"/>
      <c r="M453" s="234"/>
      <c r="N453" s="234"/>
      <c r="O453" s="162"/>
      <c r="P453" s="162"/>
      <c r="Q453" s="235"/>
      <c r="R453" s="235"/>
      <c r="S453" s="235"/>
      <c r="T453" s="236"/>
      <c r="U453" s="237"/>
      <c r="V453" s="237"/>
      <c r="W453" s="237"/>
      <c r="X453" s="234"/>
    </row>
    <row r="454" spans="2:24" ht="14.25" customHeight="1" x14ac:dyDescent="0.25">
      <c r="B454" s="246"/>
      <c r="C454" s="242"/>
      <c r="D454" s="84"/>
      <c r="E454" s="84"/>
      <c r="F454" s="84"/>
      <c r="G454" s="84"/>
      <c r="H454" s="244"/>
      <c r="I454" s="234"/>
      <c r="J454" s="233"/>
      <c r="K454" s="233"/>
      <c r="L454" s="163"/>
      <c r="M454" s="234"/>
      <c r="N454" s="234"/>
      <c r="O454" s="162"/>
      <c r="P454" s="162"/>
      <c r="Q454" s="235"/>
      <c r="R454" s="235"/>
      <c r="S454" s="235"/>
      <c r="T454" s="236"/>
      <c r="U454" s="237"/>
      <c r="V454" s="237"/>
      <c r="W454" s="237"/>
      <c r="X454" s="234"/>
    </row>
    <row r="455" spans="2:24" ht="14.25" customHeight="1" x14ac:dyDescent="0.25">
      <c r="B455" s="246"/>
      <c r="C455" s="242"/>
      <c r="D455" s="84"/>
      <c r="E455" s="84"/>
      <c r="F455" s="84"/>
      <c r="G455" s="84"/>
      <c r="H455" s="244"/>
      <c r="I455" s="234"/>
      <c r="J455" s="233"/>
      <c r="K455" s="233"/>
      <c r="L455" s="163"/>
      <c r="M455" s="234"/>
      <c r="N455" s="234"/>
      <c r="O455" s="162"/>
      <c r="P455" s="162"/>
      <c r="Q455" s="235"/>
      <c r="R455" s="235"/>
      <c r="S455" s="235"/>
      <c r="T455" s="236"/>
      <c r="U455" s="237"/>
      <c r="V455" s="237"/>
      <c r="W455" s="237"/>
      <c r="X455" s="234"/>
    </row>
    <row r="456" spans="2:24" ht="14.25" customHeight="1" x14ac:dyDescent="0.25">
      <c r="B456" s="246"/>
      <c r="C456" s="242"/>
      <c r="D456" s="84"/>
      <c r="E456" s="84"/>
      <c r="F456" s="84"/>
      <c r="G456" s="84"/>
      <c r="H456" s="244"/>
      <c r="I456" s="234"/>
      <c r="J456" s="233"/>
      <c r="K456" s="233"/>
      <c r="L456" s="163"/>
      <c r="M456" s="234"/>
      <c r="N456" s="234"/>
      <c r="O456" s="162"/>
      <c r="P456" s="162"/>
      <c r="Q456" s="235"/>
      <c r="R456" s="235"/>
      <c r="S456" s="235"/>
      <c r="T456" s="236"/>
      <c r="U456" s="237"/>
      <c r="V456" s="237"/>
      <c r="W456" s="237"/>
      <c r="X456" s="234"/>
    </row>
    <row r="457" spans="2:24" ht="14.25" customHeight="1" x14ac:dyDescent="0.25">
      <c r="B457" s="246"/>
      <c r="C457" s="242"/>
      <c r="D457" s="84"/>
      <c r="E457" s="84"/>
      <c r="F457" s="84"/>
      <c r="G457" s="84"/>
      <c r="H457" s="244"/>
      <c r="I457" s="234"/>
      <c r="J457" s="233"/>
      <c r="K457" s="233"/>
      <c r="L457" s="163"/>
      <c r="M457" s="234"/>
      <c r="N457" s="234"/>
      <c r="O457" s="162"/>
      <c r="P457" s="162"/>
      <c r="Q457" s="235"/>
      <c r="R457" s="235"/>
      <c r="S457" s="235"/>
      <c r="T457" s="236"/>
      <c r="U457" s="237"/>
      <c r="V457" s="237"/>
      <c r="W457" s="237"/>
      <c r="X457" s="234"/>
    </row>
    <row r="458" spans="2:24" ht="14.25" customHeight="1" x14ac:dyDescent="0.25">
      <c r="B458" s="246"/>
      <c r="C458" s="242"/>
      <c r="D458" s="84"/>
      <c r="E458" s="84"/>
      <c r="F458" s="84"/>
      <c r="G458" s="84"/>
      <c r="H458" s="244"/>
      <c r="I458" s="234"/>
      <c r="J458" s="233"/>
      <c r="K458" s="233"/>
      <c r="L458" s="163"/>
      <c r="M458" s="234"/>
      <c r="N458" s="234"/>
      <c r="O458" s="162"/>
      <c r="P458" s="162"/>
      <c r="Q458" s="235"/>
      <c r="R458" s="235"/>
      <c r="S458" s="235"/>
      <c r="T458" s="236"/>
      <c r="U458" s="237"/>
      <c r="V458" s="237"/>
      <c r="W458" s="237"/>
      <c r="X458" s="234"/>
    </row>
    <row r="459" spans="2:24" ht="14.25" customHeight="1" x14ac:dyDescent="0.25">
      <c r="B459" s="246"/>
      <c r="C459" s="242"/>
      <c r="D459" s="84"/>
      <c r="E459" s="84"/>
      <c r="F459" s="84"/>
      <c r="G459" s="84"/>
      <c r="H459" s="244"/>
      <c r="I459" s="234"/>
      <c r="J459" s="233"/>
      <c r="K459" s="233"/>
      <c r="L459" s="163"/>
      <c r="M459" s="234"/>
      <c r="N459" s="234"/>
      <c r="O459" s="162"/>
      <c r="P459" s="162"/>
      <c r="Q459" s="235"/>
      <c r="R459" s="235"/>
      <c r="S459" s="235"/>
      <c r="T459" s="236"/>
      <c r="U459" s="237"/>
      <c r="V459" s="237"/>
      <c r="W459" s="237"/>
      <c r="X459" s="234"/>
    </row>
    <row r="460" spans="2:24" ht="14.25" customHeight="1" x14ac:dyDescent="0.25">
      <c r="B460" s="246"/>
      <c r="C460" s="242"/>
      <c r="D460" s="84"/>
      <c r="E460" s="84"/>
      <c r="F460" s="84"/>
      <c r="G460" s="84"/>
      <c r="H460" s="244"/>
      <c r="I460" s="234"/>
      <c r="J460" s="233"/>
      <c r="K460" s="233"/>
      <c r="L460" s="163"/>
      <c r="M460" s="234"/>
      <c r="N460" s="234"/>
      <c r="O460" s="162"/>
      <c r="P460" s="162"/>
      <c r="Q460" s="235"/>
      <c r="R460" s="235"/>
      <c r="S460" s="235"/>
      <c r="T460" s="236"/>
      <c r="U460" s="237"/>
      <c r="V460" s="237"/>
      <c r="W460" s="237"/>
      <c r="X460" s="234"/>
    </row>
    <row r="461" spans="2:24" ht="14.25" customHeight="1" x14ac:dyDescent="0.25">
      <c r="B461" s="246"/>
      <c r="C461" s="242"/>
      <c r="D461" s="84"/>
      <c r="E461" s="84"/>
      <c r="F461" s="84"/>
      <c r="G461" s="84"/>
      <c r="H461" s="244"/>
      <c r="I461" s="234"/>
      <c r="J461" s="233"/>
      <c r="K461" s="233"/>
      <c r="L461" s="163"/>
      <c r="M461" s="234"/>
      <c r="N461" s="234"/>
      <c r="O461" s="162"/>
      <c r="P461" s="162"/>
      <c r="Q461" s="235"/>
      <c r="R461" s="235"/>
      <c r="S461" s="235"/>
      <c r="T461" s="236"/>
      <c r="U461" s="237"/>
      <c r="V461" s="237"/>
      <c r="W461" s="237"/>
      <c r="X461" s="234"/>
    </row>
    <row r="462" spans="2:24" ht="14.25" customHeight="1" x14ac:dyDescent="0.25">
      <c r="B462" s="246"/>
      <c r="C462" s="242"/>
      <c r="D462" s="84"/>
      <c r="E462" s="84"/>
      <c r="F462" s="84"/>
      <c r="G462" s="84"/>
      <c r="H462" s="244"/>
      <c r="I462" s="234"/>
      <c r="J462" s="233"/>
      <c r="K462" s="233"/>
      <c r="L462" s="163"/>
      <c r="M462" s="234"/>
      <c r="N462" s="234"/>
      <c r="O462" s="162"/>
      <c r="P462" s="162"/>
      <c r="Q462" s="235"/>
      <c r="R462" s="235"/>
      <c r="S462" s="235"/>
      <c r="T462" s="236"/>
      <c r="U462" s="237"/>
      <c r="V462" s="237"/>
      <c r="W462" s="237"/>
      <c r="X462" s="234"/>
    </row>
    <row r="463" spans="2:24" ht="14.25" customHeight="1" x14ac:dyDescent="0.25">
      <c r="B463" s="246"/>
      <c r="C463" s="242"/>
      <c r="D463" s="84"/>
      <c r="E463" s="84"/>
      <c r="F463" s="84"/>
      <c r="G463" s="84"/>
      <c r="H463" s="244"/>
      <c r="I463" s="234"/>
      <c r="J463" s="233"/>
      <c r="K463" s="233"/>
      <c r="L463" s="163"/>
      <c r="M463" s="234"/>
      <c r="N463" s="234"/>
      <c r="O463" s="162"/>
      <c r="P463" s="162"/>
      <c r="Q463" s="235"/>
      <c r="R463" s="235"/>
      <c r="S463" s="235"/>
      <c r="T463" s="236"/>
      <c r="U463" s="237"/>
      <c r="V463" s="237"/>
      <c r="W463" s="237"/>
      <c r="X463" s="234"/>
    </row>
    <row r="464" spans="2:24" ht="14.25" customHeight="1" x14ac:dyDescent="0.25">
      <c r="B464" s="246"/>
      <c r="C464" s="242"/>
      <c r="D464" s="84"/>
      <c r="E464" s="84"/>
      <c r="F464" s="84"/>
      <c r="G464" s="84"/>
      <c r="H464" s="244"/>
      <c r="I464" s="234"/>
      <c r="J464" s="233"/>
      <c r="K464" s="233"/>
      <c r="L464" s="163"/>
      <c r="M464" s="234"/>
      <c r="N464" s="234"/>
      <c r="O464" s="162"/>
      <c r="P464" s="162"/>
      <c r="Q464" s="235"/>
      <c r="R464" s="235"/>
      <c r="S464" s="235"/>
      <c r="T464" s="236"/>
      <c r="U464" s="237"/>
      <c r="V464" s="237"/>
      <c r="W464" s="237"/>
      <c r="X464" s="234"/>
    </row>
    <row r="465" spans="2:24" ht="14.25" customHeight="1" x14ac:dyDescent="0.25">
      <c r="B465" s="246"/>
      <c r="C465" s="242"/>
      <c r="D465" s="84"/>
      <c r="E465" s="84"/>
      <c r="F465" s="84"/>
      <c r="G465" s="84"/>
      <c r="H465" s="244"/>
      <c r="I465" s="234"/>
      <c r="J465" s="233"/>
      <c r="K465" s="233"/>
      <c r="L465" s="163"/>
      <c r="M465" s="234"/>
      <c r="N465" s="234"/>
      <c r="O465" s="162"/>
      <c r="P465" s="162"/>
      <c r="Q465" s="235"/>
      <c r="R465" s="235"/>
      <c r="S465" s="235"/>
      <c r="T465" s="236"/>
      <c r="U465" s="237"/>
      <c r="V465" s="237"/>
      <c r="W465" s="237"/>
      <c r="X465" s="234"/>
    </row>
    <row r="466" spans="2:24" ht="14.25" customHeight="1" x14ac:dyDescent="0.25">
      <c r="B466" s="246"/>
      <c r="C466" s="242"/>
      <c r="D466" s="84"/>
      <c r="E466" s="84"/>
      <c r="F466" s="84"/>
      <c r="G466" s="84"/>
      <c r="H466" s="244"/>
      <c r="I466" s="234"/>
      <c r="J466" s="233"/>
      <c r="K466" s="233"/>
      <c r="L466" s="163"/>
      <c r="M466" s="234"/>
      <c r="N466" s="234"/>
      <c r="O466" s="162"/>
      <c r="P466" s="162"/>
      <c r="Q466" s="235"/>
      <c r="R466" s="235"/>
      <c r="S466" s="235"/>
      <c r="T466" s="236"/>
      <c r="U466" s="237"/>
      <c r="V466" s="237"/>
      <c r="W466" s="237"/>
      <c r="X466" s="234"/>
    </row>
    <row r="467" spans="2:24" ht="14.25" customHeight="1" x14ac:dyDescent="0.25">
      <c r="B467" s="246"/>
      <c r="C467" s="242"/>
      <c r="D467" s="84"/>
      <c r="E467" s="84"/>
      <c r="F467" s="84"/>
      <c r="G467" s="84"/>
      <c r="H467" s="244"/>
      <c r="I467" s="234"/>
      <c r="J467" s="233"/>
      <c r="K467" s="233"/>
      <c r="L467" s="163"/>
      <c r="M467" s="234"/>
      <c r="N467" s="234"/>
      <c r="O467" s="162"/>
      <c r="P467" s="162"/>
      <c r="Q467" s="235"/>
      <c r="R467" s="235"/>
      <c r="S467" s="235"/>
      <c r="T467" s="236"/>
      <c r="U467" s="237"/>
      <c r="V467" s="237"/>
      <c r="W467" s="237"/>
      <c r="X467" s="234"/>
    </row>
    <row r="468" spans="2:24" ht="14.25" customHeight="1" x14ac:dyDescent="0.25">
      <c r="B468" s="246"/>
      <c r="C468" s="242"/>
      <c r="D468" s="84"/>
      <c r="E468" s="84"/>
      <c r="F468" s="84"/>
      <c r="G468" s="84"/>
      <c r="H468" s="244"/>
      <c r="I468" s="234"/>
      <c r="J468" s="233"/>
      <c r="K468" s="233"/>
      <c r="L468" s="163"/>
      <c r="M468" s="234"/>
      <c r="N468" s="234"/>
      <c r="O468" s="162"/>
      <c r="P468" s="162"/>
      <c r="Q468" s="235"/>
      <c r="R468" s="235"/>
      <c r="S468" s="235"/>
      <c r="T468" s="236"/>
      <c r="U468" s="237"/>
      <c r="V468" s="237"/>
      <c r="W468" s="237"/>
      <c r="X468" s="234"/>
    </row>
    <row r="469" spans="2:24" ht="14.25" customHeight="1" x14ac:dyDescent="0.25">
      <c r="B469" s="246"/>
      <c r="C469" s="242"/>
      <c r="D469" s="84"/>
      <c r="E469" s="84"/>
      <c r="F469" s="84"/>
      <c r="G469" s="84"/>
      <c r="H469" s="244"/>
      <c r="I469" s="234"/>
      <c r="J469" s="233"/>
      <c r="K469" s="233"/>
      <c r="L469" s="163"/>
      <c r="M469" s="234"/>
      <c r="N469" s="234"/>
      <c r="O469" s="162"/>
      <c r="P469" s="162"/>
      <c r="Q469" s="235"/>
      <c r="R469" s="235"/>
      <c r="S469" s="235"/>
      <c r="T469" s="236"/>
      <c r="U469" s="237"/>
      <c r="V469" s="237"/>
      <c r="W469" s="237"/>
      <c r="X469" s="234"/>
    </row>
    <row r="470" spans="2:24" ht="14.25" customHeight="1" x14ac:dyDescent="0.25">
      <c r="B470" s="246"/>
      <c r="C470" s="242"/>
      <c r="D470" s="84"/>
      <c r="E470" s="84"/>
      <c r="F470" s="84"/>
      <c r="G470" s="84"/>
      <c r="H470" s="244"/>
      <c r="I470" s="234"/>
      <c r="J470" s="233"/>
      <c r="K470" s="233"/>
      <c r="L470" s="163"/>
      <c r="M470" s="234"/>
      <c r="N470" s="234"/>
      <c r="O470" s="162"/>
      <c r="P470" s="162"/>
      <c r="Q470" s="235"/>
      <c r="R470" s="235"/>
      <c r="S470" s="235"/>
      <c r="T470" s="236"/>
      <c r="U470" s="237"/>
      <c r="V470" s="237"/>
      <c r="W470" s="237"/>
      <c r="X470" s="234"/>
    </row>
    <row r="471" spans="2:24" ht="14.25" customHeight="1" x14ac:dyDescent="0.25">
      <c r="B471" s="246"/>
      <c r="C471" s="242"/>
      <c r="D471" s="84"/>
      <c r="E471" s="84"/>
      <c r="F471" s="84"/>
      <c r="G471" s="84"/>
      <c r="H471" s="244"/>
      <c r="I471" s="234"/>
      <c r="J471" s="233"/>
      <c r="K471" s="233"/>
      <c r="L471" s="163"/>
      <c r="M471" s="234"/>
      <c r="N471" s="234"/>
      <c r="O471" s="162"/>
      <c r="P471" s="162"/>
      <c r="Q471" s="235"/>
      <c r="R471" s="235"/>
      <c r="S471" s="235"/>
      <c r="T471" s="236"/>
      <c r="U471" s="237"/>
      <c r="V471" s="237"/>
      <c r="W471" s="237"/>
      <c r="X471" s="234"/>
    </row>
    <row r="472" spans="2:24" ht="14.25" customHeight="1" x14ac:dyDescent="0.25">
      <c r="B472" s="246"/>
      <c r="C472" s="242"/>
      <c r="D472" s="84"/>
      <c r="E472" s="84"/>
      <c r="F472" s="84"/>
      <c r="G472" s="84"/>
      <c r="H472" s="244"/>
      <c r="I472" s="234"/>
      <c r="J472" s="233"/>
      <c r="K472" s="233"/>
      <c r="L472" s="163"/>
      <c r="M472" s="234"/>
      <c r="N472" s="234"/>
      <c r="O472" s="162"/>
      <c r="P472" s="162"/>
      <c r="Q472" s="235"/>
      <c r="R472" s="235"/>
      <c r="S472" s="235"/>
      <c r="T472" s="236"/>
      <c r="U472" s="237"/>
      <c r="V472" s="237"/>
      <c r="W472" s="237"/>
      <c r="X472" s="234"/>
    </row>
    <row r="473" spans="2:24" ht="14.25" customHeight="1" x14ac:dyDescent="0.25">
      <c r="B473" s="246"/>
      <c r="C473" s="242"/>
      <c r="D473" s="84"/>
      <c r="E473" s="84"/>
      <c r="F473" s="84"/>
      <c r="G473" s="84"/>
      <c r="H473" s="244"/>
      <c r="I473" s="234"/>
      <c r="J473" s="233"/>
      <c r="K473" s="233"/>
      <c r="L473" s="163"/>
      <c r="M473" s="234"/>
      <c r="N473" s="234"/>
      <c r="O473" s="162"/>
      <c r="P473" s="162"/>
      <c r="Q473" s="235"/>
      <c r="R473" s="235"/>
      <c r="S473" s="235"/>
      <c r="T473" s="236"/>
      <c r="U473" s="237"/>
      <c r="V473" s="237"/>
      <c r="W473" s="237"/>
      <c r="X473" s="234"/>
    </row>
    <row r="474" spans="2:24" ht="14.25" customHeight="1" x14ac:dyDescent="0.25">
      <c r="B474" s="246"/>
      <c r="C474" s="242"/>
      <c r="D474" s="84"/>
      <c r="E474" s="84"/>
      <c r="F474" s="84"/>
      <c r="G474" s="84"/>
      <c r="H474" s="244"/>
      <c r="I474" s="234"/>
      <c r="J474" s="233"/>
      <c r="K474" s="233"/>
      <c r="L474" s="163"/>
      <c r="M474" s="234"/>
      <c r="N474" s="234"/>
      <c r="O474" s="162"/>
      <c r="P474" s="162"/>
      <c r="Q474" s="235"/>
      <c r="R474" s="235"/>
      <c r="S474" s="235"/>
      <c r="T474" s="236"/>
      <c r="U474" s="237"/>
      <c r="V474" s="237"/>
      <c r="W474" s="237"/>
      <c r="X474" s="234"/>
    </row>
    <row r="475" spans="2:24" ht="14.25" customHeight="1" x14ac:dyDescent="0.25">
      <c r="B475" s="246"/>
      <c r="C475" s="242"/>
      <c r="D475" s="84"/>
      <c r="E475" s="84"/>
      <c r="F475" s="84"/>
      <c r="G475" s="84"/>
      <c r="H475" s="244"/>
      <c r="I475" s="234"/>
      <c r="J475" s="233"/>
      <c r="K475" s="233"/>
      <c r="L475" s="163"/>
      <c r="M475" s="234"/>
      <c r="N475" s="234"/>
      <c r="O475" s="162"/>
      <c r="P475" s="162"/>
      <c r="Q475" s="235"/>
      <c r="R475" s="235"/>
      <c r="S475" s="235"/>
      <c r="T475" s="236"/>
      <c r="U475" s="237"/>
      <c r="V475" s="237"/>
      <c r="W475" s="237"/>
      <c r="X475" s="234"/>
    </row>
    <row r="476" spans="2:24" ht="14.25" customHeight="1" x14ac:dyDescent="0.25">
      <c r="B476" s="246"/>
      <c r="C476" s="242"/>
      <c r="D476" s="84"/>
      <c r="E476" s="84"/>
      <c r="F476" s="84"/>
      <c r="G476" s="84"/>
      <c r="H476" s="244"/>
      <c r="I476" s="234"/>
      <c r="J476" s="233"/>
      <c r="K476" s="233"/>
      <c r="L476" s="163"/>
      <c r="M476" s="234"/>
      <c r="N476" s="234"/>
      <c r="O476" s="162"/>
      <c r="P476" s="162"/>
      <c r="Q476" s="235"/>
      <c r="R476" s="235"/>
      <c r="S476" s="235"/>
      <c r="T476" s="236"/>
      <c r="U476" s="237"/>
      <c r="V476" s="237"/>
      <c r="W476" s="237"/>
      <c r="X476" s="234"/>
    </row>
    <row r="477" spans="2:24" ht="14.25" customHeight="1" x14ac:dyDescent="0.25">
      <c r="B477" s="246"/>
      <c r="C477" s="242"/>
      <c r="D477" s="84"/>
      <c r="E477" s="84"/>
      <c r="F477" s="84"/>
      <c r="G477" s="84"/>
      <c r="H477" s="244"/>
      <c r="I477" s="234"/>
      <c r="J477" s="233"/>
      <c r="K477" s="233"/>
      <c r="L477" s="163"/>
      <c r="M477" s="234"/>
      <c r="N477" s="234"/>
      <c r="O477" s="162"/>
      <c r="P477" s="162"/>
      <c r="Q477" s="235"/>
      <c r="R477" s="235"/>
      <c r="S477" s="235"/>
      <c r="T477" s="236"/>
      <c r="U477" s="237"/>
      <c r="V477" s="237"/>
      <c r="W477" s="237"/>
      <c r="X477" s="234"/>
    </row>
    <row r="478" spans="2:24" ht="14.25" customHeight="1" x14ac:dyDescent="0.25">
      <c r="B478" s="246"/>
      <c r="C478" s="242"/>
      <c r="D478" s="84"/>
      <c r="E478" s="84"/>
      <c r="F478" s="84"/>
      <c r="G478" s="84"/>
      <c r="H478" s="244"/>
      <c r="I478" s="234"/>
      <c r="J478" s="233"/>
      <c r="K478" s="233"/>
      <c r="L478" s="163"/>
      <c r="M478" s="234"/>
      <c r="N478" s="234"/>
      <c r="O478" s="162"/>
      <c r="P478" s="162"/>
      <c r="Q478" s="235"/>
      <c r="R478" s="235"/>
      <c r="S478" s="235"/>
      <c r="T478" s="236"/>
      <c r="U478" s="237"/>
      <c r="V478" s="237"/>
      <c r="W478" s="237"/>
      <c r="X478" s="234"/>
    </row>
    <row r="479" spans="2:24" ht="14.25" customHeight="1" x14ac:dyDescent="0.25">
      <c r="B479" s="246"/>
      <c r="C479" s="242"/>
      <c r="D479" s="84"/>
      <c r="E479" s="84"/>
      <c r="F479" s="84"/>
      <c r="G479" s="84"/>
      <c r="H479" s="244"/>
      <c r="I479" s="234"/>
      <c r="J479" s="233"/>
      <c r="K479" s="233"/>
      <c r="L479" s="163"/>
      <c r="M479" s="234"/>
      <c r="N479" s="234"/>
      <c r="O479" s="162"/>
      <c r="P479" s="162"/>
      <c r="Q479" s="235"/>
      <c r="R479" s="235"/>
      <c r="S479" s="235"/>
      <c r="T479" s="236"/>
      <c r="U479" s="237"/>
      <c r="V479" s="237"/>
      <c r="W479" s="237"/>
      <c r="X479" s="234"/>
    </row>
    <row r="480" spans="2:24" ht="14.25" customHeight="1" x14ac:dyDescent="0.25">
      <c r="B480" s="246"/>
      <c r="C480" s="242"/>
      <c r="D480" s="84"/>
      <c r="E480" s="84"/>
      <c r="F480" s="84"/>
      <c r="G480" s="84"/>
      <c r="H480" s="244"/>
      <c r="I480" s="234"/>
      <c r="J480" s="233"/>
      <c r="K480" s="233"/>
      <c r="L480" s="163"/>
      <c r="M480" s="234"/>
      <c r="N480" s="234"/>
      <c r="O480" s="162"/>
      <c r="P480" s="162"/>
      <c r="Q480" s="235"/>
      <c r="R480" s="235"/>
      <c r="S480" s="235"/>
      <c r="T480" s="236"/>
      <c r="U480" s="237"/>
      <c r="V480" s="237"/>
      <c r="W480" s="237"/>
      <c r="X480" s="234"/>
    </row>
    <row r="481" spans="2:24" ht="14.25" customHeight="1" x14ac:dyDescent="0.25">
      <c r="B481" s="246"/>
      <c r="C481" s="242"/>
      <c r="D481" s="84"/>
      <c r="E481" s="84"/>
      <c r="F481" s="84"/>
      <c r="G481" s="84"/>
      <c r="H481" s="244"/>
      <c r="I481" s="234"/>
      <c r="J481" s="233"/>
      <c r="K481" s="233"/>
      <c r="L481" s="163"/>
      <c r="M481" s="234"/>
      <c r="N481" s="234"/>
      <c r="O481" s="162"/>
      <c r="P481" s="162"/>
      <c r="Q481" s="235"/>
      <c r="R481" s="235"/>
      <c r="S481" s="235"/>
      <c r="T481" s="236"/>
      <c r="U481" s="237"/>
      <c r="V481" s="237"/>
      <c r="W481" s="237"/>
      <c r="X481" s="234"/>
    </row>
    <row r="482" spans="2:24" ht="14.25" customHeight="1" x14ac:dyDescent="0.25">
      <c r="B482" s="246"/>
      <c r="C482" s="242"/>
      <c r="D482" s="84"/>
      <c r="E482" s="84"/>
      <c r="F482" s="84"/>
      <c r="G482" s="84"/>
      <c r="H482" s="244"/>
      <c r="I482" s="234"/>
      <c r="J482" s="233"/>
      <c r="K482" s="233"/>
      <c r="L482" s="163"/>
      <c r="M482" s="234"/>
      <c r="N482" s="234"/>
      <c r="O482" s="162"/>
      <c r="P482" s="162"/>
      <c r="Q482" s="235"/>
      <c r="R482" s="235"/>
      <c r="S482" s="235"/>
      <c r="T482" s="236"/>
      <c r="U482" s="237"/>
      <c r="V482" s="237"/>
      <c r="W482" s="237"/>
      <c r="X482" s="234"/>
    </row>
    <row r="483" spans="2:24" ht="14.25" customHeight="1" x14ac:dyDescent="0.25">
      <c r="B483" s="246"/>
      <c r="C483" s="242"/>
      <c r="D483" s="84"/>
      <c r="E483" s="84"/>
      <c r="F483" s="84"/>
      <c r="G483" s="84"/>
      <c r="H483" s="244"/>
      <c r="I483" s="234"/>
      <c r="J483" s="233"/>
      <c r="K483" s="233"/>
      <c r="L483" s="163"/>
      <c r="M483" s="234"/>
      <c r="N483" s="234"/>
      <c r="O483" s="162"/>
      <c r="P483" s="162"/>
      <c r="Q483" s="235"/>
      <c r="R483" s="235"/>
      <c r="S483" s="235"/>
      <c r="T483" s="236"/>
      <c r="U483" s="237"/>
      <c r="V483" s="237"/>
      <c r="W483" s="237"/>
      <c r="X483" s="234"/>
    </row>
    <row r="484" spans="2:24" ht="14.25" customHeight="1" x14ac:dyDescent="0.25">
      <c r="B484" s="246"/>
      <c r="C484" s="242"/>
      <c r="D484" s="84"/>
      <c r="E484" s="84"/>
      <c r="F484" s="84"/>
      <c r="G484" s="84"/>
      <c r="H484" s="244"/>
      <c r="I484" s="234"/>
      <c r="J484" s="233"/>
      <c r="K484" s="233"/>
      <c r="L484" s="163"/>
      <c r="M484" s="234"/>
      <c r="N484" s="234"/>
      <c r="O484" s="162"/>
      <c r="P484" s="162"/>
      <c r="Q484" s="235"/>
      <c r="R484" s="235"/>
      <c r="S484" s="235"/>
      <c r="T484" s="236"/>
      <c r="U484" s="237"/>
      <c r="V484" s="237"/>
      <c r="W484" s="237"/>
      <c r="X484" s="234"/>
    </row>
    <row r="485" spans="2:24" ht="14.25" customHeight="1" x14ac:dyDescent="0.25">
      <c r="B485" s="246"/>
      <c r="C485" s="242"/>
      <c r="D485" s="84"/>
      <c r="E485" s="84"/>
      <c r="F485" s="84"/>
      <c r="G485" s="84"/>
      <c r="H485" s="244"/>
      <c r="I485" s="234"/>
      <c r="J485" s="233"/>
      <c r="K485" s="233"/>
      <c r="L485" s="163"/>
      <c r="M485" s="234"/>
      <c r="N485" s="234"/>
      <c r="O485" s="162"/>
      <c r="P485" s="162"/>
      <c r="Q485" s="235"/>
      <c r="R485" s="235"/>
      <c r="S485" s="235"/>
      <c r="T485" s="236"/>
      <c r="U485" s="237"/>
      <c r="V485" s="237"/>
      <c r="W485" s="237"/>
      <c r="X485" s="234"/>
    </row>
    <row r="486" spans="2:24" ht="14.25" customHeight="1" x14ac:dyDescent="0.25">
      <c r="B486" s="246"/>
      <c r="C486" s="242"/>
      <c r="D486" s="84"/>
      <c r="E486" s="84"/>
      <c r="F486" s="84"/>
      <c r="G486" s="84"/>
      <c r="H486" s="244"/>
      <c r="I486" s="234"/>
      <c r="J486" s="233"/>
      <c r="K486" s="233"/>
      <c r="L486" s="163"/>
      <c r="M486" s="234"/>
      <c r="N486" s="234"/>
      <c r="O486" s="162"/>
      <c r="P486" s="162"/>
      <c r="Q486" s="235"/>
      <c r="R486" s="235"/>
      <c r="S486" s="235"/>
      <c r="T486" s="236"/>
      <c r="U486" s="237"/>
      <c r="V486" s="237"/>
      <c r="W486" s="237"/>
      <c r="X486" s="234"/>
    </row>
    <row r="487" spans="2:24" ht="14.25" customHeight="1" x14ac:dyDescent="0.25">
      <c r="B487" s="246"/>
      <c r="C487" s="242"/>
      <c r="D487" s="84"/>
      <c r="E487" s="84"/>
      <c r="F487" s="84"/>
      <c r="G487" s="84"/>
      <c r="H487" s="244"/>
      <c r="I487" s="234"/>
      <c r="J487" s="233"/>
      <c r="K487" s="233"/>
      <c r="L487" s="163"/>
      <c r="M487" s="234"/>
      <c r="N487" s="234"/>
      <c r="O487" s="162"/>
      <c r="P487" s="162"/>
      <c r="Q487" s="235"/>
      <c r="R487" s="235"/>
      <c r="S487" s="235"/>
      <c r="T487" s="236"/>
      <c r="U487" s="237"/>
      <c r="V487" s="237"/>
      <c r="W487" s="237"/>
      <c r="X487" s="234"/>
    </row>
    <row r="488" spans="2:24" ht="14.25" customHeight="1" x14ac:dyDescent="0.25">
      <c r="B488" s="246"/>
      <c r="C488" s="242"/>
      <c r="D488" s="84"/>
      <c r="E488" s="84"/>
      <c r="F488" s="84"/>
      <c r="G488" s="84"/>
      <c r="H488" s="244"/>
      <c r="I488" s="234"/>
      <c r="J488" s="233"/>
      <c r="K488" s="233"/>
      <c r="L488" s="163"/>
      <c r="M488" s="234"/>
      <c r="N488" s="234"/>
      <c r="O488" s="162"/>
      <c r="P488" s="162"/>
      <c r="Q488" s="235"/>
      <c r="R488" s="235"/>
      <c r="S488" s="235"/>
      <c r="T488" s="236"/>
      <c r="U488" s="237"/>
      <c r="V488" s="237"/>
      <c r="W488" s="237"/>
      <c r="X488" s="234"/>
    </row>
    <row r="489" spans="2:24" ht="14.25" customHeight="1" x14ac:dyDescent="0.25">
      <c r="B489" s="246"/>
      <c r="C489" s="242"/>
      <c r="D489" s="84"/>
      <c r="E489" s="84"/>
      <c r="F489" s="84"/>
      <c r="G489" s="84"/>
      <c r="H489" s="244"/>
      <c r="I489" s="234"/>
      <c r="J489" s="233"/>
      <c r="K489" s="233"/>
      <c r="L489" s="163"/>
      <c r="M489" s="234"/>
      <c r="N489" s="234"/>
      <c r="O489" s="162"/>
      <c r="P489" s="162"/>
      <c r="Q489" s="235"/>
      <c r="R489" s="235"/>
      <c r="S489" s="235"/>
      <c r="T489" s="236"/>
      <c r="U489" s="237"/>
      <c r="V489" s="237"/>
      <c r="W489" s="237"/>
      <c r="X489" s="234"/>
    </row>
    <row r="490" spans="2:24" ht="14.25" customHeight="1" x14ac:dyDescent="0.25">
      <c r="B490" s="246"/>
      <c r="C490" s="242"/>
      <c r="D490" s="84"/>
      <c r="E490" s="84"/>
      <c r="F490" s="84"/>
      <c r="G490" s="84"/>
      <c r="H490" s="244"/>
      <c r="I490" s="234"/>
      <c r="J490" s="233"/>
      <c r="K490" s="233"/>
      <c r="L490" s="163"/>
      <c r="M490" s="234"/>
      <c r="N490" s="234"/>
      <c r="O490" s="162"/>
      <c r="P490" s="162"/>
      <c r="Q490" s="235"/>
      <c r="R490" s="235"/>
      <c r="S490" s="235"/>
      <c r="T490" s="236"/>
      <c r="U490" s="237"/>
      <c r="V490" s="237"/>
      <c r="W490" s="237"/>
      <c r="X490" s="234"/>
    </row>
    <row r="491" spans="2:24" ht="14.25" customHeight="1" x14ac:dyDescent="0.25">
      <c r="B491" s="246"/>
      <c r="C491" s="242"/>
      <c r="D491" s="84"/>
      <c r="E491" s="84"/>
      <c r="F491" s="84"/>
      <c r="G491" s="84"/>
      <c r="H491" s="244"/>
      <c r="I491" s="234"/>
      <c r="J491" s="233"/>
      <c r="K491" s="233"/>
      <c r="L491" s="163"/>
      <c r="M491" s="234"/>
      <c r="N491" s="234"/>
      <c r="O491" s="162"/>
      <c r="P491" s="162"/>
      <c r="Q491" s="235"/>
      <c r="R491" s="235"/>
      <c r="S491" s="235"/>
      <c r="T491" s="236"/>
      <c r="U491" s="237"/>
      <c r="V491" s="237"/>
      <c r="W491" s="237"/>
      <c r="X491" s="234"/>
    </row>
    <row r="492" spans="2:24" ht="14.25" customHeight="1" x14ac:dyDescent="0.25">
      <c r="B492" s="246"/>
      <c r="C492" s="242"/>
      <c r="D492" s="84"/>
      <c r="E492" s="84"/>
      <c r="F492" s="84"/>
      <c r="G492" s="84"/>
      <c r="H492" s="244"/>
      <c r="I492" s="234"/>
      <c r="J492" s="233"/>
      <c r="K492" s="233"/>
      <c r="L492" s="163"/>
      <c r="M492" s="234"/>
      <c r="N492" s="234"/>
      <c r="O492" s="162"/>
      <c r="P492" s="162"/>
      <c r="Q492" s="235"/>
      <c r="R492" s="235"/>
      <c r="S492" s="235"/>
      <c r="T492" s="236"/>
      <c r="U492" s="237"/>
      <c r="V492" s="237"/>
      <c r="W492" s="237"/>
      <c r="X492" s="234"/>
    </row>
    <row r="493" spans="2:24" ht="14.25" customHeight="1" x14ac:dyDescent="0.25">
      <c r="B493" s="246"/>
      <c r="C493" s="242"/>
      <c r="D493" s="84"/>
      <c r="E493" s="84"/>
      <c r="F493" s="84"/>
      <c r="G493" s="84"/>
      <c r="H493" s="244"/>
      <c r="I493" s="234"/>
      <c r="J493" s="233"/>
      <c r="K493" s="233"/>
      <c r="L493" s="163"/>
      <c r="M493" s="234"/>
      <c r="N493" s="234"/>
      <c r="O493" s="162"/>
      <c r="P493" s="162"/>
      <c r="Q493" s="235"/>
      <c r="R493" s="235"/>
      <c r="S493" s="235"/>
      <c r="T493" s="236"/>
      <c r="U493" s="237"/>
      <c r="V493" s="237"/>
      <c r="W493" s="237"/>
      <c r="X493" s="234"/>
    </row>
    <row r="494" spans="2:24" ht="14.25" customHeight="1" x14ac:dyDescent="0.25">
      <c r="B494" s="246"/>
      <c r="C494" s="242"/>
      <c r="D494" s="84"/>
      <c r="E494" s="84"/>
      <c r="F494" s="84"/>
      <c r="G494" s="84"/>
      <c r="H494" s="244"/>
      <c r="I494" s="234"/>
      <c r="J494" s="233"/>
      <c r="K494" s="233"/>
      <c r="L494" s="163"/>
      <c r="M494" s="234"/>
      <c r="N494" s="234"/>
      <c r="O494" s="162"/>
      <c r="P494" s="162"/>
      <c r="Q494" s="235"/>
      <c r="R494" s="235"/>
      <c r="S494" s="235"/>
      <c r="T494" s="236"/>
      <c r="U494" s="237"/>
      <c r="V494" s="237"/>
      <c r="W494" s="237"/>
      <c r="X494" s="234"/>
    </row>
    <row r="495" spans="2:24" ht="14.25" customHeight="1" x14ac:dyDescent="0.25">
      <c r="B495" s="246"/>
      <c r="C495" s="242"/>
      <c r="D495" s="84"/>
      <c r="E495" s="84"/>
      <c r="F495" s="84"/>
      <c r="G495" s="84"/>
      <c r="H495" s="244"/>
      <c r="I495" s="234"/>
      <c r="J495" s="233"/>
      <c r="K495" s="233"/>
      <c r="L495" s="163"/>
      <c r="M495" s="234"/>
      <c r="N495" s="234"/>
      <c r="O495" s="162"/>
      <c r="P495" s="162"/>
      <c r="Q495" s="235"/>
      <c r="R495" s="235"/>
      <c r="S495" s="235"/>
      <c r="T495" s="236"/>
      <c r="U495" s="237"/>
      <c r="V495" s="237"/>
      <c r="W495" s="237"/>
      <c r="X495" s="234"/>
    </row>
    <row r="496" spans="2:24" ht="14.25" customHeight="1" x14ac:dyDescent="0.25">
      <c r="B496" s="246"/>
      <c r="C496" s="242"/>
      <c r="D496" s="84"/>
      <c r="E496" s="84"/>
      <c r="F496" s="84"/>
      <c r="G496" s="84"/>
      <c r="H496" s="244"/>
      <c r="I496" s="234"/>
      <c r="J496" s="233"/>
      <c r="K496" s="233"/>
      <c r="L496" s="163"/>
      <c r="M496" s="234"/>
      <c r="N496" s="234"/>
      <c r="O496" s="162"/>
      <c r="P496" s="162"/>
      <c r="Q496" s="235"/>
      <c r="R496" s="235"/>
      <c r="S496" s="235"/>
      <c r="T496" s="236"/>
      <c r="U496" s="237"/>
      <c r="V496" s="237"/>
      <c r="W496" s="237"/>
      <c r="X496" s="234"/>
    </row>
    <row r="497" spans="2:24" ht="14.25" customHeight="1" x14ac:dyDescent="0.25">
      <c r="B497" s="246"/>
      <c r="C497" s="242"/>
      <c r="D497" s="84"/>
      <c r="E497" s="84"/>
      <c r="F497" s="84"/>
      <c r="G497" s="84"/>
      <c r="H497" s="244"/>
      <c r="I497" s="234"/>
      <c r="J497" s="233"/>
      <c r="K497" s="233"/>
      <c r="L497" s="163"/>
      <c r="M497" s="234"/>
      <c r="N497" s="234"/>
      <c r="O497" s="162"/>
      <c r="P497" s="162"/>
      <c r="Q497" s="235"/>
      <c r="R497" s="235"/>
      <c r="S497" s="235"/>
      <c r="T497" s="236"/>
      <c r="U497" s="237"/>
      <c r="V497" s="237"/>
      <c r="W497" s="237"/>
      <c r="X497" s="234"/>
    </row>
    <row r="498" spans="2:24" ht="14.25" customHeight="1" x14ac:dyDescent="0.25">
      <c r="B498" s="246"/>
      <c r="C498" s="242"/>
      <c r="D498" s="84"/>
      <c r="E498" s="84"/>
      <c r="F498" s="84"/>
      <c r="G498" s="84"/>
      <c r="H498" s="244"/>
      <c r="I498" s="234"/>
      <c r="J498" s="233"/>
      <c r="K498" s="233"/>
      <c r="L498" s="163"/>
      <c r="M498" s="234"/>
      <c r="N498" s="234"/>
      <c r="O498" s="162"/>
      <c r="P498" s="162"/>
      <c r="Q498" s="235"/>
      <c r="R498" s="235"/>
      <c r="S498" s="235"/>
      <c r="T498" s="236"/>
      <c r="U498" s="237"/>
      <c r="V498" s="237"/>
      <c r="W498" s="237"/>
      <c r="X498" s="234"/>
    </row>
    <row r="499" spans="2:24" ht="14.25" customHeight="1" x14ac:dyDescent="0.25">
      <c r="B499" s="246"/>
      <c r="C499" s="242"/>
      <c r="D499" s="84"/>
      <c r="E499" s="84"/>
      <c r="F499" s="84"/>
      <c r="G499" s="84"/>
      <c r="H499" s="244"/>
      <c r="I499" s="234"/>
      <c r="J499" s="233"/>
      <c r="K499" s="233"/>
      <c r="L499" s="163"/>
      <c r="M499" s="234"/>
      <c r="N499" s="234"/>
      <c r="O499" s="162"/>
      <c r="P499" s="162"/>
      <c r="Q499" s="235"/>
      <c r="R499" s="235"/>
      <c r="S499" s="235"/>
      <c r="T499" s="236"/>
      <c r="U499" s="237"/>
      <c r="V499" s="237"/>
      <c r="W499" s="237"/>
      <c r="X499" s="234"/>
    </row>
    <row r="500" spans="2:24" ht="14.25" customHeight="1" x14ac:dyDescent="0.25">
      <c r="B500" s="246"/>
      <c r="C500" s="242"/>
      <c r="D500" s="84"/>
      <c r="E500" s="84"/>
      <c r="F500" s="84"/>
      <c r="G500" s="84"/>
      <c r="H500" s="244"/>
      <c r="I500" s="234"/>
      <c r="J500" s="233"/>
      <c r="K500" s="233"/>
      <c r="L500" s="163"/>
      <c r="M500" s="234"/>
      <c r="N500" s="234"/>
      <c r="O500" s="162"/>
      <c r="P500" s="162"/>
      <c r="Q500" s="235"/>
      <c r="R500" s="235"/>
      <c r="S500" s="235"/>
      <c r="T500" s="236"/>
      <c r="U500" s="237"/>
      <c r="V500" s="237"/>
      <c r="W500" s="237"/>
      <c r="X500" s="234"/>
    </row>
    <row r="501" spans="2:24" ht="14.25" customHeight="1" x14ac:dyDescent="0.25">
      <c r="B501" s="246"/>
      <c r="C501" s="242"/>
      <c r="D501" s="84"/>
      <c r="E501" s="84"/>
      <c r="F501" s="84"/>
      <c r="G501" s="84"/>
      <c r="H501" s="244"/>
      <c r="I501" s="234"/>
      <c r="J501" s="233"/>
      <c r="K501" s="233"/>
      <c r="L501" s="163"/>
      <c r="M501" s="234"/>
      <c r="N501" s="234"/>
      <c r="O501" s="162"/>
      <c r="P501" s="162"/>
      <c r="Q501" s="235"/>
      <c r="R501" s="235"/>
      <c r="S501" s="235"/>
      <c r="T501" s="236"/>
      <c r="U501" s="237"/>
      <c r="V501" s="237"/>
      <c r="W501" s="237"/>
      <c r="X501" s="234"/>
    </row>
    <row r="502" spans="2:24" ht="14.25" customHeight="1" x14ac:dyDescent="0.25">
      <c r="B502" s="246"/>
      <c r="C502" s="242"/>
      <c r="D502" s="84"/>
      <c r="E502" s="84"/>
      <c r="F502" s="84"/>
      <c r="G502" s="84"/>
      <c r="H502" s="244"/>
      <c r="I502" s="234"/>
      <c r="J502" s="233"/>
      <c r="K502" s="233"/>
      <c r="L502" s="163"/>
      <c r="M502" s="234"/>
      <c r="N502" s="234"/>
      <c r="O502" s="162"/>
      <c r="P502" s="162"/>
      <c r="Q502" s="235"/>
      <c r="R502" s="235"/>
      <c r="S502" s="235"/>
      <c r="T502" s="236"/>
      <c r="U502" s="237"/>
      <c r="V502" s="237"/>
      <c r="W502" s="237"/>
      <c r="X502" s="234"/>
    </row>
    <row r="503" spans="2:24" ht="14.25" customHeight="1" x14ac:dyDescent="0.25">
      <c r="B503" s="246"/>
      <c r="C503" s="242"/>
      <c r="D503" s="84"/>
      <c r="E503" s="84"/>
      <c r="F503" s="84"/>
      <c r="G503" s="84"/>
      <c r="H503" s="244"/>
      <c r="I503" s="234"/>
      <c r="J503" s="233"/>
      <c r="K503" s="233"/>
      <c r="L503" s="163"/>
      <c r="M503" s="234"/>
      <c r="N503" s="234"/>
      <c r="O503" s="162"/>
      <c r="P503" s="162"/>
      <c r="Q503" s="235"/>
      <c r="R503" s="235"/>
      <c r="S503" s="235"/>
      <c r="T503" s="236"/>
      <c r="U503" s="237"/>
      <c r="V503" s="237"/>
      <c r="W503" s="237"/>
      <c r="X503" s="234"/>
    </row>
    <row r="504" spans="2:24" ht="14.25" customHeight="1" x14ac:dyDescent="0.25">
      <c r="B504" s="246"/>
      <c r="C504" s="242"/>
      <c r="D504" s="84"/>
      <c r="E504" s="84"/>
      <c r="F504" s="84"/>
      <c r="G504" s="84"/>
      <c r="H504" s="244"/>
      <c r="I504" s="234"/>
      <c r="J504" s="233"/>
      <c r="K504" s="233"/>
      <c r="L504" s="163"/>
      <c r="M504" s="234"/>
      <c r="N504" s="234"/>
      <c r="O504" s="162"/>
      <c r="P504" s="162"/>
      <c r="Q504" s="235"/>
      <c r="R504" s="235"/>
      <c r="S504" s="235"/>
      <c r="T504" s="236"/>
      <c r="U504" s="237"/>
      <c r="V504" s="237"/>
      <c r="W504" s="237"/>
      <c r="X504" s="234"/>
    </row>
    <row r="505" spans="2:24" ht="14.25" customHeight="1" x14ac:dyDescent="0.25">
      <c r="B505" s="246"/>
      <c r="C505" s="242"/>
      <c r="D505" s="84"/>
      <c r="E505" s="84"/>
      <c r="F505" s="84"/>
      <c r="G505" s="84"/>
      <c r="H505" s="244"/>
      <c r="I505" s="234"/>
      <c r="J505" s="233"/>
      <c r="K505" s="233"/>
      <c r="L505" s="163"/>
      <c r="M505" s="234"/>
      <c r="N505" s="234"/>
      <c r="O505" s="162"/>
      <c r="P505" s="162"/>
      <c r="Q505" s="235"/>
      <c r="R505" s="235"/>
      <c r="S505" s="235"/>
      <c r="T505" s="236"/>
      <c r="U505" s="237"/>
      <c r="V505" s="237"/>
      <c r="W505" s="237"/>
      <c r="X505" s="234"/>
    </row>
    <row r="506" spans="2:24" ht="14.25" customHeight="1" x14ac:dyDescent="0.25">
      <c r="B506" s="246"/>
      <c r="C506" s="242"/>
      <c r="D506" s="84"/>
      <c r="E506" s="84"/>
      <c r="F506" s="84"/>
      <c r="G506" s="84"/>
      <c r="H506" s="244"/>
      <c r="I506" s="234"/>
      <c r="J506" s="233"/>
      <c r="K506" s="233"/>
      <c r="L506" s="163"/>
      <c r="M506" s="234"/>
      <c r="N506" s="234"/>
      <c r="O506" s="162"/>
      <c r="P506" s="162"/>
      <c r="Q506" s="235"/>
      <c r="R506" s="235"/>
      <c r="S506" s="235"/>
      <c r="T506" s="236"/>
      <c r="U506" s="237"/>
      <c r="V506" s="237"/>
      <c r="W506" s="237"/>
      <c r="X506" s="234"/>
    </row>
    <row r="507" spans="2:24" ht="14.25" customHeight="1" x14ac:dyDescent="0.25">
      <c r="B507" s="246"/>
      <c r="C507" s="242"/>
      <c r="D507" s="84"/>
      <c r="E507" s="84"/>
      <c r="F507" s="84"/>
      <c r="G507" s="84"/>
      <c r="H507" s="244"/>
      <c r="I507" s="234"/>
      <c r="J507" s="233"/>
      <c r="K507" s="233"/>
      <c r="L507" s="163"/>
      <c r="M507" s="234"/>
      <c r="N507" s="234"/>
      <c r="O507" s="162"/>
      <c r="P507" s="162"/>
      <c r="Q507" s="235"/>
      <c r="R507" s="235"/>
      <c r="S507" s="235"/>
      <c r="T507" s="236"/>
      <c r="U507" s="237"/>
      <c r="V507" s="237"/>
      <c r="W507" s="237"/>
      <c r="X507" s="234"/>
    </row>
    <row r="508" spans="2:24" ht="14.25" customHeight="1" x14ac:dyDescent="0.25">
      <c r="B508" s="246"/>
      <c r="C508" s="242"/>
      <c r="D508" s="84"/>
      <c r="E508" s="84"/>
      <c r="F508" s="84"/>
      <c r="G508" s="84"/>
      <c r="H508" s="244"/>
      <c r="I508" s="234"/>
      <c r="J508" s="233"/>
      <c r="K508" s="233"/>
      <c r="L508" s="163"/>
      <c r="M508" s="234"/>
      <c r="N508" s="234"/>
      <c r="O508" s="162"/>
      <c r="P508" s="162"/>
      <c r="Q508" s="235"/>
      <c r="R508" s="235"/>
      <c r="S508" s="235"/>
      <c r="T508" s="236"/>
      <c r="U508" s="237"/>
      <c r="V508" s="237"/>
      <c r="W508" s="237"/>
      <c r="X508" s="234"/>
    </row>
    <row r="509" spans="2:24" ht="14.25" customHeight="1" x14ac:dyDescent="0.25">
      <c r="B509" s="246"/>
      <c r="C509" s="242"/>
      <c r="D509" s="84"/>
      <c r="E509" s="84"/>
      <c r="F509" s="84"/>
      <c r="G509" s="84"/>
      <c r="H509" s="244"/>
      <c r="I509" s="234"/>
      <c r="J509" s="233"/>
      <c r="K509" s="233"/>
      <c r="L509" s="163"/>
      <c r="M509" s="234"/>
      <c r="N509" s="234"/>
      <c r="O509" s="162"/>
      <c r="P509" s="162"/>
      <c r="Q509" s="235"/>
      <c r="R509" s="235"/>
      <c r="S509" s="235"/>
      <c r="T509" s="236"/>
      <c r="U509" s="237"/>
      <c r="V509" s="237"/>
      <c r="W509" s="237"/>
      <c r="X509" s="234"/>
    </row>
    <row r="510" spans="2:24" ht="14.25" customHeight="1" x14ac:dyDescent="0.25">
      <c r="B510" s="246"/>
      <c r="C510" s="242"/>
      <c r="D510" s="84"/>
      <c r="E510" s="84"/>
      <c r="F510" s="84"/>
      <c r="G510" s="84"/>
      <c r="H510" s="244"/>
      <c r="I510" s="234"/>
      <c r="J510" s="233"/>
      <c r="K510" s="233"/>
      <c r="L510" s="163"/>
      <c r="M510" s="234"/>
      <c r="N510" s="234"/>
      <c r="O510" s="162"/>
      <c r="P510" s="162"/>
      <c r="Q510" s="235"/>
      <c r="R510" s="235"/>
      <c r="S510" s="235"/>
      <c r="T510" s="236"/>
      <c r="U510" s="237"/>
      <c r="V510" s="237"/>
      <c r="W510" s="237"/>
      <c r="X510" s="234"/>
    </row>
    <row r="511" spans="2:24" ht="14.25" customHeight="1" x14ac:dyDescent="0.25">
      <c r="B511" s="246"/>
      <c r="C511" s="242"/>
      <c r="D511" s="84"/>
      <c r="E511" s="84"/>
      <c r="F511" s="84"/>
      <c r="G511" s="84"/>
      <c r="H511" s="244"/>
      <c r="I511" s="234"/>
      <c r="J511" s="233"/>
      <c r="K511" s="233"/>
      <c r="L511" s="163"/>
      <c r="M511" s="234"/>
      <c r="N511" s="234"/>
      <c r="O511" s="162"/>
      <c r="P511" s="162"/>
      <c r="Q511" s="235"/>
      <c r="R511" s="235"/>
      <c r="S511" s="235"/>
      <c r="T511" s="236"/>
      <c r="U511" s="237"/>
      <c r="V511" s="237"/>
      <c r="W511" s="237"/>
      <c r="X511" s="234"/>
    </row>
    <row r="512" spans="2:24" ht="14.25" customHeight="1" x14ac:dyDescent="0.25">
      <c r="B512" s="246"/>
      <c r="C512" s="242"/>
      <c r="D512" s="84"/>
      <c r="E512" s="84"/>
      <c r="F512" s="84"/>
      <c r="G512" s="84"/>
      <c r="H512" s="244"/>
      <c r="I512" s="234"/>
      <c r="J512" s="233"/>
      <c r="K512" s="233"/>
      <c r="L512" s="163"/>
      <c r="M512" s="234"/>
      <c r="N512" s="234"/>
      <c r="O512" s="162"/>
      <c r="P512" s="162"/>
      <c r="Q512" s="235"/>
      <c r="R512" s="235"/>
      <c r="S512" s="235"/>
      <c r="T512" s="236"/>
      <c r="U512" s="237"/>
      <c r="V512" s="237"/>
      <c r="W512" s="237"/>
      <c r="X512" s="234"/>
    </row>
    <row r="513" spans="2:24" ht="14.25" customHeight="1" x14ac:dyDescent="0.25">
      <c r="B513" s="246"/>
      <c r="C513" s="242"/>
      <c r="D513" s="84"/>
      <c r="E513" s="84"/>
      <c r="F513" s="84"/>
      <c r="G513" s="84"/>
      <c r="H513" s="244"/>
      <c r="I513" s="234"/>
      <c r="J513" s="233"/>
      <c r="K513" s="233"/>
      <c r="L513" s="163"/>
      <c r="M513" s="234"/>
      <c r="N513" s="234"/>
      <c r="O513" s="162"/>
      <c r="P513" s="162"/>
      <c r="Q513" s="235"/>
      <c r="R513" s="235"/>
      <c r="S513" s="235"/>
      <c r="T513" s="236"/>
      <c r="U513" s="237"/>
      <c r="V513" s="237"/>
      <c r="W513" s="237"/>
      <c r="X513" s="234"/>
    </row>
    <row r="514" spans="2:24" ht="14.25" customHeight="1" x14ac:dyDescent="0.25">
      <c r="B514" s="246"/>
      <c r="C514" s="242"/>
      <c r="D514" s="84"/>
      <c r="E514" s="84"/>
      <c r="F514" s="84"/>
      <c r="G514" s="84"/>
      <c r="H514" s="244"/>
      <c r="I514" s="234"/>
      <c r="J514" s="233"/>
      <c r="K514" s="233"/>
      <c r="L514" s="163"/>
      <c r="M514" s="234"/>
      <c r="N514" s="234"/>
      <c r="O514" s="162"/>
      <c r="P514" s="162"/>
      <c r="Q514" s="235"/>
      <c r="R514" s="235"/>
      <c r="S514" s="235"/>
      <c r="T514" s="236"/>
      <c r="U514" s="237"/>
      <c r="V514" s="237"/>
      <c r="W514" s="237"/>
      <c r="X514" s="234"/>
    </row>
    <row r="515" spans="2:24" ht="14.25" customHeight="1" x14ac:dyDescent="0.25">
      <c r="B515" s="246"/>
      <c r="C515" s="242"/>
      <c r="D515" s="84"/>
      <c r="E515" s="84"/>
      <c r="F515" s="84"/>
      <c r="G515" s="84"/>
      <c r="H515" s="244"/>
      <c r="I515" s="234"/>
      <c r="J515" s="233"/>
      <c r="K515" s="233"/>
      <c r="L515" s="163"/>
      <c r="M515" s="234"/>
      <c r="N515" s="234"/>
      <c r="O515" s="162"/>
      <c r="P515" s="162"/>
      <c r="Q515" s="235"/>
      <c r="R515" s="235"/>
      <c r="S515" s="235"/>
      <c r="T515" s="236"/>
      <c r="U515" s="237"/>
      <c r="V515" s="237"/>
      <c r="W515" s="237"/>
      <c r="X515" s="234"/>
    </row>
    <row r="516" spans="2:24" ht="14.25" customHeight="1" x14ac:dyDescent="0.25">
      <c r="B516" s="246"/>
      <c r="C516" s="242"/>
      <c r="D516" s="84"/>
      <c r="E516" s="84"/>
      <c r="F516" s="84"/>
      <c r="G516" s="84"/>
      <c r="H516" s="244"/>
      <c r="I516" s="234"/>
      <c r="J516" s="233"/>
      <c r="K516" s="233"/>
      <c r="L516" s="163"/>
      <c r="M516" s="234"/>
      <c r="N516" s="234"/>
      <c r="O516" s="162"/>
      <c r="P516" s="162"/>
      <c r="Q516" s="235"/>
      <c r="R516" s="235"/>
      <c r="S516" s="235"/>
      <c r="T516" s="236"/>
      <c r="U516" s="237"/>
      <c r="V516" s="237"/>
      <c r="W516" s="237"/>
      <c r="X516" s="234"/>
    </row>
    <row r="517" spans="2:24" ht="14.25" customHeight="1" x14ac:dyDescent="0.25">
      <c r="B517" s="246"/>
      <c r="C517" s="242"/>
      <c r="D517" s="84"/>
      <c r="E517" s="84"/>
      <c r="F517" s="84"/>
      <c r="G517" s="84"/>
      <c r="H517" s="244"/>
      <c r="I517" s="234"/>
      <c r="J517" s="233"/>
      <c r="K517" s="233"/>
      <c r="L517" s="163"/>
      <c r="M517" s="234"/>
      <c r="N517" s="234"/>
      <c r="O517" s="162"/>
      <c r="P517" s="162"/>
      <c r="Q517" s="235"/>
      <c r="R517" s="235"/>
      <c r="S517" s="235"/>
      <c r="T517" s="236"/>
      <c r="U517" s="237"/>
      <c r="V517" s="237"/>
      <c r="W517" s="237"/>
      <c r="X517" s="234"/>
    </row>
    <row r="518" spans="2:24" ht="14.25" customHeight="1" x14ac:dyDescent="0.25">
      <c r="B518" s="246"/>
      <c r="C518" s="242"/>
      <c r="D518" s="84"/>
      <c r="E518" s="84"/>
      <c r="F518" s="84"/>
      <c r="G518" s="84"/>
      <c r="H518" s="244"/>
      <c r="I518" s="234"/>
      <c r="J518" s="233"/>
      <c r="K518" s="233"/>
      <c r="L518" s="163"/>
      <c r="M518" s="234"/>
      <c r="N518" s="234"/>
      <c r="O518" s="162"/>
      <c r="P518" s="162"/>
      <c r="Q518" s="235"/>
      <c r="R518" s="235"/>
      <c r="S518" s="235"/>
      <c r="T518" s="236"/>
      <c r="U518" s="237"/>
      <c r="V518" s="237"/>
      <c r="W518" s="237"/>
      <c r="X518" s="234"/>
    </row>
    <row r="519" spans="2:24" ht="14.25" customHeight="1" x14ac:dyDescent="0.25">
      <c r="B519" s="246"/>
      <c r="C519" s="242"/>
      <c r="D519" s="84"/>
      <c r="E519" s="84"/>
      <c r="F519" s="84"/>
      <c r="G519" s="84"/>
      <c r="H519" s="244"/>
      <c r="I519" s="234"/>
      <c r="J519" s="233"/>
      <c r="K519" s="233"/>
      <c r="L519" s="163"/>
      <c r="M519" s="234"/>
      <c r="N519" s="234"/>
      <c r="O519" s="162"/>
      <c r="P519" s="162"/>
      <c r="Q519" s="235"/>
      <c r="R519" s="235"/>
      <c r="S519" s="235"/>
      <c r="T519" s="236"/>
      <c r="U519" s="237"/>
      <c r="V519" s="237"/>
      <c r="W519" s="237"/>
      <c r="X519" s="234"/>
    </row>
    <row r="520" spans="2:24" ht="14.25" customHeight="1" x14ac:dyDescent="0.25">
      <c r="B520" s="246"/>
      <c r="C520" s="242"/>
      <c r="D520" s="84"/>
      <c r="E520" s="84"/>
      <c r="F520" s="84"/>
      <c r="G520" s="84"/>
      <c r="H520" s="244"/>
      <c r="I520" s="234"/>
      <c r="J520" s="233"/>
      <c r="K520" s="233"/>
      <c r="L520" s="163"/>
      <c r="M520" s="234"/>
      <c r="N520" s="234"/>
      <c r="O520" s="162"/>
      <c r="P520" s="162"/>
      <c r="Q520" s="235"/>
      <c r="R520" s="235"/>
      <c r="S520" s="235"/>
      <c r="T520" s="236"/>
      <c r="U520" s="237"/>
      <c r="V520" s="237"/>
      <c r="W520" s="237"/>
      <c r="X520" s="234"/>
    </row>
    <row r="521" spans="2:24" ht="14.25" customHeight="1" x14ac:dyDescent="0.25">
      <c r="B521" s="246"/>
      <c r="C521" s="242"/>
      <c r="D521" s="84"/>
      <c r="E521" s="84"/>
      <c r="F521" s="84"/>
      <c r="G521" s="84"/>
      <c r="H521" s="244"/>
      <c r="I521" s="234"/>
      <c r="J521" s="233"/>
      <c r="K521" s="233"/>
      <c r="L521" s="163"/>
      <c r="M521" s="234"/>
      <c r="N521" s="234"/>
      <c r="O521" s="162"/>
      <c r="P521" s="162"/>
      <c r="Q521" s="235"/>
      <c r="R521" s="235"/>
      <c r="S521" s="235"/>
      <c r="T521" s="236"/>
      <c r="U521" s="237"/>
      <c r="V521" s="237"/>
      <c r="W521" s="237"/>
      <c r="X521" s="234"/>
    </row>
    <row r="522" spans="2:24" ht="14.25" customHeight="1" x14ac:dyDescent="0.25">
      <c r="B522" s="246"/>
      <c r="C522" s="242"/>
      <c r="D522" s="84"/>
      <c r="E522" s="84"/>
      <c r="F522" s="84"/>
      <c r="G522" s="84"/>
      <c r="H522" s="244"/>
      <c r="I522" s="234"/>
      <c r="J522" s="233"/>
      <c r="K522" s="233"/>
      <c r="L522" s="163"/>
      <c r="M522" s="234"/>
      <c r="N522" s="234"/>
      <c r="O522" s="162"/>
      <c r="P522" s="162"/>
      <c r="Q522" s="235"/>
      <c r="R522" s="235"/>
      <c r="S522" s="235"/>
      <c r="T522" s="236"/>
      <c r="U522" s="237"/>
      <c r="V522" s="237"/>
      <c r="W522" s="237"/>
      <c r="X522" s="234"/>
    </row>
    <row r="523" spans="2:24" ht="14.25" customHeight="1" x14ac:dyDescent="0.25">
      <c r="B523" s="246"/>
      <c r="C523" s="242"/>
      <c r="D523" s="84"/>
      <c r="E523" s="84"/>
      <c r="F523" s="84"/>
      <c r="G523" s="84"/>
      <c r="H523" s="244"/>
      <c r="I523" s="234"/>
      <c r="J523" s="233"/>
      <c r="K523" s="233"/>
      <c r="L523" s="163"/>
      <c r="M523" s="234"/>
      <c r="N523" s="234"/>
      <c r="O523" s="162"/>
      <c r="P523" s="162"/>
      <c r="Q523" s="235"/>
      <c r="R523" s="235"/>
      <c r="S523" s="235"/>
      <c r="T523" s="236"/>
      <c r="U523" s="237"/>
      <c r="V523" s="237"/>
      <c r="W523" s="237"/>
      <c r="X523" s="234"/>
    </row>
    <row r="524" spans="2:24" ht="14.25" customHeight="1" x14ac:dyDescent="0.25">
      <c r="B524" s="246"/>
      <c r="C524" s="242"/>
      <c r="D524" s="84"/>
      <c r="E524" s="84"/>
      <c r="F524" s="84"/>
      <c r="G524" s="84"/>
      <c r="H524" s="244"/>
      <c r="I524" s="234"/>
      <c r="J524" s="233"/>
      <c r="K524" s="233"/>
      <c r="L524" s="163"/>
      <c r="M524" s="234"/>
      <c r="N524" s="234"/>
      <c r="O524" s="162"/>
      <c r="P524" s="162"/>
      <c r="Q524" s="235"/>
      <c r="R524" s="235"/>
      <c r="S524" s="235"/>
      <c r="T524" s="236"/>
      <c r="U524" s="237"/>
      <c r="V524" s="237"/>
      <c r="W524" s="237"/>
      <c r="X524" s="234"/>
    </row>
    <row r="525" spans="2:24" ht="14.25" customHeight="1" x14ac:dyDescent="0.25">
      <c r="B525" s="246"/>
      <c r="C525" s="242"/>
      <c r="D525" s="84"/>
      <c r="E525" s="84"/>
      <c r="F525" s="84"/>
      <c r="G525" s="84"/>
      <c r="H525" s="244"/>
      <c r="I525" s="234"/>
      <c r="J525" s="233"/>
      <c r="K525" s="233"/>
      <c r="L525" s="163"/>
      <c r="M525" s="234"/>
      <c r="N525" s="234"/>
      <c r="O525" s="162"/>
      <c r="P525" s="162"/>
      <c r="Q525" s="235"/>
      <c r="R525" s="235"/>
      <c r="S525" s="235"/>
      <c r="T525" s="236"/>
      <c r="U525" s="237"/>
      <c r="V525" s="237"/>
      <c r="W525" s="237"/>
      <c r="X525" s="234"/>
    </row>
    <row r="526" spans="2:24" ht="14.25" customHeight="1" x14ac:dyDescent="0.25">
      <c r="B526" s="246"/>
      <c r="C526" s="242"/>
      <c r="D526" s="84"/>
      <c r="E526" s="84"/>
      <c r="F526" s="84"/>
      <c r="G526" s="84"/>
      <c r="H526" s="244"/>
      <c r="I526" s="234"/>
      <c r="J526" s="233"/>
      <c r="K526" s="233"/>
      <c r="L526" s="163"/>
      <c r="M526" s="234"/>
      <c r="N526" s="234"/>
      <c r="O526" s="162"/>
      <c r="P526" s="162"/>
      <c r="Q526" s="235"/>
      <c r="R526" s="235"/>
      <c r="S526" s="235"/>
      <c r="T526" s="236"/>
      <c r="U526" s="237"/>
      <c r="V526" s="237"/>
      <c r="W526" s="237"/>
      <c r="X526" s="234"/>
    </row>
    <row r="527" spans="2:24" ht="14.25" customHeight="1" x14ac:dyDescent="0.25">
      <c r="B527" s="246"/>
      <c r="C527" s="242"/>
      <c r="D527" s="84"/>
      <c r="E527" s="84"/>
      <c r="F527" s="84"/>
      <c r="G527" s="84"/>
      <c r="H527" s="244"/>
      <c r="I527" s="234"/>
      <c r="J527" s="233"/>
      <c r="K527" s="233"/>
      <c r="L527" s="163"/>
      <c r="M527" s="234"/>
      <c r="N527" s="234"/>
      <c r="O527" s="162"/>
      <c r="P527" s="162"/>
      <c r="Q527" s="235"/>
      <c r="R527" s="235"/>
      <c r="S527" s="235"/>
      <c r="T527" s="236"/>
      <c r="U527" s="237"/>
      <c r="V527" s="237"/>
      <c r="W527" s="237"/>
      <c r="X527" s="234"/>
    </row>
    <row r="528" spans="2:24" ht="14.25" customHeight="1" x14ac:dyDescent="0.25">
      <c r="B528" s="246"/>
      <c r="C528" s="242"/>
      <c r="D528" s="84"/>
      <c r="E528" s="84"/>
      <c r="F528" s="84"/>
      <c r="G528" s="84"/>
      <c r="H528" s="244"/>
      <c r="I528" s="234"/>
      <c r="J528" s="233"/>
      <c r="K528" s="233"/>
      <c r="L528" s="163"/>
      <c r="M528" s="234"/>
      <c r="N528" s="234"/>
      <c r="O528" s="162"/>
      <c r="P528" s="162"/>
      <c r="Q528" s="235"/>
      <c r="R528" s="235"/>
      <c r="S528" s="235"/>
      <c r="T528" s="236"/>
      <c r="U528" s="237"/>
      <c r="V528" s="237"/>
      <c r="W528" s="237"/>
      <c r="X528" s="234"/>
    </row>
    <row r="529" spans="2:24" ht="14.25" customHeight="1" x14ac:dyDescent="0.25">
      <c r="B529" s="246"/>
      <c r="C529" s="242"/>
      <c r="D529" s="84"/>
      <c r="E529" s="84"/>
      <c r="F529" s="84"/>
      <c r="G529" s="84"/>
      <c r="H529" s="244"/>
      <c r="I529" s="234"/>
      <c r="J529" s="233"/>
      <c r="K529" s="233"/>
      <c r="L529" s="163"/>
      <c r="M529" s="234"/>
      <c r="N529" s="234"/>
      <c r="O529" s="162"/>
      <c r="P529" s="162"/>
      <c r="Q529" s="235"/>
      <c r="R529" s="235"/>
      <c r="S529" s="235"/>
      <c r="T529" s="236"/>
      <c r="U529" s="237"/>
      <c r="V529" s="237"/>
      <c r="W529" s="237"/>
      <c r="X529" s="234"/>
    </row>
    <row r="530" spans="2:24" ht="14.25" customHeight="1" x14ac:dyDescent="0.25">
      <c r="B530" s="246"/>
      <c r="C530" s="242"/>
      <c r="D530" s="84"/>
      <c r="E530" s="84"/>
      <c r="F530" s="84"/>
      <c r="G530" s="84"/>
      <c r="H530" s="244"/>
      <c r="I530" s="234"/>
      <c r="J530" s="233"/>
      <c r="K530" s="233"/>
      <c r="L530" s="163"/>
      <c r="M530" s="234"/>
      <c r="N530" s="234"/>
      <c r="O530" s="162"/>
      <c r="P530" s="162"/>
      <c r="Q530" s="235"/>
      <c r="R530" s="235"/>
      <c r="S530" s="235"/>
      <c r="T530" s="236"/>
      <c r="U530" s="237"/>
      <c r="V530" s="237"/>
      <c r="W530" s="237"/>
      <c r="X530" s="234"/>
    </row>
    <row r="531" spans="2:24" ht="14.25" customHeight="1" x14ac:dyDescent="0.25">
      <c r="B531" s="246"/>
      <c r="C531" s="242"/>
      <c r="D531" s="84"/>
      <c r="E531" s="84"/>
      <c r="F531" s="84"/>
      <c r="G531" s="84"/>
      <c r="H531" s="244"/>
      <c r="I531" s="234"/>
      <c r="J531" s="233"/>
      <c r="K531" s="233"/>
      <c r="L531" s="163"/>
      <c r="M531" s="234"/>
      <c r="N531" s="234"/>
      <c r="O531" s="162"/>
      <c r="P531" s="162"/>
      <c r="Q531" s="235"/>
      <c r="R531" s="235"/>
      <c r="S531" s="235"/>
      <c r="T531" s="236"/>
      <c r="U531" s="237"/>
      <c r="V531" s="237"/>
      <c r="W531" s="237"/>
      <c r="X531" s="234"/>
    </row>
    <row r="532" spans="2:24" ht="14.25" customHeight="1" x14ac:dyDescent="0.25">
      <c r="B532" s="246"/>
      <c r="C532" s="242"/>
      <c r="D532" s="84"/>
      <c r="E532" s="84"/>
      <c r="F532" s="84"/>
      <c r="G532" s="84"/>
      <c r="H532" s="244"/>
      <c r="I532" s="234"/>
      <c r="J532" s="233"/>
      <c r="K532" s="233"/>
      <c r="L532" s="163"/>
      <c r="M532" s="234"/>
      <c r="N532" s="234"/>
      <c r="O532" s="162"/>
      <c r="P532" s="162"/>
      <c r="Q532" s="235"/>
      <c r="R532" s="235"/>
      <c r="S532" s="235"/>
      <c r="T532" s="236"/>
      <c r="U532" s="237"/>
      <c r="V532" s="237"/>
      <c r="W532" s="237"/>
      <c r="X532" s="234"/>
    </row>
    <row r="533" spans="2:24" ht="14.25" customHeight="1" x14ac:dyDescent="0.25">
      <c r="B533" s="246"/>
      <c r="C533" s="242"/>
      <c r="D533" s="84"/>
      <c r="E533" s="84"/>
      <c r="F533" s="84"/>
      <c r="G533" s="84"/>
      <c r="H533" s="244"/>
      <c r="I533" s="234"/>
      <c r="J533" s="233"/>
      <c r="K533" s="233"/>
      <c r="L533" s="163"/>
      <c r="M533" s="234"/>
      <c r="N533" s="234"/>
      <c r="O533" s="162"/>
      <c r="P533" s="162"/>
      <c r="Q533" s="235"/>
      <c r="R533" s="235"/>
      <c r="S533" s="235"/>
      <c r="T533" s="236"/>
      <c r="U533" s="237"/>
      <c r="V533" s="237"/>
      <c r="W533" s="237"/>
      <c r="X533" s="234"/>
    </row>
    <row r="534" spans="2:24" ht="14.25" customHeight="1" x14ac:dyDescent="0.25">
      <c r="B534" s="246"/>
      <c r="C534" s="242"/>
      <c r="D534" s="84"/>
      <c r="E534" s="84"/>
      <c r="F534" s="84"/>
      <c r="G534" s="84"/>
      <c r="H534" s="244"/>
      <c r="I534" s="234"/>
      <c r="J534" s="233"/>
      <c r="K534" s="233"/>
      <c r="L534" s="163"/>
      <c r="M534" s="234"/>
      <c r="N534" s="234"/>
      <c r="O534" s="162"/>
      <c r="P534" s="162"/>
      <c r="Q534" s="235"/>
      <c r="R534" s="235"/>
      <c r="S534" s="235"/>
      <c r="T534" s="236"/>
      <c r="U534" s="237"/>
      <c r="V534" s="237"/>
      <c r="W534" s="237"/>
      <c r="X534" s="234"/>
    </row>
    <row r="535" spans="2:24" ht="14.25" customHeight="1" x14ac:dyDescent="0.25">
      <c r="B535" s="246"/>
      <c r="C535" s="242"/>
      <c r="D535" s="84"/>
      <c r="E535" s="84"/>
      <c r="F535" s="84"/>
      <c r="G535" s="84"/>
      <c r="H535" s="244"/>
      <c r="I535" s="234"/>
      <c r="J535" s="233"/>
      <c r="K535" s="233"/>
      <c r="L535" s="163"/>
      <c r="M535" s="234"/>
      <c r="N535" s="234"/>
      <c r="O535" s="162"/>
      <c r="P535" s="162"/>
      <c r="Q535" s="235"/>
      <c r="R535" s="235"/>
      <c r="S535" s="235"/>
      <c r="T535" s="236"/>
      <c r="U535" s="237"/>
      <c r="V535" s="237"/>
      <c r="W535" s="237"/>
      <c r="X535" s="234"/>
    </row>
    <row r="536" spans="2:24" ht="14.25" customHeight="1" x14ac:dyDescent="0.25">
      <c r="B536" s="246"/>
      <c r="C536" s="242"/>
      <c r="D536" s="84"/>
      <c r="E536" s="84"/>
      <c r="F536" s="84"/>
      <c r="G536" s="84"/>
      <c r="H536" s="244"/>
      <c r="I536" s="234"/>
      <c r="J536" s="233"/>
      <c r="K536" s="233"/>
      <c r="L536" s="163"/>
      <c r="M536" s="234"/>
      <c r="N536" s="234"/>
      <c r="O536" s="162"/>
      <c r="P536" s="162"/>
      <c r="Q536" s="235"/>
      <c r="R536" s="235"/>
      <c r="S536" s="235"/>
      <c r="T536" s="236"/>
      <c r="U536" s="237"/>
      <c r="V536" s="237"/>
      <c r="W536" s="237"/>
      <c r="X536" s="234"/>
    </row>
    <row r="537" spans="2:24" ht="14.25" customHeight="1" x14ac:dyDescent="0.25">
      <c r="B537" s="246"/>
      <c r="C537" s="242"/>
      <c r="D537" s="84"/>
      <c r="E537" s="84"/>
      <c r="F537" s="84"/>
      <c r="G537" s="84"/>
      <c r="H537" s="244"/>
      <c r="I537" s="234"/>
      <c r="J537" s="233"/>
      <c r="K537" s="233"/>
      <c r="L537" s="163"/>
      <c r="M537" s="234"/>
      <c r="N537" s="234"/>
      <c r="O537" s="162"/>
      <c r="P537" s="162"/>
      <c r="Q537" s="235"/>
      <c r="R537" s="235"/>
      <c r="S537" s="235"/>
      <c r="T537" s="236"/>
      <c r="U537" s="237"/>
      <c r="V537" s="237"/>
      <c r="W537" s="237"/>
      <c r="X537" s="234"/>
    </row>
    <row r="538" spans="2:24" ht="14.25" customHeight="1" x14ac:dyDescent="0.25">
      <c r="B538" s="246"/>
      <c r="C538" s="242"/>
      <c r="D538" s="84"/>
      <c r="E538" s="84"/>
      <c r="F538" s="84"/>
      <c r="G538" s="84"/>
      <c r="H538" s="244"/>
      <c r="I538" s="234"/>
      <c r="J538" s="233"/>
      <c r="K538" s="233"/>
      <c r="L538" s="163"/>
      <c r="M538" s="234"/>
      <c r="N538" s="234"/>
      <c r="O538" s="162"/>
      <c r="P538" s="162"/>
      <c r="Q538" s="235"/>
      <c r="R538" s="235"/>
      <c r="S538" s="235"/>
      <c r="T538" s="236"/>
      <c r="U538" s="237"/>
      <c r="V538" s="237"/>
      <c r="W538" s="237"/>
      <c r="X538" s="234"/>
    </row>
    <row r="539" spans="2:24" ht="14.25" customHeight="1" x14ac:dyDescent="0.25">
      <c r="B539" s="246"/>
      <c r="C539" s="242"/>
      <c r="D539" s="84"/>
      <c r="E539" s="84"/>
      <c r="F539" s="84"/>
      <c r="G539" s="84"/>
      <c r="H539" s="244"/>
      <c r="I539" s="234"/>
      <c r="J539" s="233"/>
      <c r="K539" s="233"/>
      <c r="L539" s="163"/>
      <c r="M539" s="234"/>
      <c r="N539" s="234"/>
      <c r="O539" s="162"/>
      <c r="P539" s="162"/>
      <c r="Q539" s="235"/>
      <c r="R539" s="235"/>
      <c r="S539" s="235"/>
      <c r="T539" s="236"/>
      <c r="U539" s="237"/>
      <c r="V539" s="237"/>
      <c r="W539" s="237"/>
      <c r="X539" s="234"/>
    </row>
    <row r="540" spans="2:24" ht="14.25" customHeight="1" x14ac:dyDescent="0.25">
      <c r="B540" s="246"/>
      <c r="C540" s="242"/>
      <c r="D540" s="84"/>
      <c r="E540" s="84"/>
      <c r="F540" s="84"/>
      <c r="G540" s="84"/>
      <c r="H540" s="244"/>
      <c r="I540" s="234"/>
      <c r="J540" s="233"/>
      <c r="K540" s="233"/>
      <c r="L540" s="163"/>
      <c r="M540" s="234"/>
      <c r="N540" s="234"/>
      <c r="O540" s="162"/>
      <c r="P540" s="162"/>
      <c r="Q540" s="235"/>
      <c r="R540" s="235"/>
      <c r="S540" s="235"/>
      <c r="T540" s="236"/>
      <c r="U540" s="237"/>
      <c r="V540" s="237"/>
      <c r="W540" s="237"/>
      <c r="X540" s="234"/>
    </row>
    <row r="541" spans="2:24" ht="14.25" customHeight="1" x14ac:dyDescent="0.25">
      <c r="B541" s="246"/>
      <c r="C541" s="242"/>
      <c r="D541" s="84"/>
      <c r="E541" s="84"/>
      <c r="F541" s="84"/>
      <c r="G541" s="84"/>
      <c r="H541" s="244"/>
      <c r="I541" s="234"/>
      <c r="J541" s="233"/>
      <c r="K541" s="233"/>
      <c r="L541" s="163"/>
      <c r="M541" s="234"/>
      <c r="N541" s="234"/>
      <c r="O541" s="162"/>
      <c r="P541" s="162"/>
      <c r="Q541" s="235"/>
      <c r="R541" s="235"/>
      <c r="S541" s="235"/>
      <c r="T541" s="236"/>
      <c r="U541" s="237"/>
      <c r="V541" s="237"/>
      <c r="W541" s="237"/>
      <c r="X541" s="234"/>
    </row>
    <row r="542" spans="2:24" ht="14.25" customHeight="1" x14ac:dyDescent="0.25">
      <c r="B542" s="246"/>
      <c r="C542" s="242"/>
      <c r="D542" s="84"/>
      <c r="E542" s="84"/>
      <c r="F542" s="84"/>
      <c r="G542" s="84"/>
      <c r="H542" s="244"/>
      <c r="I542" s="234"/>
      <c r="J542" s="233"/>
      <c r="K542" s="233"/>
      <c r="L542" s="163"/>
      <c r="M542" s="234"/>
      <c r="N542" s="234"/>
      <c r="O542" s="162"/>
      <c r="P542" s="162"/>
      <c r="Q542" s="235"/>
      <c r="R542" s="235"/>
      <c r="S542" s="235"/>
      <c r="T542" s="236"/>
      <c r="U542" s="237"/>
      <c r="V542" s="237"/>
      <c r="W542" s="237"/>
      <c r="X542" s="234"/>
    </row>
    <row r="543" spans="2:24" ht="14.25" customHeight="1" x14ac:dyDescent="0.25">
      <c r="B543" s="246"/>
      <c r="C543" s="242"/>
      <c r="D543" s="84"/>
      <c r="E543" s="84"/>
      <c r="F543" s="84"/>
      <c r="G543" s="84"/>
      <c r="H543" s="244"/>
      <c r="I543" s="234"/>
      <c r="J543" s="233"/>
      <c r="K543" s="233"/>
      <c r="L543" s="163"/>
      <c r="M543" s="234"/>
      <c r="N543" s="234"/>
      <c r="O543" s="162"/>
      <c r="P543" s="162"/>
      <c r="Q543" s="235"/>
      <c r="R543" s="235"/>
      <c r="S543" s="235"/>
      <c r="T543" s="236"/>
      <c r="U543" s="237"/>
      <c r="V543" s="237"/>
      <c r="W543" s="237"/>
      <c r="X543" s="234"/>
    </row>
    <row r="544" spans="2:24" ht="14.25" customHeight="1" x14ac:dyDescent="0.25">
      <c r="B544" s="246"/>
      <c r="C544" s="242"/>
      <c r="D544" s="84"/>
      <c r="E544" s="84"/>
      <c r="F544" s="84"/>
      <c r="G544" s="84"/>
      <c r="H544" s="244"/>
      <c r="I544" s="234"/>
      <c r="J544" s="233"/>
      <c r="K544" s="233"/>
      <c r="L544" s="163"/>
      <c r="M544" s="234"/>
      <c r="N544" s="234"/>
      <c r="O544" s="162"/>
      <c r="P544" s="162"/>
      <c r="Q544" s="235"/>
      <c r="R544" s="235"/>
      <c r="S544" s="235"/>
      <c r="T544" s="236"/>
      <c r="U544" s="237"/>
      <c r="V544" s="237"/>
      <c r="W544" s="237"/>
      <c r="X544" s="234"/>
    </row>
    <row r="545" spans="2:24" ht="14.25" customHeight="1" x14ac:dyDescent="0.25">
      <c r="B545" s="246"/>
      <c r="C545" s="242"/>
      <c r="D545" s="84"/>
      <c r="E545" s="84"/>
      <c r="F545" s="84"/>
      <c r="G545" s="84"/>
      <c r="H545" s="244"/>
      <c r="I545" s="234"/>
      <c r="J545" s="233"/>
      <c r="K545" s="233"/>
      <c r="L545" s="163"/>
      <c r="M545" s="234"/>
      <c r="N545" s="234"/>
      <c r="O545" s="162"/>
      <c r="P545" s="162"/>
      <c r="Q545" s="235"/>
      <c r="R545" s="235"/>
      <c r="S545" s="235"/>
      <c r="T545" s="236"/>
      <c r="U545" s="237"/>
      <c r="V545" s="237"/>
      <c r="W545" s="237"/>
      <c r="X545" s="234"/>
    </row>
    <row r="546" spans="2:24" ht="14.25" customHeight="1" x14ac:dyDescent="0.25">
      <c r="B546" s="246"/>
      <c r="C546" s="242"/>
      <c r="D546" s="84"/>
      <c r="E546" s="84"/>
      <c r="F546" s="84"/>
      <c r="G546" s="84"/>
      <c r="H546" s="244"/>
      <c r="I546" s="234"/>
      <c r="J546" s="233"/>
      <c r="K546" s="233"/>
      <c r="L546" s="163"/>
      <c r="M546" s="234"/>
      <c r="N546" s="234"/>
      <c r="O546" s="162"/>
      <c r="P546" s="162"/>
      <c r="Q546" s="235"/>
      <c r="R546" s="235"/>
      <c r="S546" s="235"/>
      <c r="T546" s="236"/>
      <c r="U546" s="237"/>
      <c r="V546" s="237"/>
      <c r="W546" s="237"/>
      <c r="X546" s="234"/>
    </row>
    <row r="547" spans="2:24" ht="14.25" customHeight="1" x14ac:dyDescent="0.25">
      <c r="B547" s="246"/>
      <c r="C547" s="242"/>
      <c r="D547" s="84"/>
      <c r="E547" s="84"/>
      <c r="F547" s="84"/>
      <c r="G547" s="84"/>
      <c r="H547" s="244"/>
      <c r="I547" s="234"/>
      <c r="J547" s="233"/>
      <c r="K547" s="233"/>
      <c r="L547" s="163"/>
      <c r="M547" s="234"/>
      <c r="N547" s="234"/>
      <c r="O547" s="162"/>
      <c r="P547" s="162"/>
      <c r="Q547" s="235"/>
      <c r="R547" s="235"/>
      <c r="S547" s="235"/>
      <c r="T547" s="236"/>
      <c r="U547" s="237"/>
      <c r="V547" s="237"/>
      <c r="W547" s="237"/>
      <c r="X547" s="234"/>
    </row>
    <row r="548" spans="2:24" ht="14.25" customHeight="1" x14ac:dyDescent="0.25">
      <c r="B548" s="246"/>
      <c r="C548" s="242"/>
      <c r="D548" s="84"/>
      <c r="E548" s="84"/>
      <c r="F548" s="84"/>
      <c r="G548" s="84"/>
      <c r="H548" s="244"/>
      <c r="I548" s="234"/>
      <c r="J548" s="233"/>
      <c r="K548" s="233"/>
      <c r="L548" s="163"/>
      <c r="M548" s="234"/>
      <c r="N548" s="234"/>
      <c r="O548" s="162"/>
      <c r="P548" s="162"/>
      <c r="Q548" s="235"/>
      <c r="R548" s="235"/>
      <c r="S548" s="235"/>
      <c r="T548" s="236"/>
      <c r="U548" s="237"/>
      <c r="V548" s="237"/>
      <c r="W548" s="237"/>
      <c r="X548" s="234"/>
    </row>
    <row r="549" spans="2:24" ht="14.25" customHeight="1" x14ac:dyDescent="0.25">
      <c r="B549" s="246"/>
      <c r="C549" s="242"/>
      <c r="D549" s="84"/>
      <c r="E549" s="84"/>
      <c r="F549" s="84"/>
      <c r="G549" s="84"/>
      <c r="H549" s="244"/>
      <c r="I549" s="234"/>
      <c r="J549" s="233"/>
      <c r="K549" s="233"/>
      <c r="L549" s="163"/>
      <c r="M549" s="234"/>
      <c r="N549" s="234"/>
      <c r="O549" s="162"/>
      <c r="P549" s="162"/>
      <c r="Q549" s="235"/>
      <c r="R549" s="235"/>
      <c r="S549" s="235"/>
      <c r="T549" s="236"/>
      <c r="U549" s="237"/>
      <c r="V549" s="237"/>
      <c r="W549" s="237"/>
      <c r="X549" s="234"/>
    </row>
    <row r="550" spans="2:24" ht="14.25" customHeight="1" x14ac:dyDescent="0.25">
      <c r="B550" s="246"/>
      <c r="C550" s="242"/>
      <c r="D550" s="84"/>
      <c r="E550" s="84"/>
      <c r="F550" s="84"/>
      <c r="G550" s="84"/>
      <c r="H550" s="244"/>
      <c r="I550" s="234"/>
      <c r="J550" s="233"/>
      <c r="K550" s="233"/>
      <c r="L550" s="163"/>
      <c r="M550" s="234"/>
      <c r="N550" s="234"/>
      <c r="O550" s="162"/>
      <c r="P550" s="162"/>
      <c r="Q550" s="235"/>
      <c r="R550" s="235"/>
      <c r="S550" s="235"/>
      <c r="T550" s="236"/>
      <c r="U550" s="237"/>
      <c r="V550" s="237"/>
      <c r="W550" s="237"/>
      <c r="X550" s="234"/>
    </row>
    <row r="551" spans="2:24" ht="14.25" customHeight="1" x14ac:dyDescent="0.25">
      <c r="B551" s="246"/>
      <c r="C551" s="242"/>
      <c r="D551" s="84"/>
      <c r="E551" s="84"/>
      <c r="F551" s="84"/>
      <c r="G551" s="84"/>
      <c r="H551" s="244"/>
      <c r="I551" s="234"/>
      <c r="J551" s="233"/>
      <c r="K551" s="233"/>
      <c r="L551" s="163"/>
      <c r="M551" s="234"/>
      <c r="N551" s="234"/>
      <c r="O551" s="162"/>
      <c r="P551" s="162"/>
      <c r="Q551" s="235"/>
      <c r="R551" s="235"/>
      <c r="S551" s="235"/>
      <c r="T551" s="236"/>
      <c r="U551" s="237"/>
      <c r="V551" s="237"/>
      <c r="W551" s="237"/>
      <c r="X551" s="234"/>
    </row>
    <row r="552" spans="2:24" ht="14.25" customHeight="1" x14ac:dyDescent="0.25">
      <c r="B552" s="246"/>
      <c r="C552" s="242"/>
      <c r="D552" s="84"/>
      <c r="E552" s="84"/>
      <c r="F552" s="84"/>
      <c r="G552" s="84"/>
      <c r="H552" s="244"/>
      <c r="I552" s="234"/>
      <c r="J552" s="233"/>
      <c r="K552" s="233"/>
      <c r="L552" s="163"/>
      <c r="M552" s="234"/>
      <c r="N552" s="234"/>
      <c r="O552" s="162"/>
      <c r="P552" s="162"/>
      <c r="Q552" s="235"/>
      <c r="R552" s="235"/>
      <c r="S552" s="235"/>
      <c r="T552" s="236"/>
      <c r="U552" s="237"/>
      <c r="V552" s="237"/>
      <c r="W552" s="237"/>
      <c r="X552" s="234"/>
    </row>
    <row r="553" spans="2:24" ht="14.25" customHeight="1" x14ac:dyDescent="0.25">
      <c r="B553" s="246"/>
      <c r="C553" s="242"/>
      <c r="D553" s="84"/>
      <c r="E553" s="84"/>
      <c r="F553" s="84"/>
      <c r="G553" s="84"/>
      <c r="H553" s="244"/>
      <c r="I553" s="234"/>
      <c r="J553" s="233"/>
      <c r="K553" s="233"/>
      <c r="L553" s="163"/>
      <c r="M553" s="234"/>
      <c r="N553" s="234"/>
      <c r="O553" s="162"/>
      <c r="P553" s="162"/>
      <c r="Q553" s="235"/>
      <c r="R553" s="235"/>
      <c r="S553" s="235"/>
      <c r="T553" s="236"/>
      <c r="U553" s="237"/>
      <c r="V553" s="237"/>
      <c r="W553" s="237"/>
      <c r="X553" s="234"/>
    </row>
    <row r="554" spans="2:24" ht="14.25" customHeight="1" x14ac:dyDescent="0.25">
      <c r="B554" s="246"/>
      <c r="C554" s="242"/>
      <c r="D554" s="84"/>
      <c r="E554" s="84"/>
      <c r="F554" s="84"/>
      <c r="G554" s="84"/>
      <c r="H554" s="244"/>
      <c r="I554" s="234"/>
      <c r="J554" s="233"/>
      <c r="K554" s="233"/>
      <c r="L554" s="163"/>
      <c r="M554" s="234"/>
      <c r="N554" s="234"/>
      <c r="O554" s="162"/>
      <c r="P554" s="162"/>
      <c r="Q554" s="235"/>
      <c r="R554" s="235"/>
      <c r="S554" s="235"/>
      <c r="T554" s="236"/>
      <c r="U554" s="237"/>
      <c r="V554" s="237"/>
      <c r="W554" s="237"/>
      <c r="X554" s="234"/>
    </row>
    <row r="555" spans="2:24" ht="14.25" customHeight="1" x14ac:dyDescent="0.25">
      <c r="B555" s="246"/>
      <c r="C555" s="242"/>
      <c r="D555" s="84"/>
      <c r="E555" s="84"/>
      <c r="F555" s="84"/>
      <c r="G555" s="84"/>
      <c r="H555" s="244"/>
      <c r="I555" s="234"/>
      <c r="J555" s="233"/>
      <c r="K555" s="233"/>
      <c r="L555" s="163"/>
      <c r="M555" s="234"/>
      <c r="N555" s="234"/>
      <c r="O555" s="162"/>
      <c r="P555" s="162"/>
      <c r="Q555" s="235"/>
      <c r="R555" s="235"/>
      <c r="S555" s="235"/>
      <c r="T555" s="236"/>
      <c r="U555" s="237"/>
      <c r="V555" s="237"/>
      <c r="W555" s="237"/>
      <c r="X555" s="234"/>
    </row>
    <row r="556" spans="2:24" ht="14.25" customHeight="1" x14ac:dyDescent="0.25">
      <c r="B556" s="246"/>
      <c r="C556" s="242"/>
      <c r="D556" s="84"/>
      <c r="E556" s="84"/>
      <c r="F556" s="84"/>
      <c r="G556" s="84"/>
      <c r="H556" s="244"/>
      <c r="I556" s="234"/>
      <c r="J556" s="233"/>
      <c r="K556" s="233"/>
      <c r="L556" s="163"/>
      <c r="M556" s="234"/>
      <c r="N556" s="234"/>
      <c r="O556" s="162"/>
      <c r="P556" s="162"/>
      <c r="Q556" s="235"/>
      <c r="R556" s="235"/>
      <c r="S556" s="235"/>
      <c r="T556" s="236"/>
      <c r="U556" s="237"/>
      <c r="V556" s="237"/>
      <c r="W556" s="237"/>
      <c r="X556" s="234"/>
    </row>
    <row r="557" spans="2:24" ht="14.25" customHeight="1" x14ac:dyDescent="0.25">
      <c r="B557" s="246"/>
      <c r="C557" s="242"/>
      <c r="D557" s="84"/>
      <c r="E557" s="84"/>
      <c r="F557" s="84"/>
      <c r="G557" s="84"/>
      <c r="H557" s="244"/>
      <c r="I557" s="234"/>
      <c r="J557" s="233"/>
      <c r="K557" s="233"/>
      <c r="L557" s="163"/>
      <c r="M557" s="234"/>
      <c r="N557" s="234"/>
      <c r="O557" s="162"/>
      <c r="P557" s="162"/>
      <c r="Q557" s="235"/>
      <c r="R557" s="235"/>
      <c r="S557" s="235"/>
      <c r="T557" s="236"/>
      <c r="U557" s="237"/>
      <c r="V557" s="237"/>
      <c r="W557" s="237"/>
      <c r="X557" s="234"/>
    </row>
    <row r="558" spans="2:24" ht="14.25" customHeight="1" x14ac:dyDescent="0.25">
      <c r="B558" s="246"/>
      <c r="C558" s="242"/>
      <c r="D558" s="84"/>
      <c r="E558" s="84"/>
      <c r="F558" s="84"/>
      <c r="G558" s="84"/>
      <c r="H558" s="244"/>
      <c r="I558" s="234"/>
      <c r="J558" s="233"/>
      <c r="K558" s="233"/>
      <c r="L558" s="163"/>
      <c r="M558" s="234"/>
      <c r="N558" s="234"/>
      <c r="O558" s="162"/>
      <c r="P558" s="162"/>
      <c r="Q558" s="235"/>
      <c r="R558" s="235"/>
      <c r="S558" s="235"/>
      <c r="T558" s="236"/>
      <c r="U558" s="237"/>
      <c r="V558" s="237"/>
      <c r="W558" s="237"/>
      <c r="X558" s="234"/>
    </row>
    <row r="559" spans="2:24" ht="14.25" customHeight="1" x14ac:dyDescent="0.25">
      <c r="B559" s="246"/>
      <c r="C559" s="242"/>
      <c r="D559" s="84"/>
      <c r="E559" s="84"/>
      <c r="F559" s="84"/>
      <c r="G559" s="84"/>
      <c r="H559" s="244"/>
      <c r="I559" s="234"/>
      <c r="J559" s="233"/>
      <c r="K559" s="233"/>
      <c r="L559" s="163"/>
      <c r="M559" s="234"/>
      <c r="N559" s="234"/>
      <c r="O559" s="162"/>
      <c r="P559" s="162"/>
      <c r="Q559" s="235"/>
      <c r="R559" s="235"/>
      <c r="S559" s="235"/>
      <c r="T559" s="236"/>
      <c r="U559" s="237"/>
      <c r="V559" s="237"/>
      <c r="W559" s="237"/>
      <c r="X559" s="234"/>
    </row>
    <row r="560" spans="2:24" ht="14.25" customHeight="1" x14ac:dyDescent="0.25">
      <c r="B560" s="246"/>
      <c r="C560" s="242"/>
      <c r="D560" s="84"/>
      <c r="E560" s="84"/>
      <c r="F560" s="84"/>
      <c r="G560" s="84"/>
      <c r="H560" s="244"/>
      <c r="I560" s="234"/>
      <c r="J560" s="233"/>
      <c r="K560" s="233"/>
      <c r="L560" s="163"/>
      <c r="M560" s="234"/>
      <c r="N560" s="234"/>
      <c r="O560" s="162"/>
      <c r="P560" s="162"/>
      <c r="Q560" s="235"/>
      <c r="R560" s="235"/>
      <c r="S560" s="235"/>
      <c r="T560" s="236"/>
      <c r="U560" s="237"/>
      <c r="V560" s="237"/>
      <c r="W560" s="237"/>
      <c r="X560" s="234"/>
    </row>
    <row r="561" spans="2:24" ht="14.25" customHeight="1" x14ac:dyDescent="0.25">
      <c r="B561" s="246"/>
      <c r="C561" s="242"/>
      <c r="D561" s="84"/>
      <c r="E561" s="84"/>
      <c r="F561" s="84"/>
      <c r="G561" s="84"/>
      <c r="H561" s="244"/>
      <c r="I561" s="234"/>
      <c r="J561" s="233"/>
      <c r="K561" s="233"/>
      <c r="L561" s="163"/>
      <c r="M561" s="234"/>
      <c r="N561" s="234"/>
      <c r="O561" s="162"/>
      <c r="P561" s="162"/>
      <c r="Q561" s="235"/>
      <c r="R561" s="235"/>
      <c r="S561" s="235"/>
      <c r="T561" s="236"/>
      <c r="U561" s="237"/>
      <c r="V561" s="237"/>
      <c r="W561" s="237"/>
      <c r="X561" s="234"/>
    </row>
    <row r="562" spans="2:24" ht="14.25" customHeight="1" x14ac:dyDescent="0.25">
      <c r="B562" s="246"/>
      <c r="C562" s="242"/>
      <c r="D562" s="84"/>
      <c r="E562" s="84"/>
      <c r="F562" s="84"/>
      <c r="G562" s="84"/>
      <c r="H562" s="244"/>
      <c r="I562" s="234"/>
      <c r="J562" s="233"/>
      <c r="K562" s="233"/>
      <c r="L562" s="163"/>
      <c r="M562" s="234"/>
      <c r="N562" s="234"/>
      <c r="O562" s="162"/>
      <c r="P562" s="162"/>
      <c r="Q562" s="235"/>
      <c r="R562" s="235"/>
      <c r="S562" s="235"/>
      <c r="T562" s="236"/>
      <c r="U562" s="237"/>
      <c r="V562" s="237"/>
      <c r="W562" s="237"/>
      <c r="X562" s="234"/>
    </row>
    <row r="563" spans="2:24" ht="14.25" customHeight="1" x14ac:dyDescent="0.25">
      <c r="B563" s="246"/>
      <c r="C563" s="242"/>
      <c r="D563" s="84"/>
      <c r="E563" s="84"/>
      <c r="F563" s="84"/>
      <c r="G563" s="84"/>
      <c r="H563" s="244"/>
      <c r="I563" s="234"/>
      <c r="J563" s="233"/>
      <c r="K563" s="233"/>
      <c r="L563" s="163"/>
      <c r="M563" s="234"/>
      <c r="N563" s="234"/>
      <c r="O563" s="162"/>
      <c r="P563" s="162"/>
      <c r="Q563" s="235"/>
      <c r="R563" s="235"/>
      <c r="S563" s="235"/>
      <c r="T563" s="236"/>
      <c r="U563" s="237"/>
      <c r="V563" s="237"/>
      <c r="W563" s="237"/>
      <c r="X563" s="234"/>
    </row>
    <row r="564" spans="2:24" ht="14.25" customHeight="1" x14ac:dyDescent="0.25">
      <c r="B564" s="246"/>
      <c r="C564" s="242"/>
      <c r="D564" s="84"/>
      <c r="E564" s="84"/>
      <c r="F564" s="84"/>
      <c r="G564" s="84"/>
      <c r="H564" s="244"/>
      <c r="I564" s="234"/>
      <c r="J564" s="233"/>
      <c r="K564" s="233"/>
      <c r="L564" s="163"/>
      <c r="M564" s="234"/>
      <c r="N564" s="234"/>
      <c r="O564" s="162"/>
      <c r="P564" s="162"/>
      <c r="Q564" s="235"/>
      <c r="R564" s="235"/>
      <c r="S564" s="235"/>
      <c r="T564" s="236"/>
      <c r="U564" s="237"/>
      <c r="V564" s="237"/>
      <c r="W564" s="237"/>
      <c r="X564" s="234"/>
    </row>
    <row r="565" spans="2:24" ht="14.25" customHeight="1" x14ac:dyDescent="0.25">
      <c r="B565" s="246"/>
      <c r="C565" s="242"/>
      <c r="D565" s="84"/>
      <c r="E565" s="84"/>
      <c r="F565" s="84"/>
      <c r="G565" s="84"/>
      <c r="H565" s="244"/>
      <c r="I565" s="234"/>
      <c r="J565" s="233"/>
      <c r="K565" s="233"/>
      <c r="L565" s="163"/>
      <c r="M565" s="234"/>
      <c r="N565" s="234"/>
      <c r="O565" s="162"/>
      <c r="P565" s="162"/>
      <c r="Q565" s="235"/>
      <c r="R565" s="235"/>
      <c r="S565" s="235"/>
      <c r="T565" s="236"/>
      <c r="U565" s="237"/>
      <c r="V565" s="237"/>
      <c r="W565" s="237"/>
      <c r="X565" s="234"/>
    </row>
    <row r="566" spans="2:24" ht="14.25" customHeight="1" x14ac:dyDescent="0.25">
      <c r="B566" s="246"/>
      <c r="C566" s="242"/>
      <c r="D566" s="84"/>
      <c r="E566" s="84"/>
      <c r="F566" s="84"/>
      <c r="G566" s="84"/>
      <c r="H566" s="244"/>
      <c r="I566" s="234"/>
      <c r="J566" s="233"/>
      <c r="K566" s="233"/>
      <c r="L566" s="163"/>
      <c r="M566" s="234"/>
      <c r="N566" s="234"/>
      <c r="O566" s="162"/>
      <c r="P566" s="162"/>
      <c r="Q566" s="235"/>
      <c r="R566" s="235"/>
      <c r="S566" s="235"/>
      <c r="T566" s="236"/>
      <c r="U566" s="237"/>
      <c r="V566" s="237"/>
      <c r="W566" s="237"/>
      <c r="X566" s="234"/>
    </row>
    <row r="567" spans="2:24" ht="14.25" customHeight="1" x14ac:dyDescent="0.25">
      <c r="B567" s="246"/>
      <c r="C567" s="242"/>
      <c r="D567" s="84"/>
      <c r="E567" s="84"/>
      <c r="F567" s="84"/>
      <c r="G567" s="84"/>
      <c r="H567" s="244"/>
      <c r="I567" s="234"/>
      <c r="J567" s="233"/>
      <c r="K567" s="233"/>
      <c r="L567" s="163"/>
      <c r="M567" s="234"/>
      <c r="N567" s="234"/>
      <c r="O567" s="162"/>
      <c r="P567" s="162"/>
      <c r="Q567" s="235"/>
      <c r="R567" s="235"/>
      <c r="S567" s="235"/>
      <c r="T567" s="236"/>
      <c r="U567" s="237"/>
      <c r="V567" s="237"/>
      <c r="W567" s="237"/>
      <c r="X567" s="234"/>
    </row>
    <row r="568" spans="2:24" ht="14.25" customHeight="1" x14ac:dyDescent="0.25">
      <c r="B568" s="246"/>
      <c r="C568" s="242"/>
      <c r="D568" s="84"/>
      <c r="E568" s="84"/>
      <c r="F568" s="84"/>
      <c r="G568" s="84"/>
      <c r="H568" s="244"/>
      <c r="I568" s="234"/>
      <c r="J568" s="233"/>
      <c r="K568" s="233"/>
      <c r="L568" s="163"/>
      <c r="M568" s="234"/>
      <c r="N568" s="234"/>
      <c r="O568" s="162"/>
      <c r="P568" s="162"/>
      <c r="Q568" s="235"/>
      <c r="R568" s="235"/>
      <c r="S568" s="235"/>
      <c r="T568" s="236"/>
      <c r="U568" s="237"/>
      <c r="V568" s="237"/>
      <c r="W568" s="237"/>
      <c r="X568" s="234"/>
    </row>
    <row r="569" spans="2:24" ht="14.25" customHeight="1" x14ac:dyDescent="0.25">
      <c r="B569" s="246"/>
      <c r="C569" s="242"/>
      <c r="D569" s="84"/>
      <c r="E569" s="84"/>
      <c r="F569" s="84"/>
      <c r="G569" s="84"/>
      <c r="H569" s="244"/>
      <c r="I569" s="234"/>
      <c r="J569" s="233"/>
      <c r="K569" s="233"/>
      <c r="L569" s="163"/>
      <c r="M569" s="234"/>
      <c r="N569" s="234"/>
      <c r="O569" s="162"/>
      <c r="P569" s="162"/>
      <c r="Q569" s="235"/>
      <c r="R569" s="235"/>
      <c r="S569" s="235"/>
      <c r="T569" s="236"/>
      <c r="U569" s="237"/>
      <c r="V569" s="237"/>
      <c r="W569" s="237"/>
      <c r="X569" s="234"/>
    </row>
    <row r="570" spans="2:24" ht="14.25" customHeight="1" x14ac:dyDescent="0.25">
      <c r="B570" s="246"/>
      <c r="C570" s="242"/>
      <c r="D570" s="84"/>
      <c r="E570" s="84"/>
      <c r="F570" s="84"/>
      <c r="G570" s="84"/>
      <c r="H570" s="244"/>
      <c r="I570" s="234"/>
      <c r="J570" s="233"/>
      <c r="K570" s="233"/>
      <c r="L570" s="163"/>
      <c r="M570" s="234"/>
      <c r="N570" s="234"/>
      <c r="O570" s="162"/>
      <c r="P570" s="162"/>
      <c r="Q570" s="235"/>
      <c r="R570" s="235"/>
      <c r="S570" s="235"/>
      <c r="T570" s="236"/>
      <c r="U570" s="237"/>
      <c r="V570" s="237"/>
      <c r="W570" s="237"/>
      <c r="X570" s="234"/>
    </row>
    <row r="571" spans="2:24" ht="14.25" customHeight="1" x14ac:dyDescent="0.25">
      <c r="B571" s="246"/>
      <c r="C571" s="242"/>
      <c r="D571" s="84"/>
      <c r="E571" s="84"/>
      <c r="F571" s="84"/>
      <c r="G571" s="84"/>
      <c r="H571" s="244"/>
      <c r="I571" s="234"/>
      <c r="J571" s="233"/>
      <c r="K571" s="233"/>
      <c r="L571" s="163"/>
      <c r="M571" s="234"/>
      <c r="N571" s="234"/>
      <c r="O571" s="162"/>
      <c r="P571" s="162"/>
      <c r="Q571" s="235"/>
      <c r="R571" s="235"/>
      <c r="S571" s="235"/>
      <c r="T571" s="236"/>
      <c r="U571" s="237"/>
      <c r="V571" s="237"/>
      <c r="W571" s="237"/>
      <c r="X571" s="234"/>
    </row>
    <row r="572" spans="2:24" ht="14.25" customHeight="1" x14ac:dyDescent="0.25">
      <c r="B572" s="246"/>
      <c r="C572" s="242"/>
      <c r="D572" s="84"/>
      <c r="E572" s="84"/>
      <c r="F572" s="84"/>
      <c r="G572" s="84"/>
      <c r="H572" s="244"/>
      <c r="I572" s="234"/>
      <c r="J572" s="233"/>
      <c r="K572" s="233"/>
      <c r="L572" s="163"/>
      <c r="M572" s="234"/>
      <c r="N572" s="234"/>
      <c r="O572" s="162"/>
      <c r="P572" s="162"/>
      <c r="Q572" s="235"/>
      <c r="R572" s="235"/>
      <c r="S572" s="235"/>
      <c r="T572" s="236"/>
      <c r="U572" s="237"/>
      <c r="V572" s="237"/>
      <c r="W572" s="237"/>
      <c r="X572" s="234"/>
    </row>
    <row r="573" spans="2:24" ht="14.25" customHeight="1" x14ac:dyDescent="0.25">
      <c r="B573" s="246"/>
      <c r="C573" s="242"/>
      <c r="D573" s="84"/>
      <c r="E573" s="84"/>
      <c r="F573" s="84"/>
      <c r="G573" s="84"/>
      <c r="H573" s="244"/>
      <c r="I573" s="234"/>
      <c r="J573" s="233"/>
      <c r="K573" s="233"/>
      <c r="L573" s="163"/>
      <c r="M573" s="234"/>
      <c r="N573" s="234"/>
      <c r="O573" s="162"/>
      <c r="P573" s="162"/>
      <c r="Q573" s="235"/>
      <c r="R573" s="235"/>
      <c r="S573" s="235"/>
      <c r="T573" s="236"/>
      <c r="U573" s="237"/>
      <c r="V573" s="237"/>
      <c r="W573" s="237"/>
      <c r="X573" s="234"/>
    </row>
    <row r="574" spans="2:24" ht="14.25" customHeight="1" x14ac:dyDescent="0.25">
      <c r="B574" s="246"/>
      <c r="C574" s="242"/>
      <c r="D574" s="84"/>
      <c r="E574" s="84"/>
      <c r="F574" s="84"/>
      <c r="G574" s="84"/>
      <c r="H574" s="244"/>
      <c r="I574" s="234"/>
      <c r="J574" s="233"/>
      <c r="K574" s="233"/>
      <c r="L574" s="163"/>
      <c r="M574" s="234"/>
      <c r="N574" s="234"/>
      <c r="O574" s="162"/>
      <c r="P574" s="162"/>
      <c r="Q574" s="235"/>
      <c r="R574" s="235"/>
      <c r="S574" s="235"/>
      <c r="T574" s="236"/>
      <c r="U574" s="237"/>
      <c r="V574" s="237"/>
      <c r="W574" s="237"/>
      <c r="X574" s="234"/>
    </row>
    <row r="575" spans="2:24" ht="14.25" customHeight="1" x14ac:dyDescent="0.25">
      <c r="B575" s="246"/>
      <c r="C575" s="242"/>
      <c r="D575" s="84"/>
      <c r="E575" s="84"/>
      <c r="F575" s="84"/>
      <c r="G575" s="84"/>
      <c r="H575" s="244"/>
      <c r="I575" s="234"/>
      <c r="J575" s="233"/>
      <c r="K575" s="233"/>
      <c r="L575" s="163"/>
      <c r="M575" s="234"/>
      <c r="N575" s="234"/>
      <c r="O575" s="162"/>
      <c r="P575" s="162"/>
      <c r="Q575" s="235"/>
      <c r="R575" s="235"/>
      <c r="S575" s="235"/>
      <c r="T575" s="236"/>
      <c r="U575" s="237"/>
      <c r="V575" s="237"/>
      <c r="W575" s="237"/>
      <c r="X575" s="234"/>
    </row>
    <row r="576" spans="2:24" ht="14.25" customHeight="1" x14ac:dyDescent="0.25">
      <c r="B576" s="246"/>
      <c r="C576" s="242"/>
      <c r="D576" s="84"/>
      <c r="E576" s="84"/>
      <c r="F576" s="84"/>
      <c r="G576" s="84"/>
      <c r="H576" s="244"/>
      <c r="I576" s="234"/>
      <c r="J576" s="233"/>
      <c r="K576" s="233"/>
      <c r="L576" s="163"/>
      <c r="M576" s="234"/>
      <c r="N576" s="234"/>
      <c r="O576" s="162"/>
      <c r="P576" s="162"/>
      <c r="Q576" s="235"/>
      <c r="R576" s="235"/>
      <c r="S576" s="235"/>
      <c r="T576" s="236"/>
      <c r="U576" s="237"/>
      <c r="V576" s="237"/>
      <c r="W576" s="237"/>
      <c r="X576" s="234"/>
    </row>
    <row r="577" spans="2:24" ht="14.25" customHeight="1" x14ac:dyDescent="0.25">
      <c r="B577" s="246"/>
      <c r="C577" s="242"/>
      <c r="D577" s="84"/>
      <c r="E577" s="84"/>
      <c r="F577" s="84"/>
      <c r="G577" s="84"/>
      <c r="H577" s="244"/>
      <c r="I577" s="234"/>
      <c r="J577" s="233"/>
      <c r="K577" s="233"/>
      <c r="L577" s="163"/>
      <c r="M577" s="234"/>
      <c r="N577" s="234"/>
      <c r="O577" s="162"/>
      <c r="P577" s="162"/>
      <c r="Q577" s="235"/>
      <c r="R577" s="235"/>
      <c r="S577" s="235"/>
      <c r="T577" s="236"/>
      <c r="U577" s="237"/>
      <c r="V577" s="237"/>
      <c r="W577" s="237"/>
      <c r="X577" s="234"/>
    </row>
    <row r="578" spans="2:24" ht="14.25" customHeight="1" x14ac:dyDescent="0.25">
      <c r="B578" s="246"/>
      <c r="C578" s="242"/>
      <c r="D578" s="84"/>
      <c r="E578" s="84"/>
      <c r="F578" s="84"/>
      <c r="G578" s="84"/>
      <c r="H578" s="244"/>
      <c r="I578" s="234"/>
      <c r="J578" s="233"/>
      <c r="K578" s="233"/>
      <c r="L578" s="163"/>
      <c r="M578" s="234"/>
      <c r="N578" s="234"/>
      <c r="O578" s="162"/>
      <c r="P578" s="162"/>
      <c r="Q578" s="235"/>
      <c r="R578" s="235"/>
      <c r="S578" s="235"/>
      <c r="T578" s="236"/>
      <c r="U578" s="237"/>
      <c r="V578" s="237"/>
      <c r="W578" s="237"/>
      <c r="X578" s="234"/>
    </row>
    <row r="579" spans="2:24" ht="14.25" customHeight="1" x14ac:dyDescent="0.25">
      <c r="B579" s="246"/>
      <c r="C579" s="242"/>
      <c r="D579" s="84"/>
      <c r="E579" s="84"/>
      <c r="F579" s="84"/>
      <c r="G579" s="84"/>
      <c r="H579" s="244"/>
      <c r="I579" s="234"/>
      <c r="J579" s="233"/>
      <c r="K579" s="233"/>
      <c r="L579" s="163"/>
      <c r="M579" s="234"/>
      <c r="N579" s="234"/>
      <c r="O579" s="162"/>
      <c r="P579" s="162"/>
      <c r="Q579" s="235"/>
      <c r="R579" s="235"/>
      <c r="S579" s="235"/>
      <c r="T579" s="236"/>
      <c r="U579" s="237"/>
      <c r="V579" s="237"/>
      <c r="W579" s="237"/>
      <c r="X579" s="234"/>
    </row>
    <row r="580" spans="2:24" ht="14.25" customHeight="1" x14ac:dyDescent="0.25">
      <c r="B580" s="246"/>
      <c r="C580" s="242"/>
      <c r="D580" s="84"/>
      <c r="E580" s="84"/>
      <c r="F580" s="84"/>
      <c r="G580" s="84"/>
      <c r="H580" s="244"/>
      <c r="I580" s="234"/>
      <c r="J580" s="233"/>
      <c r="K580" s="233"/>
      <c r="L580" s="163"/>
      <c r="M580" s="234"/>
      <c r="N580" s="234"/>
      <c r="O580" s="162"/>
      <c r="P580" s="162"/>
      <c r="Q580" s="235"/>
      <c r="R580" s="235"/>
      <c r="S580" s="235"/>
      <c r="T580" s="236"/>
      <c r="U580" s="237"/>
      <c r="V580" s="237"/>
      <c r="W580" s="237"/>
      <c r="X580" s="234"/>
    </row>
    <row r="581" spans="2:24" ht="14.25" customHeight="1" x14ac:dyDescent="0.25">
      <c r="B581" s="246"/>
      <c r="C581" s="242"/>
      <c r="D581" s="84"/>
      <c r="E581" s="84"/>
      <c r="F581" s="84"/>
      <c r="G581" s="84"/>
      <c r="H581" s="244"/>
      <c r="I581" s="234"/>
      <c r="J581" s="233"/>
      <c r="K581" s="233"/>
      <c r="L581" s="163"/>
      <c r="M581" s="234"/>
      <c r="N581" s="234"/>
      <c r="O581" s="162"/>
      <c r="P581" s="162"/>
      <c r="Q581" s="235"/>
      <c r="R581" s="235"/>
      <c r="S581" s="235"/>
      <c r="T581" s="236"/>
      <c r="U581" s="237"/>
      <c r="V581" s="237"/>
      <c r="W581" s="237"/>
      <c r="X581" s="234"/>
    </row>
    <row r="582" spans="2:24" ht="14.25" customHeight="1" x14ac:dyDescent="0.25">
      <c r="B582" s="246"/>
      <c r="C582" s="242"/>
      <c r="D582" s="84"/>
      <c r="E582" s="84"/>
      <c r="F582" s="84"/>
      <c r="G582" s="84"/>
      <c r="H582" s="244"/>
      <c r="I582" s="234"/>
      <c r="J582" s="233"/>
      <c r="K582" s="233"/>
      <c r="L582" s="163"/>
      <c r="M582" s="234"/>
      <c r="N582" s="234"/>
      <c r="O582" s="162"/>
      <c r="P582" s="162"/>
      <c r="Q582" s="235"/>
      <c r="R582" s="235"/>
      <c r="S582" s="235"/>
      <c r="T582" s="236"/>
      <c r="U582" s="237"/>
      <c r="V582" s="237"/>
      <c r="W582" s="237"/>
      <c r="X582" s="234"/>
    </row>
    <row r="583" spans="2:24" ht="14.25" customHeight="1" x14ac:dyDescent="0.25">
      <c r="B583" s="246"/>
      <c r="C583" s="242"/>
      <c r="D583" s="84"/>
      <c r="E583" s="84"/>
      <c r="F583" s="84"/>
      <c r="G583" s="84"/>
      <c r="H583" s="244"/>
      <c r="I583" s="234"/>
      <c r="J583" s="233"/>
      <c r="K583" s="233"/>
      <c r="L583" s="163"/>
      <c r="M583" s="234"/>
      <c r="N583" s="234"/>
      <c r="O583" s="162"/>
      <c r="P583" s="162"/>
      <c r="Q583" s="235"/>
      <c r="R583" s="235"/>
      <c r="S583" s="235"/>
      <c r="T583" s="236"/>
      <c r="U583" s="237"/>
      <c r="V583" s="237"/>
      <c r="W583" s="237"/>
      <c r="X583" s="234"/>
    </row>
    <row r="584" spans="2:24" ht="14.25" customHeight="1" x14ac:dyDescent="0.25">
      <c r="B584" s="246"/>
      <c r="C584" s="242"/>
      <c r="D584" s="84"/>
      <c r="E584" s="84"/>
      <c r="F584" s="84"/>
      <c r="G584" s="84"/>
      <c r="H584" s="244"/>
      <c r="I584" s="234"/>
      <c r="J584" s="233"/>
      <c r="K584" s="233"/>
      <c r="L584" s="163"/>
      <c r="M584" s="234"/>
      <c r="N584" s="234"/>
      <c r="O584" s="162"/>
      <c r="P584" s="162"/>
      <c r="Q584" s="235"/>
      <c r="R584" s="235"/>
      <c r="S584" s="235"/>
      <c r="T584" s="236"/>
      <c r="U584" s="237"/>
      <c r="V584" s="237"/>
      <c r="W584" s="237"/>
      <c r="X584" s="234"/>
    </row>
    <row r="585" spans="2:24" ht="14.25" customHeight="1" x14ac:dyDescent="0.25">
      <c r="B585" s="246"/>
      <c r="C585" s="242"/>
      <c r="D585" s="84"/>
      <c r="E585" s="84"/>
      <c r="F585" s="84"/>
      <c r="G585" s="84"/>
      <c r="H585" s="244"/>
      <c r="I585" s="234"/>
      <c r="J585" s="233"/>
      <c r="K585" s="233"/>
      <c r="L585" s="163"/>
      <c r="M585" s="234"/>
      <c r="N585" s="234"/>
      <c r="O585" s="162"/>
      <c r="P585" s="162"/>
      <c r="Q585" s="235"/>
      <c r="R585" s="235"/>
      <c r="S585" s="235"/>
      <c r="T585" s="236"/>
      <c r="U585" s="237"/>
      <c r="V585" s="237"/>
      <c r="W585" s="237"/>
      <c r="X585" s="234"/>
    </row>
    <row r="586" spans="2:24" ht="14.25" customHeight="1" x14ac:dyDescent="0.25">
      <c r="B586" s="246"/>
      <c r="C586" s="242"/>
      <c r="D586" s="84"/>
      <c r="E586" s="84"/>
      <c r="F586" s="84"/>
      <c r="G586" s="84"/>
      <c r="H586" s="244"/>
      <c r="I586" s="234"/>
      <c r="J586" s="233"/>
      <c r="K586" s="233"/>
      <c r="L586" s="163"/>
      <c r="M586" s="234"/>
      <c r="N586" s="234"/>
      <c r="O586" s="162"/>
      <c r="P586" s="162"/>
      <c r="Q586" s="235"/>
      <c r="R586" s="235"/>
      <c r="S586" s="235"/>
      <c r="T586" s="236"/>
      <c r="U586" s="237"/>
      <c r="V586" s="237"/>
      <c r="W586" s="237"/>
      <c r="X586" s="234"/>
    </row>
    <row r="587" spans="2:24" ht="14.25" customHeight="1" x14ac:dyDescent="0.25">
      <c r="B587" s="246"/>
      <c r="C587" s="242"/>
      <c r="D587" s="84"/>
      <c r="E587" s="84"/>
      <c r="F587" s="84"/>
      <c r="G587" s="84"/>
      <c r="H587" s="244"/>
      <c r="I587" s="234"/>
      <c r="J587" s="233"/>
      <c r="K587" s="233"/>
      <c r="L587" s="163"/>
      <c r="M587" s="234"/>
      <c r="N587" s="234"/>
      <c r="O587" s="162"/>
      <c r="P587" s="162"/>
      <c r="Q587" s="235"/>
      <c r="R587" s="235"/>
      <c r="S587" s="235"/>
      <c r="T587" s="236"/>
      <c r="U587" s="237"/>
      <c r="V587" s="237"/>
      <c r="W587" s="237"/>
      <c r="X587" s="234"/>
    </row>
    <row r="588" spans="2:24" ht="14.25" customHeight="1" x14ac:dyDescent="0.25">
      <c r="B588" s="246"/>
      <c r="C588" s="242"/>
      <c r="D588" s="84"/>
      <c r="E588" s="84"/>
      <c r="F588" s="84"/>
      <c r="G588" s="84"/>
      <c r="H588" s="244"/>
      <c r="I588" s="234"/>
      <c r="J588" s="233"/>
      <c r="K588" s="233"/>
      <c r="L588" s="163"/>
      <c r="M588" s="234"/>
      <c r="N588" s="234"/>
      <c r="O588" s="162"/>
      <c r="P588" s="162"/>
      <c r="Q588" s="235"/>
      <c r="R588" s="235"/>
      <c r="S588" s="235"/>
      <c r="T588" s="236"/>
      <c r="U588" s="237"/>
      <c r="V588" s="237"/>
      <c r="W588" s="237"/>
      <c r="X588" s="234"/>
    </row>
    <row r="589" spans="2:24" ht="14.25" customHeight="1" x14ac:dyDescent="0.25">
      <c r="B589" s="246"/>
      <c r="C589" s="242"/>
      <c r="D589" s="84"/>
      <c r="E589" s="84"/>
      <c r="F589" s="84"/>
      <c r="G589" s="84"/>
      <c r="H589" s="244"/>
      <c r="I589" s="234"/>
      <c r="J589" s="233"/>
      <c r="K589" s="233"/>
      <c r="L589" s="163"/>
      <c r="M589" s="234"/>
      <c r="N589" s="234"/>
      <c r="O589" s="162"/>
      <c r="P589" s="162"/>
      <c r="Q589" s="235"/>
      <c r="R589" s="235"/>
      <c r="S589" s="235"/>
      <c r="T589" s="236"/>
      <c r="U589" s="237"/>
      <c r="V589" s="237"/>
      <c r="W589" s="237"/>
      <c r="X589" s="234"/>
    </row>
    <row r="590" spans="2:24" ht="14.25" customHeight="1" x14ac:dyDescent="0.25">
      <c r="B590" s="246"/>
      <c r="C590" s="242"/>
      <c r="D590" s="84"/>
      <c r="E590" s="84"/>
      <c r="F590" s="84"/>
      <c r="G590" s="84"/>
      <c r="H590" s="244"/>
      <c r="I590" s="234"/>
      <c r="J590" s="233"/>
      <c r="K590" s="233"/>
      <c r="L590" s="163"/>
      <c r="M590" s="234"/>
      <c r="N590" s="234"/>
      <c r="O590" s="162"/>
      <c r="P590" s="162"/>
      <c r="Q590" s="235"/>
      <c r="R590" s="235"/>
      <c r="S590" s="235"/>
      <c r="T590" s="236"/>
      <c r="U590" s="237"/>
      <c r="V590" s="237"/>
      <c r="W590" s="237"/>
      <c r="X590" s="234"/>
    </row>
    <row r="591" spans="2:24" ht="14.25" customHeight="1" x14ac:dyDescent="0.25">
      <c r="B591" s="246"/>
      <c r="C591" s="242"/>
      <c r="D591" s="84"/>
      <c r="E591" s="84"/>
      <c r="F591" s="84"/>
      <c r="G591" s="84"/>
      <c r="H591" s="244"/>
      <c r="I591" s="234"/>
      <c r="J591" s="233"/>
      <c r="K591" s="233"/>
      <c r="L591" s="163"/>
      <c r="M591" s="234"/>
      <c r="N591" s="234"/>
      <c r="O591" s="162"/>
      <c r="P591" s="162"/>
      <c r="Q591" s="235"/>
      <c r="R591" s="235"/>
      <c r="S591" s="235"/>
      <c r="T591" s="236"/>
      <c r="U591" s="237"/>
      <c r="V591" s="237"/>
      <c r="W591" s="237"/>
      <c r="X591" s="234"/>
    </row>
    <row r="592" spans="2:24" ht="14.25" customHeight="1" x14ac:dyDescent="0.25">
      <c r="B592" s="246"/>
      <c r="C592" s="242"/>
      <c r="D592" s="84"/>
      <c r="E592" s="84"/>
      <c r="F592" s="84"/>
      <c r="G592" s="84"/>
      <c r="H592" s="244"/>
      <c r="I592" s="234"/>
      <c r="J592" s="233"/>
      <c r="K592" s="233"/>
      <c r="L592" s="163"/>
      <c r="M592" s="234"/>
      <c r="N592" s="234"/>
      <c r="O592" s="162"/>
      <c r="P592" s="162"/>
      <c r="Q592" s="235"/>
      <c r="R592" s="235"/>
      <c r="S592" s="235"/>
      <c r="T592" s="236"/>
      <c r="U592" s="237"/>
      <c r="V592" s="237"/>
      <c r="W592" s="237"/>
      <c r="X592" s="234"/>
    </row>
    <row r="593" spans="2:24" ht="14.25" customHeight="1" x14ac:dyDescent="0.25">
      <c r="B593" s="246"/>
      <c r="C593" s="242"/>
      <c r="D593" s="84"/>
      <c r="E593" s="84"/>
      <c r="F593" s="84"/>
      <c r="G593" s="84"/>
      <c r="H593" s="244"/>
      <c r="I593" s="234"/>
      <c r="J593" s="233"/>
      <c r="K593" s="233"/>
      <c r="L593" s="163"/>
      <c r="M593" s="234"/>
      <c r="N593" s="234"/>
      <c r="O593" s="162"/>
      <c r="P593" s="162"/>
      <c r="Q593" s="235"/>
      <c r="R593" s="235"/>
      <c r="S593" s="235"/>
      <c r="T593" s="236"/>
      <c r="U593" s="237"/>
      <c r="V593" s="237"/>
      <c r="W593" s="237"/>
      <c r="X593" s="234"/>
    </row>
    <row r="594" spans="2:24" ht="14.25" customHeight="1" x14ac:dyDescent="0.25">
      <c r="B594" s="246"/>
      <c r="C594" s="242"/>
      <c r="D594" s="84"/>
      <c r="E594" s="84"/>
      <c r="F594" s="84"/>
      <c r="G594" s="84"/>
      <c r="H594" s="244"/>
      <c r="I594" s="234"/>
      <c r="J594" s="233"/>
      <c r="K594" s="233"/>
      <c r="L594" s="163"/>
      <c r="M594" s="234"/>
      <c r="N594" s="234"/>
      <c r="O594" s="162"/>
      <c r="P594" s="162"/>
      <c r="Q594" s="235"/>
      <c r="R594" s="235"/>
      <c r="S594" s="235"/>
      <c r="T594" s="236"/>
      <c r="U594" s="237"/>
      <c r="V594" s="237"/>
      <c r="W594" s="237"/>
      <c r="X594" s="234"/>
    </row>
    <row r="595" spans="2:24" ht="14.25" customHeight="1" x14ac:dyDescent="0.25">
      <c r="B595" s="246"/>
      <c r="C595" s="242"/>
      <c r="D595" s="84"/>
      <c r="E595" s="84"/>
      <c r="F595" s="84"/>
      <c r="G595" s="84"/>
      <c r="H595" s="244"/>
      <c r="I595" s="234"/>
      <c r="J595" s="233"/>
      <c r="K595" s="233"/>
      <c r="L595" s="163"/>
      <c r="M595" s="234"/>
      <c r="N595" s="234"/>
      <c r="O595" s="162"/>
      <c r="P595" s="162"/>
      <c r="Q595" s="235"/>
      <c r="R595" s="235"/>
      <c r="S595" s="235"/>
      <c r="T595" s="236"/>
      <c r="U595" s="237"/>
      <c r="V595" s="237"/>
      <c r="W595" s="237"/>
      <c r="X595" s="234"/>
    </row>
    <row r="596" spans="2:24" ht="14.25" customHeight="1" x14ac:dyDescent="0.25">
      <c r="B596" s="246"/>
      <c r="C596" s="242"/>
      <c r="D596" s="84"/>
      <c r="E596" s="84"/>
      <c r="F596" s="84"/>
      <c r="G596" s="84"/>
      <c r="H596" s="244"/>
      <c r="I596" s="234"/>
      <c r="J596" s="233"/>
      <c r="K596" s="233"/>
      <c r="L596" s="163"/>
      <c r="M596" s="234"/>
      <c r="N596" s="234"/>
      <c r="O596" s="162"/>
      <c r="P596" s="162"/>
      <c r="Q596" s="235"/>
      <c r="R596" s="235"/>
      <c r="S596" s="235"/>
      <c r="T596" s="236"/>
      <c r="U596" s="237"/>
      <c r="V596" s="237"/>
      <c r="W596" s="237"/>
      <c r="X596" s="234"/>
    </row>
    <row r="597" spans="2:24" ht="14.25" customHeight="1" x14ac:dyDescent="0.25">
      <c r="B597" s="246"/>
      <c r="C597" s="242"/>
      <c r="D597" s="84"/>
      <c r="E597" s="84"/>
      <c r="F597" s="84"/>
      <c r="G597" s="84"/>
      <c r="H597" s="244"/>
      <c r="I597" s="234"/>
      <c r="J597" s="233"/>
      <c r="K597" s="233"/>
      <c r="L597" s="163"/>
      <c r="M597" s="234"/>
      <c r="N597" s="234"/>
      <c r="O597" s="162"/>
      <c r="P597" s="162"/>
      <c r="Q597" s="235"/>
      <c r="R597" s="235"/>
      <c r="S597" s="235"/>
      <c r="T597" s="236"/>
      <c r="U597" s="237"/>
      <c r="V597" s="237"/>
      <c r="W597" s="237"/>
      <c r="X597" s="234"/>
    </row>
    <row r="598" spans="2:24" ht="14.25" customHeight="1" x14ac:dyDescent="0.25">
      <c r="B598" s="246"/>
      <c r="C598" s="242"/>
      <c r="D598" s="84"/>
      <c r="E598" s="84"/>
      <c r="F598" s="84"/>
      <c r="G598" s="84"/>
      <c r="H598" s="244"/>
      <c r="I598" s="234"/>
      <c r="J598" s="233"/>
      <c r="K598" s="233"/>
      <c r="L598" s="163"/>
      <c r="M598" s="234"/>
      <c r="N598" s="234"/>
      <c r="O598" s="162"/>
      <c r="P598" s="162"/>
      <c r="Q598" s="235"/>
      <c r="R598" s="235"/>
      <c r="S598" s="235"/>
      <c r="T598" s="236"/>
      <c r="U598" s="237"/>
      <c r="V598" s="237"/>
      <c r="W598" s="237"/>
      <c r="X598" s="234"/>
    </row>
    <row r="599" spans="2:24" ht="14.25" customHeight="1" x14ac:dyDescent="0.25">
      <c r="B599" s="246"/>
      <c r="C599" s="242"/>
      <c r="D599" s="84"/>
      <c r="E599" s="84"/>
      <c r="F599" s="84"/>
      <c r="G599" s="84"/>
      <c r="H599" s="244"/>
      <c r="I599" s="234"/>
      <c r="J599" s="233"/>
      <c r="K599" s="233"/>
      <c r="L599" s="163"/>
      <c r="M599" s="234"/>
      <c r="N599" s="234"/>
      <c r="O599" s="162"/>
      <c r="P599" s="162"/>
      <c r="Q599" s="235"/>
      <c r="R599" s="235"/>
      <c r="S599" s="235"/>
      <c r="T599" s="236"/>
      <c r="U599" s="237"/>
      <c r="V599" s="237"/>
      <c r="W599" s="237"/>
      <c r="X599" s="234"/>
    </row>
    <row r="600" spans="2:24" ht="14.25" customHeight="1" x14ac:dyDescent="0.25">
      <c r="B600" s="246"/>
      <c r="C600" s="242"/>
      <c r="D600" s="84"/>
      <c r="E600" s="84"/>
      <c r="F600" s="84"/>
      <c r="G600" s="84"/>
      <c r="H600" s="244"/>
      <c r="I600" s="234"/>
      <c r="J600" s="233"/>
      <c r="K600" s="233"/>
      <c r="L600" s="163"/>
      <c r="M600" s="234"/>
      <c r="N600" s="234"/>
      <c r="O600" s="162"/>
      <c r="P600" s="162"/>
      <c r="Q600" s="235"/>
      <c r="R600" s="235"/>
      <c r="S600" s="235"/>
      <c r="T600" s="236"/>
      <c r="U600" s="237"/>
      <c r="V600" s="237"/>
      <c r="W600" s="237"/>
      <c r="X600" s="234"/>
    </row>
    <row r="601" spans="2:24" ht="14.25" customHeight="1" x14ac:dyDescent="0.25">
      <c r="B601" s="246"/>
      <c r="C601" s="242"/>
      <c r="D601" s="84"/>
      <c r="E601" s="84"/>
      <c r="F601" s="84"/>
      <c r="G601" s="84"/>
      <c r="H601" s="244"/>
      <c r="I601" s="234"/>
      <c r="J601" s="233"/>
      <c r="K601" s="233"/>
      <c r="L601" s="163"/>
      <c r="M601" s="234"/>
      <c r="N601" s="234"/>
      <c r="O601" s="162"/>
      <c r="P601" s="162"/>
      <c r="Q601" s="235"/>
      <c r="R601" s="235"/>
      <c r="S601" s="235"/>
      <c r="T601" s="236"/>
      <c r="U601" s="237"/>
      <c r="V601" s="237"/>
      <c r="W601" s="237"/>
      <c r="X601" s="234"/>
    </row>
    <row r="602" spans="2:24" ht="14.25" customHeight="1" x14ac:dyDescent="0.25">
      <c r="B602" s="246"/>
      <c r="C602" s="242"/>
      <c r="D602" s="84"/>
      <c r="E602" s="84"/>
      <c r="F602" s="84"/>
      <c r="G602" s="84"/>
      <c r="H602" s="244"/>
      <c r="I602" s="234"/>
      <c r="J602" s="233"/>
      <c r="K602" s="233"/>
      <c r="L602" s="163"/>
      <c r="M602" s="234"/>
      <c r="N602" s="234"/>
      <c r="O602" s="162"/>
      <c r="P602" s="162"/>
      <c r="Q602" s="235"/>
      <c r="R602" s="235"/>
      <c r="S602" s="235"/>
      <c r="T602" s="236"/>
      <c r="U602" s="237"/>
      <c r="V602" s="237"/>
      <c r="W602" s="237"/>
      <c r="X602" s="234"/>
    </row>
    <row r="603" spans="2:24" ht="14.25" customHeight="1" x14ac:dyDescent="0.25">
      <c r="B603" s="246"/>
      <c r="C603" s="242"/>
      <c r="D603" s="84"/>
      <c r="E603" s="84"/>
      <c r="F603" s="84"/>
      <c r="G603" s="84"/>
      <c r="H603" s="244"/>
      <c r="I603" s="234"/>
      <c r="J603" s="233"/>
      <c r="K603" s="233"/>
      <c r="L603" s="163"/>
      <c r="M603" s="234"/>
      <c r="N603" s="234"/>
      <c r="O603" s="162"/>
      <c r="P603" s="162"/>
      <c r="Q603" s="235"/>
      <c r="R603" s="235"/>
      <c r="S603" s="235"/>
      <c r="T603" s="236"/>
      <c r="U603" s="237"/>
      <c r="V603" s="237"/>
      <c r="W603" s="237"/>
      <c r="X603" s="234"/>
    </row>
    <row r="604" spans="2:24" ht="14.25" customHeight="1" x14ac:dyDescent="0.25">
      <c r="B604" s="246"/>
      <c r="C604" s="242"/>
      <c r="D604" s="84"/>
      <c r="E604" s="84"/>
      <c r="F604" s="84"/>
      <c r="G604" s="84"/>
      <c r="H604" s="244"/>
      <c r="I604" s="234"/>
      <c r="J604" s="233"/>
      <c r="K604" s="233"/>
      <c r="L604" s="163"/>
      <c r="M604" s="234"/>
      <c r="N604" s="234"/>
      <c r="O604" s="162"/>
      <c r="P604" s="162"/>
      <c r="Q604" s="235"/>
      <c r="R604" s="235"/>
      <c r="S604" s="235"/>
      <c r="T604" s="236"/>
      <c r="U604" s="237"/>
      <c r="V604" s="237"/>
      <c r="W604" s="237"/>
      <c r="X604" s="234"/>
    </row>
    <row r="605" spans="2:24" ht="14.25" customHeight="1" x14ac:dyDescent="0.25">
      <c r="B605" s="246"/>
      <c r="C605" s="242"/>
      <c r="D605" s="84"/>
      <c r="E605" s="84"/>
      <c r="F605" s="84"/>
      <c r="G605" s="84"/>
      <c r="H605" s="244"/>
      <c r="I605" s="234"/>
      <c r="J605" s="233"/>
      <c r="K605" s="233"/>
      <c r="L605" s="163"/>
      <c r="M605" s="234"/>
      <c r="N605" s="234"/>
      <c r="O605" s="162"/>
      <c r="P605" s="162"/>
      <c r="Q605" s="235"/>
      <c r="R605" s="235"/>
      <c r="S605" s="235"/>
      <c r="T605" s="236"/>
      <c r="U605" s="237"/>
      <c r="V605" s="237"/>
      <c r="W605" s="237"/>
      <c r="X605" s="234"/>
    </row>
    <row r="606" spans="2:24" ht="14.25" customHeight="1" x14ac:dyDescent="0.25">
      <c r="B606" s="246"/>
      <c r="C606" s="242"/>
      <c r="D606" s="84"/>
      <c r="E606" s="84"/>
      <c r="F606" s="84"/>
      <c r="G606" s="84"/>
      <c r="H606" s="244"/>
      <c r="I606" s="234"/>
      <c r="J606" s="233"/>
      <c r="K606" s="233"/>
      <c r="L606" s="163"/>
      <c r="M606" s="234"/>
      <c r="N606" s="234"/>
      <c r="O606" s="162"/>
      <c r="P606" s="162"/>
      <c r="Q606" s="235"/>
      <c r="R606" s="235"/>
      <c r="S606" s="235"/>
      <c r="T606" s="236"/>
      <c r="U606" s="237"/>
      <c r="V606" s="237"/>
      <c r="W606" s="237"/>
      <c r="X606" s="234"/>
    </row>
    <row r="607" spans="2:24" ht="14.25" customHeight="1" x14ac:dyDescent="0.25">
      <c r="B607" s="246"/>
      <c r="C607" s="242"/>
      <c r="D607" s="84"/>
      <c r="E607" s="84"/>
      <c r="F607" s="84"/>
      <c r="G607" s="84"/>
      <c r="H607" s="244"/>
      <c r="I607" s="234"/>
      <c r="J607" s="233"/>
      <c r="K607" s="233"/>
      <c r="L607" s="163"/>
      <c r="M607" s="234"/>
      <c r="N607" s="234"/>
      <c r="O607" s="162"/>
      <c r="P607" s="162"/>
      <c r="Q607" s="235"/>
      <c r="R607" s="235"/>
      <c r="S607" s="235"/>
      <c r="T607" s="236"/>
      <c r="U607" s="237"/>
      <c r="V607" s="237"/>
      <c r="W607" s="237"/>
      <c r="X607" s="234"/>
    </row>
    <row r="608" spans="2:24" ht="14.25" customHeight="1" x14ac:dyDescent="0.25">
      <c r="B608" s="246"/>
      <c r="C608" s="242"/>
      <c r="D608" s="84"/>
      <c r="E608" s="84"/>
      <c r="F608" s="84"/>
      <c r="G608" s="84"/>
      <c r="H608" s="244"/>
      <c r="I608" s="234"/>
      <c r="J608" s="233"/>
      <c r="K608" s="233"/>
      <c r="L608" s="163"/>
      <c r="M608" s="234"/>
      <c r="N608" s="234"/>
      <c r="O608" s="162"/>
      <c r="P608" s="162"/>
      <c r="Q608" s="235"/>
      <c r="R608" s="235"/>
      <c r="S608" s="235"/>
      <c r="T608" s="236"/>
      <c r="U608" s="237"/>
      <c r="V608" s="237"/>
      <c r="W608" s="237"/>
      <c r="X608" s="234"/>
    </row>
    <row r="609" spans="2:24" ht="14.25" customHeight="1" x14ac:dyDescent="0.25">
      <c r="B609" s="246"/>
      <c r="C609" s="242"/>
      <c r="D609" s="84"/>
      <c r="E609" s="84"/>
      <c r="F609" s="84"/>
      <c r="G609" s="84"/>
      <c r="H609" s="244"/>
      <c r="I609" s="234"/>
      <c r="J609" s="233"/>
      <c r="K609" s="233"/>
      <c r="L609" s="163"/>
      <c r="M609" s="234"/>
      <c r="N609" s="234"/>
      <c r="O609" s="162"/>
      <c r="P609" s="162"/>
      <c r="Q609" s="235"/>
      <c r="R609" s="235"/>
      <c r="S609" s="235"/>
      <c r="T609" s="236"/>
      <c r="U609" s="237"/>
      <c r="V609" s="237"/>
      <c r="W609" s="237"/>
      <c r="X609" s="234"/>
    </row>
    <row r="610" spans="2:24" ht="14.25" customHeight="1" x14ac:dyDescent="0.25">
      <c r="B610" s="246"/>
      <c r="C610" s="242"/>
      <c r="D610" s="84"/>
      <c r="E610" s="84"/>
      <c r="F610" s="84"/>
      <c r="G610" s="84"/>
      <c r="H610" s="244"/>
      <c r="I610" s="234"/>
      <c r="J610" s="233"/>
      <c r="K610" s="233"/>
      <c r="L610" s="163"/>
      <c r="M610" s="234"/>
      <c r="N610" s="234"/>
      <c r="O610" s="162"/>
      <c r="P610" s="162"/>
      <c r="Q610" s="235"/>
      <c r="R610" s="235"/>
      <c r="S610" s="235"/>
      <c r="T610" s="236"/>
      <c r="U610" s="237"/>
      <c r="V610" s="237"/>
      <c r="W610" s="237"/>
      <c r="X610" s="234"/>
    </row>
    <row r="611" spans="2:24" ht="14.25" customHeight="1" x14ac:dyDescent="0.25">
      <c r="B611" s="246"/>
      <c r="C611" s="242"/>
      <c r="D611" s="84"/>
      <c r="E611" s="84"/>
      <c r="F611" s="84"/>
      <c r="G611" s="84"/>
      <c r="H611" s="244"/>
      <c r="I611" s="234"/>
      <c r="J611" s="233"/>
      <c r="K611" s="233"/>
      <c r="L611" s="163"/>
      <c r="M611" s="234"/>
      <c r="N611" s="234"/>
      <c r="O611" s="162"/>
      <c r="P611" s="162"/>
      <c r="Q611" s="235"/>
      <c r="R611" s="235"/>
      <c r="S611" s="235"/>
      <c r="T611" s="236"/>
      <c r="U611" s="237"/>
      <c r="V611" s="237"/>
      <c r="W611" s="237"/>
      <c r="X611" s="234"/>
    </row>
    <row r="612" spans="2:24" ht="14.25" customHeight="1" x14ac:dyDescent="0.25">
      <c r="B612" s="246"/>
      <c r="C612" s="242"/>
      <c r="D612" s="84"/>
      <c r="E612" s="84"/>
      <c r="F612" s="84"/>
      <c r="G612" s="84"/>
      <c r="H612" s="244"/>
      <c r="I612" s="234"/>
      <c r="J612" s="233"/>
      <c r="K612" s="233"/>
      <c r="L612" s="163"/>
      <c r="M612" s="234"/>
      <c r="N612" s="234"/>
      <c r="O612" s="162"/>
      <c r="P612" s="162"/>
      <c r="Q612" s="235"/>
      <c r="R612" s="235"/>
      <c r="S612" s="235"/>
      <c r="T612" s="236"/>
      <c r="U612" s="237"/>
      <c r="V612" s="237"/>
      <c r="W612" s="237"/>
      <c r="X612" s="234"/>
    </row>
    <row r="613" spans="2:24" ht="14.25" customHeight="1" x14ac:dyDescent="0.25">
      <c r="B613" s="246"/>
      <c r="C613" s="242"/>
      <c r="D613" s="84"/>
      <c r="E613" s="84"/>
      <c r="F613" s="84"/>
      <c r="G613" s="84"/>
      <c r="H613" s="244"/>
      <c r="I613" s="234"/>
      <c r="J613" s="233"/>
      <c r="K613" s="233"/>
      <c r="L613" s="163"/>
      <c r="M613" s="234"/>
      <c r="N613" s="234"/>
      <c r="O613" s="162"/>
      <c r="P613" s="162"/>
      <c r="Q613" s="235"/>
      <c r="R613" s="235"/>
      <c r="S613" s="235"/>
      <c r="T613" s="236"/>
      <c r="U613" s="237"/>
      <c r="V613" s="237"/>
      <c r="W613" s="237"/>
      <c r="X613" s="234"/>
    </row>
    <row r="614" spans="2:24" ht="14.25" customHeight="1" x14ac:dyDescent="0.25">
      <c r="B614" s="246"/>
      <c r="C614" s="242"/>
      <c r="D614" s="84"/>
      <c r="E614" s="84"/>
      <c r="F614" s="84"/>
      <c r="G614" s="84"/>
      <c r="H614" s="244"/>
      <c r="I614" s="234"/>
      <c r="J614" s="233"/>
      <c r="K614" s="233"/>
      <c r="L614" s="163"/>
      <c r="M614" s="234"/>
      <c r="N614" s="234"/>
      <c r="O614" s="162"/>
      <c r="P614" s="162"/>
      <c r="Q614" s="235"/>
      <c r="R614" s="235"/>
      <c r="S614" s="235"/>
      <c r="T614" s="236"/>
      <c r="U614" s="237"/>
      <c r="V614" s="237"/>
      <c r="W614" s="237"/>
      <c r="X614" s="234"/>
    </row>
    <row r="615" spans="2:24" ht="14.25" customHeight="1" x14ac:dyDescent="0.25">
      <c r="B615" s="246"/>
      <c r="C615" s="242"/>
      <c r="D615" s="84"/>
      <c r="E615" s="84"/>
      <c r="F615" s="84"/>
      <c r="G615" s="84"/>
      <c r="H615" s="244"/>
      <c r="I615" s="234"/>
      <c r="J615" s="233"/>
      <c r="K615" s="233"/>
      <c r="L615" s="163"/>
      <c r="M615" s="234"/>
      <c r="N615" s="234"/>
      <c r="O615" s="162"/>
      <c r="P615" s="162"/>
      <c r="Q615" s="235"/>
      <c r="R615" s="235"/>
      <c r="S615" s="235"/>
      <c r="T615" s="236"/>
      <c r="U615" s="237"/>
      <c r="V615" s="237"/>
      <c r="W615" s="237"/>
      <c r="X615" s="234"/>
    </row>
    <row r="616" spans="2:24" ht="14.25" customHeight="1" x14ac:dyDescent="0.25">
      <c r="B616" s="246"/>
      <c r="C616" s="242"/>
      <c r="D616" s="84"/>
      <c r="E616" s="84"/>
      <c r="F616" s="84"/>
      <c r="G616" s="84"/>
      <c r="H616" s="244"/>
      <c r="I616" s="234"/>
      <c r="J616" s="233"/>
      <c r="K616" s="233"/>
      <c r="L616" s="163"/>
      <c r="M616" s="234"/>
      <c r="N616" s="234"/>
      <c r="O616" s="162"/>
      <c r="P616" s="162"/>
      <c r="Q616" s="235"/>
      <c r="R616" s="235"/>
      <c r="S616" s="235"/>
      <c r="T616" s="236"/>
      <c r="U616" s="237"/>
      <c r="V616" s="237"/>
      <c r="W616" s="237"/>
      <c r="X616" s="234"/>
    </row>
    <row r="617" spans="2:24" ht="14.25" customHeight="1" x14ac:dyDescent="0.25">
      <c r="B617" s="246"/>
      <c r="C617" s="242"/>
      <c r="D617" s="84"/>
      <c r="E617" s="84"/>
      <c r="F617" s="84"/>
      <c r="G617" s="84"/>
      <c r="H617" s="244"/>
      <c r="I617" s="234"/>
      <c r="J617" s="233"/>
      <c r="K617" s="233"/>
      <c r="L617" s="163"/>
      <c r="M617" s="234"/>
      <c r="N617" s="234"/>
      <c r="O617" s="162"/>
      <c r="P617" s="162"/>
      <c r="Q617" s="235"/>
      <c r="R617" s="235"/>
      <c r="S617" s="235"/>
      <c r="T617" s="236"/>
      <c r="U617" s="237"/>
      <c r="V617" s="237"/>
      <c r="W617" s="237"/>
      <c r="X617" s="234"/>
    </row>
    <row r="618" spans="2:24" ht="14.25" customHeight="1" x14ac:dyDescent="0.25">
      <c r="B618" s="246"/>
      <c r="C618" s="242"/>
      <c r="D618" s="84"/>
      <c r="E618" s="84"/>
      <c r="F618" s="84"/>
      <c r="G618" s="84"/>
      <c r="H618" s="244"/>
      <c r="I618" s="234"/>
      <c r="J618" s="233"/>
      <c r="K618" s="233"/>
      <c r="L618" s="163"/>
      <c r="M618" s="234"/>
      <c r="N618" s="234"/>
      <c r="O618" s="162"/>
      <c r="P618" s="162"/>
      <c r="Q618" s="235"/>
      <c r="R618" s="235"/>
      <c r="S618" s="235"/>
      <c r="T618" s="236"/>
      <c r="U618" s="237"/>
      <c r="V618" s="237"/>
      <c r="W618" s="237"/>
      <c r="X618" s="234"/>
    </row>
    <row r="619" spans="2:24" ht="14.25" customHeight="1" x14ac:dyDescent="0.25">
      <c r="B619" s="246"/>
      <c r="C619" s="242"/>
      <c r="D619" s="84"/>
      <c r="E619" s="84"/>
      <c r="F619" s="84"/>
      <c r="G619" s="84"/>
      <c r="H619" s="244"/>
      <c r="I619" s="234"/>
      <c r="J619" s="233"/>
      <c r="K619" s="233"/>
      <c r="L619" s="163"/>
      <c r="M619" s="234"/>
      <c r="N619" s="234"/>
      <c r="O619" s="162"/>
      <c r="P619" s="162"/>
      <c r="Q619" s="235"/>
      <c r="R619" s="235"/>
      <c r="S619" s="235"/>
      <c r="T619" s="236"/>
      <c r="U619" s="237"/>
      <c r="V619" s="237"/>
      <c r="W619" s="237"/>
      <c r="X619" s="234"/>
    </row>
    <row r="620" spans="2:24" ht="14.25" customHeight="1" x14ac:dyDescent="0.25">
      <c r="B620" s="246"/>
      <c r="C620" s="242"/>
      <c r="D620" s="84"/>
      <c r="E620" s="84"/>
      <c r="F620" s="84"/>
      <c r="G620" s="84"/>
      <c r="H620" s="244"/>
      <c r="I620" s="234"/>
      <c r="J620" s="233"/>
      <c r="K620" s="233"/>
      <c r="L620" s="163"/>
      <c r="M620" s="234"/>
      <c r="N620" s="234"/>
      <c r="O620" s="162"/>
      <c r="P620" s="162"/>
      <c r="Q620" s="235"/>
      <c r="R620" s="235"/>
      <c r="S620" s="235"/>
      <c r="T620" s="236"/>
      <c r="U620" s="237"/>
      <c r="V620" s="237"/>
      <c r="W620" s="237"/>
      <c r="X620" s="234"/>
    </row>
    <row r="621" spans="2:24" ht="14.25" customHeight="1" x14ac:dyDescent="0.25">
      <c r="B621" s="246"/>
      <c r="C621" s="242"/>
      <c r="D621" s="84"/>
      <c r="E621" s="84"/>
      <c r="F621" s="84"/>
      <c r="G621" s="84"/>
      <c r="H621" s="244"/>
      <c r="I621" s="234"/>
      <c r="J621" s="233"/>
      <c r="K621" s="233"/>
      <c r="L621" s="163"/>
      <c r="M621" s="234"/>
      <c r="N621" s="234"/>
      <c r="O621" s="162"/>
      <c r="P621" s="162"/>
      <c r="Q621" s="235"/>
      <c r="R621" s="235"/>
      <c r="S621" s="235"/>
      <c r="T621" s="236"/>
      <c r="U621" s="237"/>
      <c r="V621" s="237"/>
      <c r="W621" s="237"/>
      <c r="X621" s="234"/>
    </row>
    <row r="622" spans="2:24" ht="14.25" customHeight="1" x14ac:dyDescent="0.25">
      <c r="B622" s="246"/>
      <c r="C622" s="242"/>
      <c r="D622" s="84"/>
      <c r="E622" s="84"/>
      <c r="F622" s="84"/>
      <c r="G622" s="84"/>
      <c r="H622" s="244"/>
      <c r="I622" s="234"/>
      <c r="J622" s="233"/>
      <c r="K622" s="233"/>
      <c r="L622" s="163"/>
      <c r="M622" s="234"/>
      <c r="N622" s="234"/>
      <c r="O622" s="162"/>
      <c r="P622" s="162"/>
      <c r="Q622" s="235"/>
      <c r="R622" s="235"/>
      <c r="S622" s="235"/>
      <c r="T622" s="236"/>
      <c r="U622" s="237"/>
      <c r="V622" s="237"/>
      <c r="W622" s="237"/>
      <c r="X622" s="234"/>
    </row>
    <row r="623" spans="2:24" ht="14.25" customHeight="1" x14ac:dyDescent="0.25">
      <c r="B623" s="246"/>
      <c r="C623" s="242"/>
      <c r="D623" s="84"/>
      <c r="E623" s="84"/>
      <c r="F623" s="84"/>
      <c r="G623" s="84"/>
      <c r="H623" s="244"/>
      <c r="I623" s="234"/>
      <c r="J623" s="233"/>
      <c r="K623" s="233"/>
      <c r="L623" s="163"/>
      <c r="M623" s="234"/>
      <c r="N623" s="234"/>
      <c r="O623" s="162"/>
      <c r="P623" s="162"/>
      <c r="Q623" s="235"/>
      <c r="R623" s="235"/>
      <c r="S623" s="235"/>
      <c r="T623" s="236"/>
      <c r="U623" s="237"/>
      <c r="V623" s="237"/>
      <c r="W623" s="237"/>
      <c r="X623" s="234"/>
    </row>
    <row r="624" spans="2:24" ht="14.25" customHeight="1" x14ac:dyDescent="0.25">
      <c r="B624" s="246"/>
      <c r="C624" s="242"/>
      <c r="D624" s="84"/>
      <c r="E624" s="84"/>
      <c r="F624" s="84"/>
      <c r="G624" s="84"/>
      <c r="H624" s="244"/>
      <c r="I624" s="234"/>
      <c r="J624" s="233"/>
      <c r="K624" s="233"/>
      <c r="L624" s="163"/>
      <c r="M624" s="234"/>
      <c r="N624" s="234"/>
      <c r="O624" s="162"/>
      <c r="P624" s="162"/>
      <c r="Q624" s="235"/>
      <c r="R624" s="235"/>
      <c r="S624" s="235"/>
      <c r="T624" s="236"/>
      <c r="U624" s="237"/>
      <c r="V624" s="237"/>
      <c r="W624" s="237"/>
      <c r="X624" s="234"/>
    </row>
    <row r="625" spans="2:24" ht="14.25" customHeight="1" x14ac:dyDescent="0.25">
      <c r="B625" s="246"/>
      <c r="C625" s="242"/>
      <c r="D625" s="84"/>
      <c r="E625" s="84"/>
      <c r="F625" s="84"/>
      <c r="G625" s="84"/>
      <c r="H625" s="244"/>
      <c r="I625" s="234"/>
      <c r="J625" s="233"/>
      <c r="K625" s="233"/>
      <c r="L625" s="163"/>
      <c r="M625" s="234"/>
      <c r="N625" s="234"/>
      <c r="O625" s="162"/>
      <c r="P625" s="162"/>
      <c r="Q625" s="235"/>
      <c r="R625" s="235"/>
      <c r="S625" s="235"/>
      <c r="T625" s="236"/>
      <c r="U625" s="237"/>
      <c r="V625" s="237"/>
      <c r="W625" s="237"/>
      <c r="X625" s="234"/>
    </row>
    <row r="626" spans="2:24" ht="14.25" customHeight="1" x14ac:dyDescent="0.25">
      <c r="B626" s="246"/>
      <c r="C626" s="242"/>
      <c r="D626" s="84"/>
      <c r="E626" s="84"/>
      <c r="F626" s="84"/>
      <c r="G626" s="84"/>
      <c r="H626" s="244"/>
      <c r="I626" s="234"/>
      <c r="J626" s="233"/>
      <c r="K626" s="233"/>
      <c r="L626" s="163"/>
      <c r="M626" s="234"/>
      <c r="N626" s="234"/>
      <c r="O626" s="162"/>
      <c r="P626" s="162"/>
      <c r="Q626" s="235"/>
      <c r="R626" s="235"/>
      <c r="S626" s="235"/>
      <c r="T626" s="236"/>
      <c r="U626" s="237"/>
      <c r="V626" s="237"/>
      <c r="W626" s="237"/>
      <c r="X626" s="234"/>
    </row>
    <row r="627" spans="2:24" ht="14.25" customHeight="1" x14ac:dyDescent="0.25">
      <c r="B627" s="246"/>
      <c r="C627" s="242"/>
      <c r="D627" s="84"/>
      <c r="E627" s="84"/>
      <c r="F627" s="84"/>
      <c r="G627" s="84"/>
      <c r="H627" s="244"/>
      <c r="I627" s="234"/>
      <c r="J627" s="233"/>
      <c r="K627" s="233"/>
      <c r="L627" s="163"/>
      <c r="M627" s="234"/>
      <c r="N627" s="234"/>
      <c r="O627" s="162"/>
      <c r="P627" s="162"/>
      <c r="Q627" s="235"/>
      <c r="R627" s="235"/>
      <c r="S627" s="235"/>
      <c r="T627" s="236"/>
      <c r="U627" s="237"/>
      <c r="V627" s="237"/>
      <c r="W627" s="237"/>
      <c r="X627" s="234"/>
    </row>
    <row r="628" spans="2:24" ht="14.25" customHeight="1" x14ac:dyDescent="0.25">
      <c r="B628" s="246"/>
      <c r="C628" s="242"/>
      <c r="D628" s="84"/>
      <c r="E628" s="84"/>
      <c r="F628" s="84"/>
      <c r="G628" s="84"/>
      <c r="H628" s="244"/>
      <c r="I628" s="234"/>
      <c r="J628" s="233"/>
      <c r="K628" s="233"/>
      <c r="L628" s="163"/>
      <c r="M628" s="234"/>
      <c r="N628" s="234"/>
      <c r="O628" s="162"/>
      <c r="P628" s="162"/>
      <c r="Q628" s="235"/>
      <c r="R628" s="235"/>
      <c r="S628" s="235"/>
      <c r="T628" s="236"/>
      <c r="U628" s="237"/>
      <c r="V628" s="237"/>
      <c r="W628" s="237"/>
      <c r="X628" s="234"/>
    </row>
    <row r="629" spans="2:24" ht="14.25" customHeight="1" x14ac:dyDescent="0.25">
      <c r="B629" s="246"/>
      <c r="C629" s="242"/>
      <c r="D629" s="84"/>
      <c r="E629" s="84"/>
      <c r="F629" s="84"/>
      <c r="G629" s="84"/>
      <c r="H629" s="244"/>
      <c r="I629" s="234"/>
      <c r="J629" s="233"/>
      <c r="K629" s="233"/>
      <c r="L629" s="163"/>
      <c r="M629" s="234"/>
      <c r="N629" s="234"/>
      <c r="O629" s="162"/>
      <c r="P629" s="162"/>
      <c r="Q629" s="235"/>
      <c r="R629" s="235"/>
      <c r="S629" s="235"/>
      <c r="T629" s="236"/>
      <c r="U629" s="237"/>
      <c r="V629" s="237"/>
      <c r="W629" s="237"/>
      <c r="X629" s="234"/>
    </row>
    <row r="630" spans="2:24" ht="14.25" customHeight="1" x14ac:dyDescent="0.25">
      <c r="B630" s="246"/>
      <c r="C630" s="242"/>
      <c r="D630" s="84"/>
      <c r="E630" s="84"/>
      <c r="F630" s="84"/>
      <c r="G630" s="84"/>
      <c r="H630" s="244"/>
      <c r="I630" s="234"/>
      <c r="J630" s="233"/>
      <c r="K630" s="233"/>
      <c r="L630" s="163"/>
      <c r="M630" s="234"/>
      <c r="N630" s="234"/>
      <c r="O630" s="162"/>
      <c r="P630" s="162"/>
      <c r="Q630" s="235"/>
      <c r="R630" s="235"/>
      <c r="S630" s="235"/>
      <c r="T630" s="236"/>
      <c r="U630" s="237"/>
      <c r="V630" s="237"/>
      <c r="W630" s="237"/>
      <c r="X630" s="234"/>
    </row>
    <row r="631" spans="2:24" ht="14.25" customHeight="1" x14ac:dyDescent="0.25">
      <c r="B631" s="246"/>
      <c r="C631" s="242"/>
      <c r="D631" s="84"/>
      <c r="E631" s="84"/>
      <c r="F631" s="84"/>
      <c r="G631" s="84"/>
      <c r="H631" s="244"/>
      <c r="I631" s="234"/>
      <c r="J631" s="233"/>
      <c r="K631" s="233"/>
      <c r="L631" s="163"/>
      <c r="M631" s="234"/>
      <c r="N631" s="234"/>
      <c r="O631" s="162"/>
      <c r="P631" s="162"/>
      <c r="Q631" s="235"/>
      <c r="R631" s="235"/>
      <c r="S631" s="235"/>
      <c r="T631" s="236"/>
      <c r="U631" s="237"/>
      <c r="V631" s="237"/>
      <c r="W631" s="237"/>
      <c r="X631" s="234"/>
    </row>
    <row r="632" spans="2:24" ht="14.25" customHeight="1" x14ac:dyDescent="0.25">
      <c r="B632" s="246"/>
      <c r="C632" s="242"/>
      <c r="D632" s="84"/>
      <c r="E632" s="84"/>
      <c r="F632" s="84"/>
      <c r="G632" s="84"/>
      <c r="H632" s="244"/>
      <c r="I632" s="234"/>
      <c r="J632" s="233"/>
      <c r="K632" s="233"/>
      <c r="L632" s="163"/>
      <c r="M632" s="234"/>
      <c r="N632" s="234"/>
      <c r="O632" s="162"/>
      <c r="P632" s="162"/>
      <c r="Q632" s="235"/>
      <c r="R632" s="235"/>
      <c r="S632" s="235"/>
      <c r="T632" s="236"/>
      <c r="U632" s="237"/>
      <c r="V632" s="237"/>
      <c r="W632" s="237"/>
      <c r="X632" s="234"/>
    </row>
    <row r="633" spans="2:24" ht="14.25" customHeight="1" x14ac:dyDescent="0.25">
      <c r="B633" s="246"/>
      <c r="C633" s="242"/>
      <c r="D633" s="84"/>
      <c r="E633" s="84"/>
      <c r="F633" s="84"/>
      <c r="G633" s="84"/>
      <c r="H633" s="244"/>
      <c r="I633" s="234"/>
      <c r="J633" s="233"/>
      <c r="K633" s="233"/>
      <c r="L633" s="163"/>
      <c r="M633" s="234"/>
      <c r="N633" s="234"/>
      <c r="O633" s="162"/>
      <c r="P633" s="162"/>
      <c r="Q633" s="235"/>
      <c r="R633" s="235"/>
      <c r="S633" s="235"/>
      <c r="T633" s="236"/>
      <c r="U633" s="237"/>
      <c r="V633" s="237"/>
      <c r="W633" s="237"/>
      <c r="X633" s="234"/>
    </row>
    <row r="634" spans="2:24" ht="14.25" customHeight="1" x14ac:dyDescent="0.25">
      <c r="B634" s="246"/>
      <c r="C634" s="242"/>
      <c r="D634" s="84"/>
      <c r="E634" s="84"/>
      <c r="F634" s="84"/>
      <c r="G634" s="84"/>
      <c r="H634" s="244"/>
      <c r="I634" s="234"/>
      <c r="J634" s="233"/>
      <c r="K634" s="233"/>
      <c r="L634" s="163"/>
      <c r="M634" s="234"/>
      <c r="N634" s="234"/>
      <c r="O634" s="162"/>
      <c r="P634" s="162"/>
      <c r="Q634" s="235"/>
      <c r="R634" s="235"/>
      <c r="S634" s="235"/>
      <c r="T634" s="236"/>
      <c r="U634" s="237"/>
      <c r="V634" s="237"/>
      <c r="W634" s="237"/>
      <c r="X634" s="234"/>
    </row>
    <row r="635" spans="2:24" ht="14.25" customHeight="1" x14ac:dyDescent="0.25">
      <c r="B635" s="246"/>
      <c r="C635" s="242"/>
      <c r="D635" s="84"/>
      <c r="E635" s="84"/>
      <c r="F635" s="84"/>
      <c r="G635" s="84"/>
      <c r="H635" s="244"/>
      <c r="I635" s="234"/>
      <c r="J635" s="233"/>
      <c r="K635" s="233"/>
      <c r="L635" s="163"/>
      <c r="M635" s="234"/>
      <c r="N635" s="234"/>
      <c r="O635" s="162"/>
      <c r="P635" s="162"/>
      <c r="Q635" s="235"/>
      <c r="R635" s="235"/>
      <c r="S635" s="235"/>
      <c r="T635" s="236"/>
      <c r="U635" s="237"/>
      <c r="V635" s="237"/>
      <c r="W635" s="237"/>
      <c r="X635" s="234"/>
    </row>
    <row r="636" spans="2:24" ht="14.25" customHeight="1" x14ac:dyDescent="0.25">
      <c r="B636" s="246"/>
      <c r="C636" s="242"/>
      <c r="D636" s="84"/>
      <c r="E636" s="84"/>
      <c r="F636" s="84"/>
      <c r="G636" s="84"/>
      <c r="H636" s="244"/>
      <c r="I636" s="234"/>
      <c r="J636" s="233"/>
      <c r="K636" s="233"/>
      <c r="L636" s="163"/>
      <c r="M636" s="234"/>
      <c r="N636" s="234"/>
      <c r="O636" s="162"/>
      <c r="P636" s="162"/>
      <c r="Q636" s="235"/>
      <c r="R636" s="235"/>
      <c r="S636" s="235"/>
      <c r="T636" s="236"/>
      <c r="U636" s="237"/>
      <c r="V636" s="237"/>
      <c r="W636" s="237"/>
      <c r="X636" s="234"/>
    </row>
    <row r="637" spans="2:24" ht="14.25" customHeight="1" x14ac:dyDescent="0.25">
      <c r="B637" s="246"/>
      <c r="C637" s="242"/>
      <c r="D637" s="84"/>
      <c r="E637" s="84"/>
      <c r="F637" s="84"/>
      <c r="G637" s="84"/>
      <c r="H637" s="244"/>
      <c r="I637" s="234"/>
      <c r="J637" s="233"/>
      <c r="K637" s="233"/>
      <c r="L637" s="163"/>
      <c r="M637" s="234"/>
      <c r="N637" s="234"/>
      <c r="O637" s="162"/>
      <c r="P637" s="162"/>
      <c r="Q637" s="235"/>
      <c r="R637" s="235"/>
      <c r="S637" s="235"/>
      <c r="T637" s="236"/>
      <c r="U637" s="237"/>
      <c r="V637" s="237"/>
      <c r="W637" s="237"/>
      <c r="X637" s="234"/>
    </row>
    <row r="638" spans="2:24" ht="14.25" customHeight="1" x14ac:dyDescent="0.25">
      <c r="B638" s="246"/>
      <c r="C638" s="242"/>
      <c r="D638" s="84"/>
      <c r="E638" s="84"/>
      <c r="F638" s="84"/>
      <c r="G638" s="84"/>
      <c r="H638" s="244"/>
      <c r="I638" s="234"/>
      <c r="J638" s="233"/>
      <c r="K638" s="233"/>
      <c r="L638" s="163"/>
      <c r="M638" s="234"/>
      <c r="N638" s="234"/>
      <c r="O638" s="162"/>
      <c r="P638" s="162"/>
      <c r="Q638" s="235"/>
      <c r="R638" s="235"/>
      <c r="S638" s="235"/>
      <c r="T638" s="236"/>
      <c r="U638" s="237"/>
      <c r="V638" s="237"/>
      <c r="W638" s="237"/>
      <c r="X638" s="234"/>
    </row>
    <row r="639" spans="2:24" ht="14.25" customHeight="1" x14ac:dyDescent="0.25">
      <c r="B639" s="246"/>
      <c r="C639" s="242"/>
      <c r="D639" s="84"/>
      <c r="E639" s="84"/>
      <c r="F639" s="84"/>
      <c r="G639" s="84"/>
      <c r="H639" s="244"/>
      <c r="I639" s="234"/>
      <c r="J639" s="233"/>
      <c r="K639" s="233"/>
      <c r="L639" s="163"/>
      <c r="M639" s="234"/>
      <c r="N639" s="234"/>
      <c r="O639" s="162"/>
      <c r="P639" s="162"/>
      <c r="Q639" s="235"/>
      <c r="R639" s="235"/>
      <c r="S639" s="235"/>
      <c r="T639" s="236"/>
      <c r="U639" s="237"/>
      <c r="V639" s="237"/>
      <c r="W639" s="237"/>
      <c r="X639" s="234"/>
    </row>
    <row r="640" spans="2:24" ht="14.25" customHeight="1" x14ac:dyDescent="0.25">
      <c r="B640" s="246"/>
      <c r="C640" s="242"/>
      <c r="D640" s="84"/>
      <c r="E640" s="84"/>
      <c r="F640" s="84"/>
      <c r="G640" s="84"/>
      <c r="H640" s="244"/>
      <c r="I640" s="234"/>
      <c r="J640" s="233"/>
      <c r="K640" s="233"/>
      <c r="L640" s="163"/>
      <c r="M640" s="234"/>
      <c r="N640" s="234"/>
      <c r="O640" s="162"/>
      <c r="P640" s="162"/>
      <c r="Q640" s="235"/>
      <c r="R640" s="235"/>
      <c r="S640" s="235"/>
      <c r="T640" s="236"/>
      <c r="U640" s="237"/>
      <c r="V640" s="237"/>
      <c r="W640" s="237"/>
      <c r="X640" s="234"/>
    </row>
    <row r="641" spans="2:24" ht="14.25" customHeight="1" x14ac:dyDescent="0.25">
      <c r="B641" s="246"/>
      <c r="C641" s="242"/>
      <c r="D641" s="84"/>
      <c r="E641" s="84"/>
      <c r="F641" s="84"/>
      <c r="G641" s="84"/>
      <c r="H641" s="244"/>
      <c r="I641" s="234"/>
      <c r="J641" s="233"/>
      <c r="K641" s="233"/>
      <c r="L641" s="163"/>
      <c r="M641" s="234"/>
      <c r="N641" s="234"/>
      <c r="O641" s="162"/>
      <c r="P641" s="162"/>
      <c r="Q641" s="235"/>
      <c r="R641" s="235"/>
      <c r="S641" s="235"/>
      <c r="T641" s="236"/>
      <c r="U641" s="237"/>
      <c r="V641" s="237"/>
      <c r="W641" s="237"/>
      <c r="X641" s="234"/>
    </row>
    <row r="642" spans="2:24" ht="14.25" customHeight="1" x14ac:dyDescent="0.25">
      <c r="B642" s="246"/>
      <c r="C642" s="242"/>
      <c r="D642" s="84"/>
      <c r="E642" s="84"/>
      <c r="F642" s="84"/>
      <c r="G642" s="84"/>
      <c r="H642" s="244"/>
      <c r="I642" s="234"/>
      <c r="J642" s="233"/>
      <c r="K642" s="233"/>
      <c r="L642" s="163"/>
      <c r="M642" s="234"/>
      <c r="N642" s="234"/>
      <c r="O642" s="162"/>
      <c r="P642" s="162"/>
      <c r="Q642" s="235"/>
      <c r="R642" s="235"/>
      <c r="S642" s="235"/>
      <c r="T642" s="236"/>
      <c r="U642" s="237"/>
      <c r="V642" s="237"/>
      <c r="W642" s="237"/>
      <c r="X642" s="234"/>
    </row>
    <row r="643" spans="2:24" ht="14.25" customHeight="1" x14ac:dyDescent="0.25">
      <c r="B643" s="246"/>
      <c r="C643" s="242"/>
      <c r="D643" s="84"/>
      <c r="E643" s="84"/>
      <c r="F643" s="84"/>
      <c r="G643" s="84"/>
      <c r="H643" s="244"/>
      <c r="I643" s="234"/>
      <c r="J643" s="233"/>
      <c r="K643" s="233"/>
      <c r="L643" s="163"/>
      <c r="M643" s="234"/>
      <c r="N643" s="234"/>
      <c r="O643" s="162"/>
      <c r="P643" s="162"/>
      <c r="Q643" s="235"/>
      <c r="R643" s="235"/>
      <c r="S643" s="235"/>
      <c r="T643" s="236"/>
      <c r="U643" s="237"/>
      <c r="V643" s="237"/>
      <c r="W643" s="237"/>
      <c r="X643" s="234"/>
    </row>
    <row r="644" spans="2:24" ht="14.25" customHeight="1" x14ac:dyDescent="0.25">
      <c r="B644" s="246"/>
      <c r="C644" s="242"/>
      <c r="D644" s="84"/>
      <c r="E644" s="84"/>
      <c r="F644" s="84"/>
      <c r="G644" s="84"/>
      <c r="H644" s="244"/>
      <c r="I644" s="234"/>
      <c r="J644" s="233"/>
      <c r="K644" s="233"/>
      <c r="L644" s="163"/>
      <c r="M644" s="234"/>
      <c r="N644" s="234"/>
      <c r="O644" s="162"/>
      <c r="P644" s="162"/>
      <c r="Q644" s="235"/>
      <c r="R644" s="235"/>
      <c r="S644" s="235"/>
      <c r="T644" s="236"/>
      <c r="U644" s="237"/>
      <c r="V644" s="237"/>
      <c r="W644" s="237"/>
      <c r="X644" s="234"/>
    </row>
    <row r="645" spans="2:24" ht="14.25" customHeight="1" x14ac:dyDescent="0.25">
      <c r="B645" s="246"/>
      <c r="C645" s="242"/>
      <c r="D645" s="84"/>
      <c r="E645" s="84"/>
      <c r="F645" s="84"/>
      <c r="G645" s="84"/>
      <c r="H645" s="244"/>
      <c r="I645" s="234"/>
      <c r="J645" s="233"/>
      <c r="K645" s="233"/>
      <c r="L645" s="163"/>
      <c r="M645" s="234"/>
      <c r="N645" s="234"/>
      <c r="O645" s="162"/>
      <c r="P645" s="162"/>
      <c r="Q645" s="235"/>
      <c r="R645" s="235"/>
      <c r="S645" s="235"/>
      <c r="T645" s="236"/>
      <c r="U645" s="237"/>
      <c r="V645" s="237"/>
      <c r="W645" s="237"/>
      <c r="X645" s="234"/>
    </row>
    <row r="646" spans="2:24" ht="14.25" customHeight="1" x14ac:dyDescent="0.25">
      <c r="B646" s="246"/>
      <c r="C646" s="242"/>
      <c r="D646" s="84"/>
      <c r="E646" s="84"/>
      <c r="F646" s="84"/>
      <c r="G646" s="84"/>
      <c r="H646" s="244"/>
      <c r="I646" s="234"/>
      <c r="J646" s="233"/>
      <c r="K646" s="233"/>
      <c r="L646" s="163"/>
      <c r="M646" s="234"/>
      <c r="N646" s="234"/>
      <c r="O646" s="162"/>
      <c r="P646" s="162"/>
      <c r="Q646" s="235"/>
      <c r="R646" s="235"/>
      <c r="S646" s="235"/>
      <c r="T646" s="236"/>
      <c r="U646" s="237"/>
      <c r="V646" s="237"/>
      <c r="W646" s="237"/>
      <c r="X646" s="234"/>
    </row>
    <row r="647" spans="2:24" ht="14.25" customHeight="1" x14ac:dyDescent="0.25">
      <c r="B647" s="246"/>
      <c r="C647" s="242"/>
      <c r="D647" s="84"/>
      <c r="E647" s="84"/>
      <c r="F647" s="84"/>
      <c r="G647" s="84"/>
      <c r="H647" s="244"/>
      <c r="I647" s="234"/>
      <c r="J647" s="233"/>
      <c r="K647" s="233"/>
      <c r="L647" s="163"/>
      <c r="M647" s="234"/>
      <c r="N647" s="234"/>
      <c r="O647" s="162"/>
      <c r="P647" s="162"/>
      <c r="Q647" s="235"/>
      <c r="R647" s="235"/>
      <c r="S647" s="235"/>
      <c r="T647" s="236"/>
      <c r="U647" s="237"/>
      <c r="V647" s="237"/>
      <c r="W647" s="237"/>
      <c r="X647" s="234"/>
    </row>
    <row r="648" spans="2:24" ht="14.25" customHeight="1" x14ac:dyDescent="0.25">
      <c r="B648" s="246"/>
      <c r="C648" s="242"/>
      <c r="D648" s="84"/>
      <c r="E648" s="84"/>
      <c r="F648" s="84"/>
      <c r="G648" s="84"/>
      <c r="H648" s="244"/>
      <c r="I648" s="234"/>
      <c r="J648" s="233"/>
      <c r="K648" s="233"/>
      <c r="L648" s="163"/>
      <c r="M648" s="234"/>
      <c r="N648" s="234"/>
      <c r="O648" s="162"/>
      <c r="P648" s="162"/>
      <c r="Q648" s="235"/>
      <c r="R648" s="235"/>
      <c r="S648" s="235"/>
      <c r="T648" s="236"/>
      <c r="U648" s="237"/>
      <c r="V648" s="237"/>
      <c r="W648" s="237"/>
      <c r="X648" s="234"/>
    </row>
    <row r="649" spans="2:24" ht="14.25" customHeight="1" x14ac:dyDescent="0.25">
      <c r="B649" s="246"/>
      <c r="C649" s="242"/>
      <c r="D649" s="84"/>
      <c r="E649" s="84"/>
      <c r="F649" s="84"/>
      <c r="G649" s="84"/>
      <c r="H649" s="244"/>
      <c r="I649" s="234"/>
      <c r="J649" s="233"/>
      <c r="K649" s="233"/>
      <c r="L649" s="163"/>
      <c r="M649" s="234"/>
      <c r="N649" s="234"/>
      <c r="O649" s="162"/>
      <c r="P649" s="162"/>
      <c r="Q649" s="235"/>
      <c r="R649" s="235"/>
      <c r="S649" s="235"/>
      <c r="T649" s="236"/>
      <c r="U649" s="237"/>
      <c r="V649" s="237"/>
      <c r="W649" s="237"/>
      <c r="X649" s="234"/>
    </row>
    <row r="650" spans="2:24" ht="14.25" customHeight="1" x14ac:dyDescent="0.25">
      <c r="B650" s="246"/>
      <c r="C650" s="242"/>
      <c r="D650" s="84"/>
      <c r="E650" s="84"/>
      <c r="F650" s="84"/>
      <c r="G650" s="84"/>
      <c r="H650" s="244"/>
      <c r="I650" s="234"/>
      <c r="J650" s="233"/>
      <c r="K650" s="233"/>
      <c r="L650" s="163"/>
      <c r="M650" s="234"/>
      <c r="N650" s="234"/>
      <c r="O650" s="162"/>
      <c r="P650" s="162"/>
      <c r="Q650" s="235"/>
      <c r="R650" s="235"/>
      <c r="S650" s="235"/>
      <c r="T650" s="236"/>
      <c r="U650" s="237"/>
      <c r="V650" s="237"/>
      <c r="W650" s="237"/>
      <c r="X650" s="234"/>
    </row>
    <row r="651" spans="2:24" ht="14.25" customHeight="1" x14ac:dyDescent="0.25">
      <c r="B651" s="246"/>
      <c r="C651" s="242"/>
      <c r="D651" s="84"/>
      <c r="E651" s="84"/>
      <c r="F651" s="84"/>
      <c r="G651" s="84"/>
      <c r="H651" s="244"/>
      <c r="I651" s="234"/>
      <c r="J651" s="233"/>
      <c r="K651" s="233"/>
      <c r="L651" s="163"/>
      <c r="M651" s="234"/>
      <c r="N651" s="234"/>
      <c r="O651" s="162"/>
      <c r="P651" s="162"/>
      <c r="Q651" s="235"/>
      <c r="R651" s="235"/>
      <c r="S651" s="235"/>
      <c r="T651" s="236"/>
      <c r="U651" s="237"/>
      <c r="V651" s="237"/>
      <c r="W651" s="237"/>
      <c r="X651" s="234"/>
    </row>
    <row r="652" spans="2:24" ht="14.25" customHeight="1" x14ac:dyDescent="0.25">
      <c r="B652" s="246"/>
      <c r="C652" s="242"/>
      <c r="D652" s="84"/>
      <c r="E652" s="84"/>
      <c r="F652" s="84"/>
      <c r="G652" s="84"/>
      <c r="H652" s="244"/>
      <c r="I652" s="234"/>
      <c r="J652" s="233"/>
      <c r="K652" s="233"/>
      <c r="L652" s="163"/>
      <c r="M652" s="234"/>
      <c r="N652" s="234"/>
      <c r="O652" s="162"/>
      <c r="P652" s="162"/>
      <c r="Q652" s="235"/>
      <c r="R652" s="235"/>
      <c r="S652" s="235"/>
      <c r="T652" s="236"/>
      <c r="U652" s="237"/>
      <c r="V652" s="237"/>
      <c r="W652" s="237"/>
      <c r="X652" s="234"/>
    </row>
    <row r="653" spans="2:24" ht="14.25" customHeight="1" x14ac:dyDescent="0.25">
      <c r="B653" s="246"/>
      <c r="C653" s="242"/>
      <c r="D653" s="84"/>
      <c r="E653" s="84"/>
      <c r="F653" s="84"/>
      <c r="G653" s="84"/>
      <c r="H653" s="244"/>
      <c r="I653" s="234"/>
      <c r="J653" s="233"/>
      <c r="K653" s="233"/>
      <c r="L653" s="163"/>
      <c r="M653" s="234"/>
      <c r="N653" s="234"/>
      <c r="O653" s="162"/>
      <c r="P653" s="162"/>
      <c r="Q653" s="235"/>
      <c r="R653" s="235"/>
      <c r="S653" s="235"/>
      <c r="T653" s="236"/>
      <c r="U653" s="237"/>
      <c r="V653" s="237"/>
      <c r="W653" s="237"/>
      <c r="X653" s="234"/>
    </row>
    <row r="654" spans="2:24" ht="14.25" customHeight="1" x14ac:dyDescent="0.25">
      <c r="B654" s="246"/>
      <c r="C654" s="242"/>
      <c r="D654" s="84"/>
      <c r="E654" s="84"/>
      <c r="F654" s="84"/>
      <c r="G654" s="84"/>
      <c r="H654" s="244"/>
      <c r="I654" s="234"/>
      <c r="J654" s="233"/>
      <c r="K654" s="233"/>
      <c r="L654" s="163"/>
      <c r="M654" s="234"/>
      <c r="N654" s="234"/>
      <c r="O654" s="162"/>
      <c r="P654" s="162"/>
      <c r="Q654" s="235"/>
      <c r="R654" s="235"/>
      <c r="S654" s="235"/>
      <c r="T654" s="236"/>
      <c r="U654" s="237"/>
      <c r="V654" s="237"/>
      <c r="W654" s="237"/>
      <c r="X654" s="234"/>
    </row>
    <row r="655" spans="2:24" ht="14.25" customHeight="1" x14ac:dyDescent="0.25">
      <c r="B655" s="246"/>
      <c r="C655" s="242"/>
      <c r="D655" s="84"/>
      <c r="E655" s="84"/>
      <c r="F655" s="84"/>
      <c r="G655" s="84"/>
      <c r="H655" s="244"/>
      <c r="I655" s="234"/>
      <c r="J655" s="233"/>
      <c r="K655" s="233"/>
      <c r="L655" s="163"/>
      <c r="M655" s="234"/>
      <c r="N655" s="234"/>
      <c r="O655" s="162"/>
      <c r="P655" s="162"/>
      <c r="Q655" s="235"/>
      <c r="R655" s="235"/>
      <c r="S655" s="235"/>
      <c r="T655" s="236"/>
      <c r="U655" s="237"/>
      <c r="V655" s="237"/>
      <c r="W655" s="237"/>
      <c r="X655" s="234"/>
    </row>
    <row r="656" spans="2:24" ht="14.25" customHeight="1" x14ac:dyDescent="0.25">
      <c r="B656" s="246"/>
      <c r="C656" s="242"/>
      <c r="D656" s="84"/>
      <c r="E656" s="84"/>
      <c r="F656" s="84"/>
      <c r="G656" s="84"/>
      <c r="H656" s="244"/>
      <c r="I656" s="234"/>
      <c r="J656" s="233"/>
      <c r="K656" s="233"/>
      <c r="L656" s="163"/>
      <c r="M656" s="234"/>
      <c r="N656" s="234"/>
      <c r="O656" s="162"/>
      <c r="P656" s="162"/>
      <c r="Q656" s="235"/>
      <c r="R656" s="235"/>
      <c r="S656" s="235"/>
      <c r="T656" s="236"/>
      <c r="U656" s="237"/>
      <c r="V656" s="237"/>
      <c r="W656" s="237"/>
      <c r="X656" s="234"/>
    </row>
    <row r="657" spans="2:24" ht="14.25" customHeight="1" x14ac:dyDescent="0.25">
      <c r="B657" s="246"/>
      <c r="C657" s="242"/>
      <c r="D657" s="84"/>
      <c r="E657" s="84"/>
      <c r="F657" s="84"/>
      <c r="G657" s="84"/>
      <c r="H657" s="244"/>
      <c r="I657" s="234"/>
      <c r="J657" s="233"/>
      <c r="K657" s="233"/>
      <c r="L657" s="163"/>
      <c r="M657" s="234"/>
      <c r="N657" s="234"/>
      <c r="O657" s="162"/>
      <c r="P657" s="162"/>
      <c r="Q657" s="235"/>
      <c r="R657" s="235"/>
      <c r="S657" s="235"/>
      <c r="T657" s="236"/>
      <c r="U657" s="237"/>
      <c r="V657" s="237"/>
      <c r="W657" s="237"/>
      <c r="X657" s="234"/>
    </row>
    <row r="658" spans="2:24" ht="14.25" customHeight="1" x14ac:dyDescent="0.25">
      <c r="B658" s="246"/>
      <c r="C658" s="242"/>
      <c r="D658" s="84"/>
      <c r="E658" s="84"/>
      <c r="F658" s="84"/>
      <c r="G658" s="84"/>
      <c r="H658" s="244"/>
      <c r="I658" s="234"/>
      <c r="J658" s="233"/>
      <c r="K658" s="233"/>
      <c r="L658" s="163"/>
      <c r="M658" s="234"/>
      <c r="N658" s="234"/>
      <c r="O658" s="162"/>
      <c r="P658" s="162"/>
      <c r="Q658" s="235"/>
      <c r="R658" s="235"/>
      <c r="S658" s="235"/>
      <c r="T658" s="236"/>
      <c r="U658" s="237"/>
      <c r="V658" s="237"/>
      <c r="W658" s="237"/>
      <c r="X658" s="234"/>
    </row>
    <row r="659" spans="2:24" ht="14.25" customHeight="1" x14ac:dyDescent="0.25">
      <c r="B659" s="246"/>
      <c r="C659" s="242"/>
      <c r="D659" s="84"/>
      <c r="E659" s="84"/>
      <c r="F659" s="84"/>
      <c r="G659" s="84"/>
      <c r="H659" s="244"/>
      <c r="I659" s="234"/>
      <c r="J659" s="233"/>
      <c r="K659" s="233"/>
      <c r="L659" s="163"/>
      <c r="M659" s="234"/>
      <c r="N659" s="234"/>
      <c r="O659" s="162"/>
      <c r="P659" s="162"/>
      <c r="Q659" s="235"/>
      <c r="R659" s="235"/>
      <c r="S659" s="235"/>
      <c r="T659" s="236"/>
      <c r="U659" s="237"/>
      <c r="V659" s="237"/>
      <c r="W659" s="237"/>
      <c r="X659" s="234"/>
    </row>
    <row r="660" spans="2:24" ht="14.25" customHeight="1" x14ac:dyDescent="0.25">
      <c r="B660" s="246"/>
      <c r="C660" s="242"/>
      <c r="D660" s="84"/>
      <c r="E660" s="84"/>
      <c r="F660" s="84"/>
      <c r="G660" s="84"/>
      <c r="H660" s="244"/>
      <c r="I660" s="234"/>
      <c r="J660" s="233"/>
      <c r="K660" s="233"/>
      <c r="L660" s="163"/>
      <c r="M660" s="234"/>
      <c r="N660" s="234"/>
      <c r="O660" s="162"/>
      <c r="P660" s="162"/>
      <c r="Q660" s="235"/>
      <c r="R660" s="235"/>
      <c r="S660" s="235"/>
      <c r="T660" s="236"/>
      <c r="U660" s="237"/>
      <c r="V660" s="237"/>
      <c r="W660" s="237"/>
      <c r="X660" s="234"/>
    </row>
    <row r="661" spans="2:24" ht="14.25" customHeight="1" x14ac:dyDescent="0.25">
      <c r="B661" s="246"/>
      <c r="C661" s="242"/>
      <c r="D661" s="84"/>
      <c r="E661" s="84"/>
      <c r="F661" s="84"/>
      <c r="G661" s="84"/>
      <c r="H661" s="244"/>
      <c r="I661" s="234"/>
      <c r="J661" s="233"/>
      <c r="K661" s="233"/>
      <c r="L661" s="163"/>
      <c r="M661" s="234"/>
      <c r="N661" s="234"/>
      <c r="O661" s="162"/>
      <c r="P661" s="162"/>
      <c r="Q661" s="235"/>
      <c r="R661" s="235"/>
      <c r="S661" s="235"/>
      <c r="T661" s="236"/>
      <c r="U661" s="237"/>
      <c r="V661" s="237"/>
      <c r="W661" s="237"/>
      <c r="X661" s="234"/>
    </row>
    <row r="662" spans="2:24" ht="14.25" customHeight="1" x14ac:dyDescent="0.25">
      <c r="B662" s="246"/>
      <c r="C662" s="242"/>
      <c r="D662" s="84"/>
      <c r="E662" s="84"/>
      <c r="F662" s="84"/>
      <c r="G662" s="84"/>
      <c r="H662" s="244"/>
      <c r="I662" s="234"/>
      <c r="J662" s="233"/>
      <c r="K662" s="233"/>
      <c r="L662" s="163"/>
      <c r="M662" s="234"/>
      <c r="N662" s="234"/>
      <c r="O662" s="162"/>
      <c r="P662" s="162"/>
      <c r="Q662" s="235"/>
      <c r="R662" s="235"/>
      <c r="S662" s="235"/>
      <c r="T662" s="236"/>
      <c r="U662" s="237"/>
      <c r="V662" s="237"/>
      <c r="W662" s="237"/>
      <c r="X662" s="234"/>
    </row>
    <row r="663" spans="2:24" ht="14.25" customHeight="1" x14ac:dyDescent="0.25">
      <c r="B663" s="246"/>
      <c r="C663" s="242"/>
      <c r="D663" s="84"/>
      <c r="E663" s="84"/>
      <c r="F663" s="84"/>
      <c r="G663" s="84"/>
      <c r="H663" s="244"/>
      <c r="I663" s="234"/>
      <c r="J663" s="233"/>
      <c r="K663" s="233"/>
      <c r="L663" s="163"/>
      <c r="M663" s="234"/>
      <c r="N663" s="234"/>
      <c r="O663" s="162"/>
      <c r="P663" s="162"/>
      <c r="Q663" s="235"/>
      <c r="R663" s="235"/>
      <c r="S663" s="235"/>
      <c r="T663" s="236"/>
      <c r="U663" s="237"/>
      <c r="V663" s="237"/>
      <c r="W663" s="237"/>
      <c r="X663" s="234"/>
    </row>
    <row r="664" spans="2:24" ht="14.25" customHeight="1" x14ac:dyDescent="0.25">
      <c r="B664" s="246"/>
      <c r="C664" s="242"/>
      <c r="D664" s="84"/>
      <c r="E664" s="84"/>
      <c r="F664" s="84"/>
      <c r="G664" s="84"/>
      <c r="H664" s="244"/>
      <c r="I664" s="234"/>
      <c r="J664" s="233"/>
      <c r="K664" s="233"/>
      <c r="L664" s="163"/>
      <c r="M664" s="234"/>
      <c r="N664" s="234"/>
      <c r="O664" s="162"/>
      <c r="P664" s="162"/>
      <c r="Q664" s="235"/>
      <c r="R664" s="235"/>
      <c r="S664" s="235"/>
      <c r="T664" s="236"/>
      <c r="U664" s="237"/>
      <c r="V664" s="237"/>
      <c r="W664" s="237"/>
      <c r="X664" s="234"/>
    </row>
    <row r="665" spans="2:24" ht="14.25" customHeight="1" x14ac:dyDescent="0.25">
      <c r="B665" s="246"/>
      <c r="C665" s="242"/>
      <c r="D665" s="84"/>
      <c r="E665" s="84"/>
      <c r="F665" s="84"/>
      <c r="G665" s="84"/>
      <c r="H665" s="244"/>
      <c r="I665" s="234"/>
      <c r="J665" s="233"/>
      <c r="K665" s="233"/>
      <c r="L665" s="163"/>
      <c r="M665" s="234"/>
      <c r="N665" s="234"/>
      <c r="O665" s="162"/>
      <c r="P665" s="162"/>
      <c r="Q665" s="235"/>
      <c r="R665" s="235"/>
      <c r="S665" s="235"/>
      <c r="T665" s="236"/>
      <c r="U665" s="237"/>
      <c r="V665" s="237"/>
      <c r="W665" s="237"/>
      <c r="X665" s="234"/>
    </row>
    <row r="666" spans="2:24" ht="14.25" customHeight="1" x14ac:dyDescent="0.25">
      <c r="B666" s="246"/>
      <c r="C666" s="242"/>
      <c r="D666" s="84"/>
      <c r="E666" s="84"/>
      <c r="F666" s="84"/>
      <c r="G666" s="84"/>
      <c r="H666" s="244"/>
      <c r="I666" s="234"/>
      <c r="J666" s="233"/>
      <c r="K666" s="233"/>
      <c r="L666" s="163"/>
      <c r="M666" s="234"/>
      <c r="N666" s="234"/>
      <c r="O666" s="162"/>
      <c r="P666" s="162"/>
      <c r="Q666" s="235"/>
      <c r="R666" s="235"/>
      <c r="S666" s="235"/>
      <c r="T666" s="236"/>
      <c r="U666" s="237"/>
      <c r="V666" s="237"/>
      <c r="W666" s="237"/>
      <c r="X666" s="234"/>
    </row>
    <row r="667" spans="2:24" ht="14.25" customHeight="1" x14ac:dyDescent="0.25">
      <c r="B667" s="246"/>
      <c r="C667" s="242"/>
      <c r="D667" s="84"/>
      <c r="E667" s="84"/>
      <c r="F667" s="84"/>
      <c r="G667" s="84"/>
      <c r="H667" s="244"/>
      <c r="I667" s="234"/>
      <c r="J667" s="233"/>
      <c r="K667" s="233"/>
      <c r="L667" s="163"/>
      <c r="M667" s="234"/>
      <c r="N667" s="234"/>
      <c r="O667" s="162"/>
      <c r="P667" s="162"/>
      <c r="Q667" s="235"/>
      <c r="R667" s="235"/>
      <c r="S667" s="235"/>
      <c r="T667" s="236"/>
      <c r="U667" s="237"/>
      <c r="V667" s="237"/>
      <c r="W667" s="237"/>
      <c r="X667" s="234"/>
    </row>
    <row r="668" spans="2:24" ht="14.25" customHeight="1" x14ac:dyDescent="0.25">
      <c r="B668" s="246"/>
      <c r="C668" s="242"/>
      <c r="D668" s="84"/>
      <c r="E668" s="84"/>
      <c r="F668" s="84"/>
      <c r="G668" s="84"/>
      <c r="H668" s="244"/>
      <c r="I668" s="234"/>
      <c r="J668" s="233"/>
      <c r="K668" s="233"/>
      <c r="L668" s="163"/>
      <c r="M668" s="234"/>
      <c r="N668" s="234"/>
      <c r="O668" s="162"/>
      <c r="P668" s="162"/>
      <c r="Q668" s="235"/>
      <c r="R668" s="235"/>
      <c r="S668" s="235"/>
      <c r="T668" s="236"/>
      <c r="U668" s="237"/>
      <c r="V668" s="237"/>
      <c r="W668" s="237"/>
      <c r="X668" s="234"/>
    </row>
    <row r="669" spans="2:24" ht="14.25" customHeight="1" x14ac:dyDescent="0.25">
      <c r="B669" s="246"/>
      <c r="C669" s="242"/>
      <c r="D669" s="84"/>
      <c r="E669" s="84"/>
      <c r="F669" s="84"/>
      <c r="G669" s="84"/>
      <c r="H669" s="244"/>
      <c r="I669" s="234"/>
      <c r="J669" s="233"/>
      <c r="K669" s="233"/>
      <c r="L669" s="163"/>
      <c r="M669" s="234"/>
      <c r="N669" s="234"/>
      <c r="O669" s="162"/>
      <c r="P669" s="162"/>
      <c r="Q669" s="235"/>
      <c r="R669" s="235"/>
      <c r="S669" s="235"/>
      <c r="T669" s="236"/>
      <c r="U669" s="237"/>
      <c r="V669" s="237"/>
      <c r="W669" s="237"/>
      <c r="X669" s="234"/>
    </row>
    <row r="670" spans="2:24" ht="14.25" customHeight="1" x14ac:dyDescent="0.25">
      <c r="B670" s="246"/>
      <c r="C670" s="242"/>
      <c r="D670" s="84"/>
      <c r="E670" s="84"/>
      <c r="F670" s="84"/>
      <c r="G670" s="84"/>
      <c r="H670" s="244"/>
      <c r="I670" s="234"/>
      <c r="J670" s="233"/>
      <c r="K670" s="233"/>
      <c r="L670" s="163"/>
      <c r="M670" s="234"/>
      <c r="N670" s="234"/>
      <c r="O670" s="162"/>
      <c r="P670" s="162"/>
      <c r="Q670" s="235"/>
      <c r="R670" s="235"/>
      <c r="S670" s="235"/>
      <c r="T670" s="236"/>
      <c r="U670" s="237"/>
      <c r="V670" s="237"/>
      <c r="W670" s="237"/>
      <c r="X670" s="234"/>
    </row>
    <row r="671" spans="2:24" ht="14.25" customHeight="1" x14ac:dyDescent="0.25">
      <c r="B671" s="246"/>
      <c r="C671" s="242"/>
      <c r="D671" s="84"/>
      <c r="E671" s="84"/>
      <c r="F671" s="84"/>
      <c r="G671" s="84"/>
      <c r="H671" s="244"/>
      <c r="I671" s="234"/>
      <c r="J671" s="233"/>
      <c r="K671" s="233"/>
      <c r="L671" s="163"/>
      <c r="M671" s="234"/>
      <c r="N671" s="234"/>
      <c r="O671" s="162"/>
      <c r="P671" s="162"/>
      <c r="Q671" s="235"/>
      <c r="R671" s="235"/>
      <c r="S671" s="235"/>
      <c r="T671" s="236"/>
      <c r="U671" s="237"/>
      <c r="V671" s="237"/>
      <c r="W671" s="237"/>
      <c r="X671" s="234"/>
    </row>
    <row r="672" spans="2:24" ht="14.25" customHeight="1" x14ac:dyDescent="0.25">
      <c r="B672" s="246"/>
      <c r="C672" s="242"/>
      <c r="D672" s="84"/>
      <c r="E672" s="84"/>
      <c r="F672" s="84"/>
      <c r="G672" s="84"/>
      <c r="H672" s="244"/>
      <c r="I672" s="234"/>
      <c r="J672" s="233"/>
      <c r="K672" s="233"/>
      <c r="L672" s="163"/>
      <c r="M672" s="234"/>
      <c r="N672" s="234"/>
      <c r="O672" s="162"/>
      <c r="P672" s="162"/>
      <c r="Q672" s="235"/>
      <c r="R672" s="235"/>
      <c r="S672" s="235"/>
      <c r="T672" s="236"/>
      <c r="U672" s="237"/>
      <c r="V672" s="237"/>
      <c r="W672" s="237"/>
      <c r="X672" s="234"/>
    </row>
    <row r="673" spans="2:24" ht="14.25" customHeight="1" x14ac:dyDescent="0.25">
      <c r="B673" s="246"/>
      <c r="C673" s="242"/>
      <c r="D673" s="84"/>
      <c r="E673" s="84"/>
      <c r="F673" s="84"/>
      <c r="G673" s="84"/>
      <c r="H673" s="244"/>
      <c r="I673" s="234"/>
      <c r="J673" s="233"/>
      <c r="K673" s="233"/>
      <c r="L673" s="163"/>
      <c r="M673" s="234"/>
      <c r="N673" s="234"/>
      <c r="O673" s="162"/>
      <c r="P673" s="162"/>
      <c r="Q673" s="235"/>
      <c r="R673" s="235"/>
      <c r="S673" s="235"/>
      <c r="T673" s="236"/>
      <c r="U673" s="237"/>
      <c r="V673" s="237"/>
      <c r="W673" s="237"/>
      <c r="X673" s="234"/>
    </row>
    <row r="674" spans="2:24" ht="14.25" customHeight="1" x14ac:dyDescent="0.25">
      <c r="B674" s="246"/>
      <c r="C674" s="242"/>
      <c r="D674" s="84"/>
      <c r="E674" s="84"/>
      <c r="F674" s="84"/>
      <c r="G674" s="84"/>
      <c r="H674" s="244"/>
      <c r="I674" s="234"/>
      <c r="J674" s="233"/>
      <c r="K674" s="233"/>
      <c r="L674" s="163"/>
      <c r="M674" s="234"/>
      <c r="N674" s="234"/>
      <c r="O674" s="162"/>
      <c r="P674" s="162"/>
      <c r="Q674" s="235"/>
      <c r="R674" s="235"/>
      <c r="S674" s="235"/>
      <c r="T674" s="236"/>
      <c r="U674" s="237"/>
      <c r="V674" s="237"/>
      <c r="W674" s="237"/>
      <c r="X674" s="234"/>
    </row>
    <row r="675" spans="2:24" ht="14.25" customHeight="1" x14ac:dyDescent="0.25">
      <c r="B675" s="246"/>
      <c r="C675" s="242"/>
      <c r="D675" s="84"/>
      <c r="E675" s="84"/>
      <c r="F675" s="84"/>
      <c r="G675" s="84"/>
      <c r="H675" s="244"/>
      <c r="I675" s="234"/>
      <c r="J675" s="233"/>
      <c r="K675" s="233"/>
      <c r="L675" s="163"/>
      <c r="M675" s="234"/>
      <c r="N675" s="234"/>
      <c r="O675" s="162"/>
      <c r="P675" s="162"/>
      <c r="Q675" s="235"/>
      <c r="R675" s="235"/>
      <c r="S675" s="235"/>
      <c r="T675" s="236"/>
      <c r="U675" s="237"/>
      <c r="V675" s="237"/>
      <c r="W675" s="237"/>
      <c r="X675" s="234"/>
    </row>
    <row r="676" spans="2:24" ht="14.25" customHeight="1" x14ac:dyDescent="0.25">
      <c r="B676" s="246"/>
      <c r="C676" s="242"/>
      <c r="D676" s="84"/>
      <c r="E676" s="84"/>
      <c r="F676" s="84"/>
      <c r="G676" s="84"/>
      <c r="H676" s="244"/>
      <c r="I676" s="234"/>
      <c r="J676" s="233"/>
      <c r="K676" s="233"/>
      <c r="L676" s="163"/>
      <c r="M676" s="234"/>
      <c r="N676" s="234"/>
      <c r="O676" s="162"/>
      <c r="P676" s="162"/>
      <c r="Q676" s="235"/>
      <c r="R676" s="235"/>
      <c r="S676" s="235"/>
      <c r="T676" s="236"/>
      <c r="U676" s="237"/>
      <c r="V676" s="237"/>
      <c r="W676" s="237"/>
      <c r="X676" s="234"/>
    </row>
    <row r="677" spans="2:24" ht="14.25" customHeight="1" x14ac:dyDescent="0.25">
      <c r="B677" s="246"/>
      <c r="C677" s="242"/>
      <c r="D677" s="84"/>
      <c r="E677" s="84"/>
      <c r="F677" s="84"/>
      <c r="G677" s="84"/>
      <c r="H677" s="244"/>
      <c r="I677" s="234"/>
      <c r="J677" s="233"/>
      <c r="K677" s="233"/>
      <c r="L677" s="163"/>
      <c r="M677" s="234"/>
      <c r="N677" s="234"/>
      <c r="O677" s="162"/>
      <c r="P677" s="162"/>
      <c r="Q677" s="235"/>
      <c r="R677" s="235"/>
      <c r="S677" s="235"/>
      <c r="T677" s="236"/>
      <c r="U677" s="237"/>
      <c r="V677" s="237"/>
      <c r="W677" s="237"/>
      <c r="X677" s="234"/>
    </row>
    <row r="678" spans="2:24" ht="14.25" customHeight="1" x14ac:dyDescent="0.25">
      <c r="B678" s="246"/>
      <c r="C678" s="242"/>
      <c r="D678" s="84"/>
      <c r="E678" s="84"/>
      <c r="F678" s="84"/>
      <c r="G678" s="84"/>
      <c r="H678" s="244"/>
      <c r="I678" s="234"/>
      <c r="J678" s="233"/>
      <c r="K678" s="233"/>
      <c r="L678" s="163"/>
      <c r="M678" s="234"/>
      <c r="N678" s="234"/>
      <c r="O678" s="162"/>
      <c r="P678" s="162"/>
      <c r="Q678" s="235"/>
      <c r="R678" s="235"/>
      <c r="S678" s="235"/>
      <c r="T678" s="236"/>
      <c r="U678" s="237"/>
      <c r="V678" s="237"/>
      <c r="W678" s="237"/>
      <c r="X678" s="234"/>
    </row>
    <row r="679" spans="2:24" ht="14.25" customHeight="1" x14ac:dyDescent="0.25">
      <c r="B679" s="246"/>
      <c r="C679" s="242"/>
      <c r="D679" s="84"/>
      <c r="E679" s="84"/>
      <c r="F679" s="84"/>
      <c r="G679" s="84"/>
      <c r="H679" s="244"/>
      <c r="I679" s="234"/>
      <c r="J679" s="233"/>
      <c r="K679" s="233"/>
      <c r="L679" s="163"/>
      <c r="M679" s="234"/>
      <c r="N679" s="234"/>
      <c r="O679" s="162"/>
      <c r="P679" s="162"/>
      <c r="Q679" s="235"/>
      <c r="R679" s="235"/>
      <c r="S679" s="235"/>
      <c r="T679" s="236"/>
      <c r="U679" s="237"/>
      <c r="V679" s="237"/>
      <c r="W679" s="237"/>
      <c r="X679" s="234"/>
    </row>
    <row r="680" spans="2:24" ht="14.25" customHeight="1" x14ac:dyDescent="0.25">
      <c r="B680" s="246"/>
      <c r="C680" s="242"/>
      <c r="D680" s="84"/>
      <c r="E680" s="84"/>
      <c r="F680" s="84"/>
      <c r="G680" s="84"/>
      <c r="H680" s="244"/>
      <c r="I680" s="234"/>
      <c r="J680" s="233"/>
      <c r="K680" s="233"/>
      <c r="L680" s="163"/>
      <c r="M680" s="234"/>
      <c r="N680" s="234"/>
      <c r="O680" s="162"/>
      <c r="P680" s="162"/>
      <c r="Q680" s="235"/>
      <c r="R680" s="235"/>
      <c r="S680" s="235"/>
      <c r="T680" s="236"/>
      <c r="U680" s="237"/>
      <c r="V680" s="237"/>
      <c r="W680" s="237"/>
      <c r="X680" s="234"/>
    </row>
    <row r="681" spans="2:24" ht="14.25" customHeight="1" x14ac:dyDescent="0.25">
      <c r="B681" s="246"/>
      <c r="C681" s="242"/>
      <c r="D681" s="84"/>
      <c r="E681" s="84"/>
      <c r="F681" s="84"/>
      <c r="G681" s="84"/>
      <c r="H681" s="244"/>
      <c r="I681" s="234"/>
      <c r="J681" s="233"/>
      <c r="K681" s="233"/>
      <c r="L681" s="163"/>
      <c r="M681" s="234"/>
      <c r="N681" s="234"/>
      <c r="O681" s="162"/>
      <c r="P681" s="162"/>
      <c r="Q681" s="235"/>
      <c r="R681" s="235"/>
      <c r="S681" s="235"/>
      <c r="T681" s="236"/>
      <c r="U681" s="237"/>
      <c r="V681" s="237"/>
      <c r="W681" s="237"/>
      <c r="X681" s="234"/>
    </row>
    <row r="682" spans="2:24" ht="14.25" customHeight="1" x14ac:dyDescent="0.25">
      <c r="B682" s="246"/>
      <c r="C682" s="242"/>
      <c r="D682" s="84"/>
      <c r="E682" s="84"/>
      <c r="F682" s="84"/>
      <c r="G682" s="84"/>
      <c r="H682" s="244"/>
      <c r="I682" s="234"/>
      <c r="J682" s="233"/>
      <c r="K682" s="233"/>
      <c r="L682" s="163"/>
      <c r="M682" s="234"/>
      <c r="N682" s="234"/>
      <c r="O682" s="162"/>
      <c r="P682" s="162"/>
      <c r="Q682" s="235"/>
      <c r="R682" s="235"/>
      <c r="S682" s="235"/>
      <c r="T682" s="236"/>
      <c r="U682" s="237"/>
      <c r="V682" s="237"/>
      <c r="W682" s="237"/>
      <c r="X682" s="234"/>
    </row>
    <row r="683" spans="2:24" ht="14.25" customHeight="1" x14ac:dyDescent="0.25">
      <c r="B683" s="246"/>
      <c r="C683" s="242"/>
      <c r="D683" s="84"/>
      <c r="E683" s="84"/>
      <c r="F683" s="84"/>
      <c r="G683" s="84"/>
      <c r="H683" s="244"/>
      <c r="I683" s="234"/>
      <c r="J683" s="233"/>
      <c r="K683" s="233"/>
      <c r="L683" s="163"/>
      <c r="M683" s="234"/>
      <c r="N683" s="234"/>
      <c r="O683" s="162"/>
      <c r="P683" s="162"/>
      <c r="Q683" s="235"/>
      <c r="R683" s="235"/>
      <c r="S683" s="235"/>
      <c r="T683" s="236"/>
      <c r="U683" s="237"/>
      <c r="V683" s="237"/>
      <c r="W683" s="237"/>
      <c r="X683" s="234"/>
    </row>
    <row r="684" spans="2:24" ht="14.25" customHeight="1" x14ac:dyDescent="0.25">
      <c r="B684" s="246"/>
      <c r="C684" s="242"/>
      <c r="D684" s="84"/>
      <c r="E684" s="84"/>
      <c r="F684" s="84"/>
      <c r="G684" s="84"/>
      <c r="H684" s="244"/>
      <c r="I684" s="234"/>
      <c r="J684" s="233"/>
      <c r="K684" s="233"/>
      <c r="L684" s="163"/>
      <c r="M684" s="234"/>
      <c r="N684" s="234"/>
      <c r="O684" s="162"/>
      <c r="P684" s="162"/>
      <c r="Q684" s="235"/>
      <c r="R684" s="235"/>
      <c r="S684" s="235"/>
      <c r="T684" s="236"/>
      <c r="U684" s="237"/>
      <c r="V684" s="237"/>
      <c r="W684" s="237"/>
      <c r="X684" s="234"/>
    </row>
    <row r="685" spans="2:24" ht="14.25" customHeight="1" x14ac:dyDescent="0.25">
      <c r="B685" s="246"/>
      <c r="C685" s="242"/>
      <c r="D685" s="84"/>
      <c r="E685" s="84"/>
      <c r="F685" s="84"/>
      <c r="G685" s="84"/>
      <c r="H685" s="244"/>
      <c r="I685" s="234"/>
      <c r="J685" s="233"/>
      <c r="K685" s="233"/>
      <c r="L685" s="163"/>
      <c r="M685" s="234"/>
      <c r="N685" s="234"/>
      <c r="O685" s="162"/>
      <c r="P685" s="162"/>
      <c r="Q685" s="235"/>
      <c r="R685" s="235"/>
      <c r="S685" s="235"/>
      <c r="T685" s="236"/>
      <c r="U685" s="237"/>
      <c r="V685" s="237"/>
      <c r="W685" s="237"/>
      <c r="X685" s="234"/>
    </row>
    <row r="686" spans="2:24" ht="14.25" customHeight="1" x14ac:dyDescent="0.25">
      <c r="B686" s="246"/>
      <c r="C686" s="242"/>
      <c r="D686" s="84"/>
      <c r="E686" s="84"/>
      <c r="F686" s="84"/>
      <c r="G686" s="84"/>
      <c r="H686" s="244"/>
      <c r="I686" s="234"/>
      <c r="J686" s="233"/>
      <c r="K686" s="233"/>
      <c r="L686" s="163"/>
      <c r="M686" s="234"/>
      <c r="N686" s="234"/>
      <c r="O686" s="162"/>
      <c r="P686" s="162"/>
      <c r="Q686" s="235"/>
      <c r="R686" s="235"/>
      <c r="S686" s="235"/>
      <c r="T686" s="236"/>
      <c r="U686" s="237"/>
      <c r="V686" s="237"/>
      <c r="W686" s="237"/>
      <c r="X686" s="234"/>
    </row>
    <row r="687" spans="2:24" ht="14.25" customHeight="1" x14ac:dyDescent="0.25">
      <c r="B687" s="246"/>
      <c r="C687" s="242"/>
      <c r="D687" s="84"/>
      <c r="E687" s="84"/>
      <c r="F687" s="84"/>
      <c r="G687" s="84"/>
      <c r="H687" s="244"/>
      <c r="I687" s="234"/>
      <c r="J687" s="233"/>
      <c r="K687" s="233"/>
      <c r="L687" s="163"/>
      <c r="M687" s="234"/>
      <c r="N687" s="234"/>
      <c r="O687" s="162"/>
      <c r="P687" s="162"/>
      <c r="Q687" s="235"/>
      <c r="R687" s="235"/>
      <c r="S687" s="235"/>
      <c r="T687" s="236"/>
      <c r="U687" s="237"/>
      <c r="V687" s="237"/>
      <c r="W687" s="237"/>
      <c r="X687" s="234"/>
    </row>
    <row r="688" spans="2:24" ht="14.25" customHeight="1" x14ac:dyDescent="0.25">
      <c r="B688" s="246"/>
      <c r="C688" s="242"/>
      <c r="D688" s="84"/>
      <c r="E688" s="84"/>
      <c r="F688" s="84"/>
      <c r="G688" s="84"/>
      <c r="H688" s="244"/>
      <c r="I688" s="234"/>
      <c r="J688" s="233"/>
      <c r="K688" s="233"/>
      <c r="L688" s="163"/>
      <c r="M688" s="234"/>
      <c r="N688" s="234"/>
      <c r="O688" s="162"/>
      <c r="P688" s="162"/>
      <c r="Q688" s="235"/>
      <c r="R688" s="235"/>
      <c r="S688" s="235"/>
      <c r="T688" s="236"/>
      <c r="U688" s="237"/>
      <c r="V688" s="237"/>
      <c r="W688" s="237"/>
      <c r="X688" s="234"/>
    </row>
    <row r="689" spans="2:24" ht="14.25" customHeight="1" x14ac:dyDescent="0.25">
      <c r="B689" s="246"/>
      <c r="C689" s="242"/>
      <c r="D689" s="84"/>
      <c r="E689" s="84"/>
      <c r="F689" s="84"/>
      <c r="G689" s="84"/>
      <c r="H689" s="244"/>
      <c r="I689" s="234"/>
      <c r="J689" s="233"/>
      <c r="K689" s="233"/>
      <c r="L689" s="163"/>
      <c r="M689" s="234"/>
      <c r="N689" s="234"/>
      <c r="O689" s="162"/>
      <c r="P689" s="162"/>
      <c r="Q689" s="235"/>
      <c r="R689" s="235"/>
      <c r="S689" s="235"/>
      <c r="T689" s="236"/>
      <c r="U689" s="237"/>
      <c r="V689" s="237"/>
      <c r="W689" s="237"/>
      <c r="X689" s="234"/>
    </row>
    <row r="690" spans="2:24" ht="14.25" customHeight="1" x14ac:dyDescent="0.25">
      <c r="B690" s="246"/>
      <c r="C690" s="242"/>
      <c r="D690" s="84"/>
      <c r="E690" s="84"/>
      <c r="F690" s="84"/>
      <c r="G690" s="84"/>
      <c r="H690" s="244"/>
      <c r="I690" s="234"/>
      <c r="J690" s="233"/>
      <c r="K690" s="233"/>
      <c r="L690" s="163"/>
      <c r="M690" s="234"/>
      <c r="N690" s="234"/>
      <c r="O690" s="162"/>
      <c r="P690" s="162"/>
      <c r="Q690" s="235"/>
      <c r="R690" s="235"/>
      <c r="S690" s="235"/>
      <c r="T690" s="236"/>
      <c r="U690" s="237"/>
      <c r="V690" s="237"/>
      <c r="W690" s="237"/>
      <c r="X690" s="234"/>
    </row>
    <row r="691" spans="2:24" ht="14.25" customHeight="1" x14ac:dyDescent="0.25">
      <c r="B691" s="246"/>
      <c r="C691" s="242"/>
      <c r="D691" s="84"/>
      <c r="E691" s="84"/>
      <c r="F691" s="84"/>
      <c r="G691" s="84"/>
      <c r="H691" s="244"/>
      <c r="I691" s="234"/>
      <c r="J691" s="233"/>
      <c r="K691" s="233"/>
      <c r="L691" s="163"/>
      <c r="M691" s="234"/>
      <c r="N691" s="234"/>
      <c r="O691" s="162"/>
      <c r="P691" s="162"/>
      <c r="Q691" s="235"/>
      <c r="R691" s="235"/>
      <c r="S691" s="235"/>
      <c r="T691" s="236"/>
      <c r="U691" s="237"/>
      <c r="V691" s="237"/>
      <c r="W691" s="237"/>
      <c r="X691" s="234"/>
    </row>
    <row r="692" spans="2:24" ht="14.25" customHeight="1" x14ac:dyDescent="0.25">
      <c r="B692" s="246"/>
      <c r="C692" s="242"/>
      <c r="D692" s="84"/>
      <c r="E692" s="84"/>
      <c r="F692" s="84"/>
      <c r="G692" s="84"/>
      <c r="H692" s="244"/>
      <c r="I692" s="234"/>
      <c r="J692" s="233"/>
      <c r="K692" s="233"/>
      <c r="L692" s="163"/>
      <c r="M692" s="234"/>
      <c r="N692" s="234"/>
      <c r="O692" s="162"/>
      <c r="P692" s="162"/>
      <c r="Q692" s="235"/>
      <c r="R692" s="235"/>
      <c r="S692" s="235"/>
      <c r="T692" s="236"/>
      <c r="U692" s="237"/>
      <c r="V692" s="237"/>
      <c r="W692" s="237"/>
      <c r="X692" s="234"/>
    </row>
    <row r="693" spans="2:24" ht="14.25" customHeight="1" x14ac:dyDescent="0.25">
      <c r="B693" s="246"/>
      <c r="C693" s="242"/>
      <c r="D693" s="84"/>
      <c r="E693" s="84"/>
      <c r="F693" s="84"/>
      <c r="G693" s="84"/>
      <c r="H693" s="244"/>
      <c r="I693" s="234"/>
      <c r="J693" s="233"/>
      <c r="K693" s="233"/>
      <c r="L693" s="163"/>
      <c r="M693" s="234"/>
      <c r="N693" s="234"/>
      <c r="O693" s="162"/>
      <c r="P693" s="162"/>
      <c r="Q693" s="235"/>
      <c r="R693" s="235"/>
      <c r="S693" s="235"/>
      <c r="T693" s="236"/>
      <c r="U693" s="237"/>
      <c r="V693" s="237"/>
      <c r="W693" s="237"/>
      <c r="X693" s="234"/>
    </row>
    <row r="694" spans="2:24" ht="14.25" customHeight="1" x14ac:dyDescent="0.25">
      <c r="B694" s="246"/>
      <c r="C694" s="242"/>
      <c r="D694" s="84"/>
      <c r="E694" s="84"/>
      <c r="F694" s="84"/>
      <c r="G694" s="84"/>
      <c r="H694" s="244"/>
      <c r="I694" s="234"/>
      <c r="J694" s="233"/>
      <c r="K694" s="233"/>
      <c r="L694" s="163"/>
      <c r="M694" s="234"/>
      <c r="N694" s="234"/>
      <c r="O694" s="162"/>
      <c r="P694" s="162"/>
      <c r="Q694" s="235"/>
      <c r="R694" s="235"/>
      <c r="S694" s="235"/>
      <c r="T694" s="236"/>
      <c r="U694" s="237"/>
      <c r="V694" s="237"/>
      <c r="W694" s="237"/>
      <c r="X694" s="234"/>
    </row>
    <row r="695" spans="2:24" ht="14.25" customHeight="1" x14ac:dyDescent="0.25">
      <c r="B695" s="246"/>
      <c r="C695" s="242"/>
      <c r="D695" s="84"/>
      <c r="E695" s="84"/>
      <c r="F695" s="84"/>
      <c r="G695" s="84"/>
      <c r="H695" s="244"/>
      <c r="I695" s="234"/>
      <c r="J695" s="233"/>
      <c r="K695" s="233"/>
      <c r="L695" s="163"/>
      <c r="M695" s="234"/>
      <c r="N695" s="234"/>
      <c r="O695" s="162"/>
      <c r="P695" s="162"/>
      <c r="Q695" s="235"/>
      <c r="R695" s="235"/>
      <c r="S695" s="235"/>
      <c r="T695" s="236"/>
      <c r="U695" s="237"/>
      <c r="V695" s="237"/>
      <c r="W695" s="237"/>
      <c r="X695" s="234"/>
    </row>
    <row r="696" spans="2:24" ht="14.25" customHeight="1" x14ac:dyDescent="0.25">
      <c r="B696" s="246"/>
      <c r="C696" s="242"/>
      <c r="D696" s="84"/>
      <c r="E696" s="84"/>
      <c r="F696" s="84"/>
      <c r="G696" s="84"/>
      <c r="H696" s="244"/>
      <c r="I696" s="234"/>
      <c r="J696" s="233"/>
      <c r="K696" s="233"/>
      <c r="L696" s="163"/>
      <c r="M696" s="234"/>
      <c r="N696" s="234"/>
      <c r="O696" s="162"/>
      <c r="P696" s="162"/>
      <c r="Q696" s="235"/>
      <c r="R696" s="235"/>
      <c r="S696" s="235"/>
      <c r="T696" s="236"/>
      <c r="U696" s="237"/>
      <c r="V696" s="237"/>
      <c r="W696" s="237"/>
      <c r="X696" s="234"/>
    </row>
    <row r="697" spans="2:24" ht="14.25" customHeight="1" x14ac:dyDescent="0.25">
      <c r="B697" s="246"/>
      <c r="C697" s="242"/>
      <c r="D697" s="84"/>
      <c r="E697" s="84"/>
      <c r="F697" s="84"/>
      <c r="G697" s="84"/>
      <c r="H697" s="244"/>
      <c r="I697" s="234"/>
      <c r="J697" s="233"/>
      <c r="K697" s="233"/>
      <c r="L697" s="163"/>
      <c r="M697" s="234"/>
      <c r="N697" s="234"/>
      <c r="O697" s="162"/>
      <c r="P697" s="162"/>
      <c r="Q697" s="235"/>
      <c r="R697" s="235"/>
      <c r="S697" s="235"/>
      <c r="T697" s="236"/>
      <c r="U697" s="237"/>
      <c r="V697" s="237"/>
      <c r="W697" s="237"/>
      <c r="X697" s="234"/>
    </row>
    <row r="698" spans="2:24" ht="14.25" customHeight="1" x14ac:dyDescent="0.25">
      <c r="B698" s="246"/>
      <c r="C698" s="242"/>
      <c r="D698" s="84"/>
      <c r="E698" s="84"/>
      <c r="F698" s="84"/>
      <c r="G698" s="84"/>
      <c r="H698" s="244"/>
      <c r="I698" s="234"/>
      <c r="J698" s="233"/>
      <c r="K698" s="233"/>
      <c r="L698" s="163"/>
      <c r="M698" s="234"/>
      <c r="N698" s="234"/>
      <c r="O698" s="162"/>
      <c r="P698" s="162"/>
      <c r="Q698" s="235"/>
      <c r="R698" s="235"/>
      <c r="S698" s="235"/>
      <c r="T698" s="236"/>
      <c r="U698" s="237"/>
      <c r="V698" s="237"/>
      <c r="W698" s="237"/>
      <c r="X698" s="234"/>
    </row>
    <row r="699" spans="2:24" ht="14.25" customHeight="1" x14ac:dyDescent="0.25">
      <c r="B699" s="246"/>
      <c r="C699" s="242"/>
      <c r="D699" s="84"/>
      <c r="E699" s="84"/>
      <c r="F699" s="84"/>
      <c r="G699" s="84"/>
      <c r="H699" s="244"/>
      <c r="I699" s="234"/>
      <c r="J699" s="233"/>
      <c r="K699" s="233"/>
      <c r="L699" s="163"/>
      <c r="M699" s="234"/>
      <c r="N699" s="234"/>
      <c r="O699" s="162"/>
      <c r="P699" s="162"/>
      <c r="Q699" s="235"/>
      <c r="R699" s="235"/>
      <c r="S699" s="235"/>
      <c r="T699" s="236"/>
      <c r="U699" s="237"/>
      <c r="V699" s="237"/>
      <c r="W699" s="237"/>
      <c r="X699" s="234"/>
    </row>
    <row r="700" spans="2:24" ht="14.25" customHeight="1" x14ac:dyDescent="0.25">
      <c r="B700" s="246"/>
      <c r="C700" s="242"/>
      <c r="D700" s="84"/>
      <c r="E700" s="84"/>
      <c r="F700" s="84"/>
      <c r="G700" s="84"/>
      <c r="H700" s="244"/>
      <c r="I700" s="234"/>
      <c r="J700" s="233"/>
      <c r="K700" s="233"/>
      <c r="L700" s="163"/>
      <c r="M700" s="234"/>
      <c r="N700" s="234"/>
      <c r="O700" s="162"/>
      <c r="P700" s="162"/>
      <c r="Q700" s="235"/>
      <c r="R700" s="235"/>
      <c r="S700" s="235"/>
      <c r="T700" s="236"/>
      <c r="U700" s="237"/>
      <c r="V700" s="237"/>
      <c r="W700" s="237"/>
      <c r="X700" s="234"/>
    </row>
    <row r="701" spans="2:24" ht="14.25" customHeight="1" x14ac:dyDescent="0.25">
      <c r="B701" s="246"/>
      <c r="C701" s="242"/>
      <c r="D701" s="84"/>
      <c r="E701" s="84"/>
      <c r="F701" s="84"/>
      <c r="G701" s="84"/>
      <c r="H701" s="244"/>
      <c r="I701" s="234"/>
      <c r="J701" s="233"/>
      <c r="K701" s="233"/>
      <c r="L701" s="163"/>
      <c r="M701" s="234"/>
      <c r="N701" s="234"/>
      <c r="O701" s="162"/>
      <c r="P701" s="162"/>
      <c r="Q701" s="235"/>
      <c r="R701" s="235"/>
      <c r="S701" s="235"/>
      <c r="T701" s="236"/>
      <c r="U701" s="237"/>
      <c r="V701" s="237"/>
      <c r="W701" s="237"/>
      <c r="X701" s="234"/>
    </row>
    <row r="702" spans="2:24" ht="14.25" customHeight="1" x14ac:dyDescent="0.25">
      <c r="B702" s="246"/>
      <c r="C702" s="242"/>
      <c r="D702" s="84"/>
      <c r="E702" s="84"/>
      <c r="F702" s="84"/>
      <c r="G702" s="84"/>
      <c r="H702" s="244"/>
      <c r="I702" s="234"/>
      <c r="J702" s="233"/>
      <c r="K702" s="233"/>
      <c r="L702" s="163"/>
      <c r="M702" s="234"/>
      <c r="N702" s="234"/>
      <c r="O702" s="162"/>
      <c r="P702" s="162"/>
      <c r="Q702" s="235"/>
      <c r="R702" s="235"/>
      <c r="S702" s="235"/>
      <c r="T702" s="236"/>
      <c r="U702" s="237"/>
      <c r="V702" s="237"/>
      <c r="W702" s="237"/>
      <c r="X702" s="234"/>
    </row>
    <row r="703" spans="2:24" ht="14.25" customHeight="1" x14ac:dyDescent="0.25">
      <c r="B703" s="246"/>
      <c r="C703" s="242"/>
      <c r="D703" s="84"/>
      <c r="E703" s="84"/>
      <c r="F703" s="84"/>
      <c r="G703" s="84"/>
      <c r="H703" s="244"/>
      <c r="I703" s="234"/>
      <c r="J703" s="233"/>
      <c r="K703" s="233"/>
      <c r="L703" s="163"/>
      <c r="M703" s="234"/>
      <c r="N703" s="234"/>
      <c r="O703" s="162"/>
      <c r="P703" s="162"/>
      <c r="Q703" s="235"/>
      <c r="R703" s="235"/>
      <c r="S703" s="235"/>
      <c r="T703" s="236"/>
      <c r="U703" s="237"/>
      <c r="V703" s="237"/>
      <c r="W703" s="237"/>
      <c r="X703" s="234"/>
    </row>
    <row r="704" spans="2:24" ht="14.25" customHeight="1" x14ac:dyDescent="0.25">
      <c r="B704" s="246"/>
      <c r="C704" s="242"/>
      <c r="D704" s="84"/>
      <c r="E704" s="84"/>
      <c r="F704" s="84"/>
      <c r="G704" s="84"/>
      <c r="H704" s="244"/>
      <c r="I704" s="234"/>
      <c r="J704" s="233"/>
      <c r="K704" s="233"/>
      <c r="L704" s="163"/>
      <c r="M704" s="234"/>
      <c r="N704" s="234"/>
      <c r="O704" s="162"/>
      <c r="P704" s="162"/>
      <c r="Q704" s="235"/>
      <c r="R704" s="235"/>
      <c r="S704" s="235"/>
      <c r="T704" s="236"/>
      <c r="U704" s="237"/>
      <c r="V704" s="237"/>
      <c r="W704" s="237"/>
      <c r="X704" s="234"/>
    </row>
    <row r="705" spans="2:24" ht="14.25" customHeight="1" x14ac:dyDescent="0.25">
      <c r="B705" s="246"/>
      <c r="C705" s="242"/>
      <c r="D705" s="84"/>
      <c r="E705" s="84"/>
      <c r="F705" s="84"/>
      <c r="G705" s="84"/>
      <c r="H705" s="244"/>
      <c r="I705" s="234"/>
      <c r="J705" s="233"/>
      <c r="K705" s="233"/>
      <c r="L705" s="163"/>
      <c r="M705" s="234"/>
      <c r="N705" s="234"/>
      <c r="O705" s="162"/>
      <c r="P705" s="162"/>
      <c r="Q705" s="235"/>
      <c r="R705" s="235"/>
      <c r="S705" s="235"/>
      <c r="T705" s="236"/>
      <c r="U705" s="237"/>
      <c r="V705" s="237"/>
      <c r="W705" s="237"/>
      <c r="X705" s="234"/>
    </row>
    <row r="706" spans="2:24" ht="14.25" customHeight="1" x14ac:dyDescent="0.25">
      <c r="B706" s="246"/>
      <c r="C706" s="242"/>
      <c r="D706" s="84"/>
      <c r="E706" s="84"/>
      <c r="F706" s="84"/>
      <c r="G706" s="84"/>
      <c r="H706" s="244"/>
      <c r="I706" s="234"/>
      <c r="J706" s="233"/>
      <c r="K706" s="233"/>
      <c r="L706" s="163"/>
      <c r="M706" s="234"/>
      <c r="N706" s="234"/>
      <c r="O706" s="162"/>
      <c r="P706" s="162"/>
      <c r="Q706" s="235"/>
      <c r="R706" s="235"/>
      <c r="S706" s="235"/>
      <c r="T706" s="236"/>
      <c r="U706" s="237"/>
      <c r="V706" s="237"/>
      <c r="W706" s="237"/>
      <c r="X706" s="234"/>
    </row>
    <row r="707" spans="2:24" ht="14.25" customHeight="1" x14ac:dyDescent="0.25">
      <c r="B707" s="246"/>
      <c r="C707" s="242"/>
      <c r="D707" s="84"/>
      <c r="E707" s="84"/>
      <c r="F707" s="84"/>
      <c r="G707" s="84"/>
      <c r="H707" s="244"/>
      <c r="I707" s="234"/>
      <c r="J707" s="233"/>
      <c r="K707" s="233"/>
      <c r="L707" s="163"/>
      <c r="M707" s="234"/>
      <c r="N707" s="234"/>
      <c r="O707" s="162"/>
      <c r="P707" s="162"/>
      <c r="Q707" s="235"/>
      <c r="R707" s="235"/>
      <c r="S707" s="235"/>
      <c r="T707" s="236"/>
      <c r="U707" s="237"/>
      <c r="V707" s="237"/>
      <c r="W707" s="237"/>
      <c r="X707" s="234"/>
    </row>
    <row r="708" spans="2:24" ht="14.25" customHeight="1" x14ac:dyDescent="0.25">
      <c r="B708" s="246"/>
      <c r="C708" s="242"/>
      <c r="D708" s="84"/>
      <c r="E708" s="84"/>
      <c r="F708" s="84"/>
      <c r="G708" s="84"/>
      <c r="H708" s="244"/>
      <c r="I708" s="234"/>
      <c r="J708" s="233"/>
      <c r="K708" s="233"/>
      <c r="L708" s="163"/>
      <c r="M708" s="234"/>
      <c r="N708" s="234"/>
      <c r="O708" s="162"/>
      <c r="P708" s="162"/>
      <c r="Q708" s="235"/>
      <c r="R708" s="235"/>
      <c r="S708" s="235"/>
      <c r="T708" s="236"/>
      <c r="U708" s="237"/>
      <c r="V708" s="237"/>
      <c r="W708" s="237"/>
      <c r="X708" s="234"/>
    </row>
    <row r="709" spans="2:24" ht="14.25" customHeight="1" x14ac:dyDescent="0.25">
      <c r="B709" s="246"/>
      <c r="C709" s="242"/>
      <c r="D709" s="84"/>
      <c r="E709" s="84"/>
      <c r="F709" s="84"/>
      <c r="G709" s="84"/>
      <c r="H709" s="244"/>
      <c r="I709" s="234"/>
      <c r="J709" s="233"/>
      <c r="K709" s="233"/>
      <c r="L709" s="163"/>
      <c r="M709" s="234"/>
      <c r="N709" s="234"/>
      <c r="O709" s="162"/>
      <c r="P709" s="162"/>
      <c r="Q709" s="235"/>
      <c r="R709" s="235"/>
      <c r="S709" s="235"/>
      <c r="T709" s="236"/>
      <c r="U709" s="237"/>
      <c r="V709" s="237"/>
      <c r="W709" s="237"/>
      <c r="X709" s="234"/>
    </row>
    <row r="710" spans="2:24" ht="14.25" customHeight="1" x14ac:dyDescent="0.25">
      <c r="B710" s="246"/>
      <c r="C710" s="242"/>
      <c r="D710" s="84"/>
      <c r="E710" s="84"/>
      <c r="F710" s="84"/>
      <c r="G710" s="84"/>
      <c r="H710" s="244"/>
      <c r="I710" s="234"/>
      <c r="J710" s="233"/>
      <c r="K710" s="233"/>
      <c r="L710" s="163"/>
      <c r="M710" s="234"/>
      <c r="N710" s="234"/>
      <c r="O710" s="162"/>
      <c r="P710" s="162"/>
      <c r="Q710" s="235"/>
      <c r="R710" s="235"/>
      <c r="S710" s="235"/>
      <c r="T710" s="236"/>
      <c r="U710" s="237"/>
      <c r="V710" s="237"/>
      <c r="W710" s="237"/>
      <c r="X710" s="234"/>
    </row>
    <row r="711" spans="2:24" ht="14.25" customHeight="1" x14ac:dyDescent="0.25">
      <c r="B711" s="246"/>
      <c r="C711" s="242"/>
      <c r="D711" s="84"/>
      <c r="E711" s="84"/>
      <c r="F711" s="84"/>
      <c r="G711" s="84"/>
      <c r="H711" s="244"/>
      <c r="I711" s="234"/>
      <c r="J711" s="233"/>
      <c r="K711" s="233"/>
      <c r="L711" s="163"/>
      <c r="M711" s="234"/>
      <c r="N711" s="234"/>
      <c r="O711" s="162"/>
      <c r="P711" s="162"/>
      <c r="Q711" s="235"/>
      <c r="R711" s="235"/>
      <c r="S711" s="235"/>
      <c r="T711" s="236"/>
      <c r="U711" s="237"/>
      <c r="V711" s="237"/>
      <c r="W711" s="237"/>
      <c r="X711" s="234"/>
    </row>
    <row r="712" spans="2:24" ht="14.25" customHeight="1" x14ac:dyDescent="0.25">
      <c r="B712" s="246"/>
      <c r="C712" s="242"/>
      <c r="D712" s="84"/>
      <c r="E712" s="84"/>
      <c r="F712" s="84"/>
      <c r="G712" s="84"/>
      <c r="H712" s="244"/>
      <c r="I712" s="234"/>
      <c r="J712" s="233"/>
      <c r="K712" s="233"/>
      <c r="L712" s="163"/>
      <c r="M712" s="234"/>
      <c r="N712" s="234"/>
      <c r="O712" s="162"/>
      <c r="P712" s="162"/>
      <c r="Q712" s="235"/>
      <c r="R712" s="235"/>
      <c r="S712" s="235"/>
      <c r="T712" s="236"/>
      <c r="U712" s="237"/>
      <c r="V712" s="237"/>
      <c r="W712" s="237"/>
      <c r="X712" s="234"/>
    </row>
    <row r="713" spans="2:24" ht="14.25" customHeight="1" x14ac:dyDescent="0.25">
      <c r="B713" s="246"/>
      <c r="C713" s="242"/>
      <c r="D713" s="84"/>
      <c r="E713" s="84"/>
      <c r="F713" s="84"/>
      <c r="G713" s="84"/>
      <c r="H713" s="244"/>
      <c r="I713" s="234"/>
      <c r="J713" s="233"/>
      <c r="K713" s="233"/>
      <c r="L713" s="163"/>
      <c r="M713" s="234"/>
      <c r="N713" s="234"/>
      <c r="O713" s="162"/>
      <c r="P713" s="162"/>
      <c r="Q713" s="235"/>
      <c r="R713" s="235"/>
      <c r="S713" s="235"/>
      <c r="T713" s="236"/>
      <c r="U713" s="237"/>
      <c r="V713" s="237"/>
      <c r="W713" s="237"/>
      <c r="X713" s="234"/>
    </row>
    <row r="714" spans="2:24" ht="14.25" customHeight="1" x14ac:dyDescent="0.25">
      <c r="B714" s="246"/>
      <c r="C714" s="242"/>
      <c r="D714" s="84"/>
      <c r="E714" s="84"/>
      <c r="F714" s="84"/>
      <c r="G714" s="84"/>
      <c r="H714" s="244"/>
      <c r="I714" s="234"/>
      <c r="J714" s="233"/>
      <c r="K714" s="233"/>
      <c r="L714" s="163"/>
      <c r="M714" s="234"/>
      <c r="N714" s="234"/>
      <c r="O714" s="162"/>
      <c r="P714" s="162"/>
      <c r="Q714" s="235"/>
      <c r="R714" s="235"/>
      <c r="S714" s="235"/>
      <c r="T714" s="236"/>
      <c r="U714" s="237"/>
      <c r="V714" s="237"/>
      <c r="W714" s="237"/>
      <c r="X714" s="234"/>
    </row>
    <row r="715" spans="2:24" ht="14.25" customHeight="1" x14ac:dyDescent="0.25">
      <c r="B715" s="246"/>
      <c r="C715" s="242"/>
      <c r="D715" s="84"/>
      <c r="E715" s="84"/>
      <c r="F715" s="84"/>
      <c r="G715" s="84"/>
      <c r="H715" s="244"/>
      <c r="I715" s="234"/>
      <c r="J715" s="233"/>
      <c r="K715" s="233"/>
      <c r="L715" s="163"/>
      <c r="M715" s="234"/>
      <c r="N715" s="234"/>
      <c r="O715" s="162"/>
      <c r="P715" s="162"/>
      <c r="Q715" s="235"/>
      <c r="R715" s="235"/>
      <c r="S715" s="235"/>
      <c r="T715" s="236"/>
      <c r="U715" s="237"/>
      <c r="V715" s="237"/>
      <c r="W715" s="237"/>
      <c r="X715" s="234"/>
    </row>
    <row r="716" spans="2:24" ht="14.25" customHeight="1" x14ac:dyDescent="0.25">
      <c r="B716" s="246"/>
      <c r="C716" s="242"/>
      <c r="D716" s="84"/>
      <c r="E716" s="84"/>
      <c r="F716" s="84"/>
      <c r="G716" s="84"/>
      <c r="H716" s="244"/>
      <c r="I716" s="234"/>
      <c r="J716" s="233"/>
      <c r="K716" s="233"/>
      <c r="L716" s="163"/>
      <c r="M716" s="234"/>
      <c r="N716" s="234"/>
      <c r="O716" s="162"/>
      <c r="P716" s="162"/>
      <c r="Q716" s="235"/>
      <c r="R716" s="235"/>
      <c r="S716" s="235"/>
      <c r="T716" s="236"/>
      <c r="U716" s="237"/>
      <c r="V716" s="237"/>
      <c r="W716" s="237"/>
      <c r="X716" s="234"/>
    </row>
    <row r="717" spans="2:24" ht="14.25" customHeight="1" x14ac:dyDescent="0.25">
      <c r="B717" s="246"/>
      <c r="C717" s="242"/>
      <c r="D717" s="84"/>
      <c r="E717" s="84"/>
      <c r="F717" s="84"/>
      <c r="G717" s="84"/>
      <c r="H717" s="244"/>
      <c r="I717" s="234"/>
      <c r="J717" s="233"/>
      <c r="K717" s="233"/>
      <c r="L717" s="163"/>
      <c r="M717" s="234"/>
      <c r="N717" s="234"/>
      <c r="O717" s="162"/>
      <c r="P717" s="162"/>
      <c r="Q717" s="235"/>
      <c r="R717" s="235"/>
      <c r="S717" s="235"/>
      <c r="T717" s="236"/>
      <c r="U717" s="237"/>
      <c r="V717" s="237"/>
      <c r="W717" s="237"/>
      <c r="X717" s="234"/>
    </row>
    <row r="718" spans="2:24" ht="14.25" customHeight="1" x14ac:dyDescent="0.25">
      <c r="B718" s="246"/>
      <c r="C718" s="242"/>
      <c r="D718" s="84"/>
      <c r="E718" s="84"/>
      <c r="F718" s="84"/>
      <c r="G718" s="84"/>
      <c r="H718" s="244"/>
      <c r="I718" s="234"/>
      <c r="J718" s="233"/>
      <c r="K718" s="233"/>
      <c r="L718" s="163"/>
      <c r="M718" s="234"/>
      <c r="N718" s="234"/>
      <c r="O718" s="162"/>
      <c r="P718" s="162"/>
      <c r="Q718" s="235"/>
      <c r="R718" s="235"/>
      <c r="S718" s="235"/>
      <c r="T718" s="236"/>
      <c r="U718" s="237"/>
      <c r="V718" s="237"/>
      <c r="W718" s="237"/>
      <c r="X718" s="234"/>
    </row>
    <row r="719" spans="2:24" ht="14.25" customHeight="1" x14ac:dyDescent="0.25">
      <c r="B719" s="246"/>
      <c r="C719" s="242"/>
      <c r="D719" s="84"/>
      <c r="E719" s="84"/>
      <c r="F719" s="84"/>
      <c r="G719" s="84"/>
      <c r="H719" s="244"/>
      <c r="I719" s="234"/>
      <c r="J719" s="233"/>
      <c r="K719" s="233"/>
      <c r="L719" s="163"/>
      <c r="M719" s="234"/>
      <c r="N719" s="234"/>
      <c r="O719" s="162"/>
      <c r="P719" s="162"/>
      <c r="Q719" s="235"/>
      <c r="R719" s="235"/>
      <c r="S719" s="235"/>
      <c r="T719" s="236"/>
      <c r="U719" s="237"/>
      <c r="V719" s="237"/>
      <c r="W719" s="237"/>
      <c r="X719" s="234"/>
    </row>
    <row r="720" spans="2:24" ht="14.25" customHeight="1" x14ac:dyDescent="0.25">
      <c r="B720" s="246"/>
      <c r="C720" s="242"/>
      <c r="D720" s="84"/>
      <c r="E720" s="84"/>
      <c r="F720" s="84"/>
      <c r="G720" s="84"/>
      <c r="H720" s="244"/>
      <c r="I720" s="234"/>
      <c r="J720" s="233"/>
      <c r="K720" s="233"/>
      <c r="L720" s="163"/>
      <c r="M720" s="234"/>
      <c r="N720" s="234"/>
      <c r="O720" s="162"/>
      <c r="P720" s="162"/>
      <c r="Q720" s="235"/>
      <c r="R720" s="235"/>
      <c r="S720" s="235"/>
      <c r="T720" s="236"/>
      <c r="U720" s="237"/>
      <c r="V720" s="237"/>
      <c r="W720" s="237"/>
      <c r="X720" s="234"/>
    </row>
    <row r="721" spans="2:24" ht="14.25" customHeight="1" x14ac:dyDescent="0.25">
      <c r="B721" s="246"/>
      <c r="C721" s="242"/>
      <c r="D721" s="84"/>
      <c r="E721" s="84"/>
      <c r="F721" s="84"/>
      <c r="G721" s="84"/>
      <c r="H721" s="244"/>
      <c r="I721" s="234"/>
      <c r="J721" s="233"/>
      <c r="K721" s="233"/>
      <c r="L721" s="163"/>
      <c r="M721" s="234"/>
      <c r="N721" s="234"/>
      <c r="O721" s="162"/>
      <c r="P721" s="162"/>
      <c r="Q721" s="235"/>
      <c r="R721" s="235"/>
      <c r="S721" s="235"/>
      <c r="T721" s="236"/>
      <c r="U721" s="237"/>
      <c r="V721" s="237"/>
      <c r="W721" s="237"/>
      <c r="X721" s="234"/>
    </row>
    <row r="722" spans="2:24" ht="14.25" customHeight="1" x14ac:dyDescent="0.25">
      <c r="B722" s="246"/>
      <c r="C722" s="242"/>
      <c r="D722" s="84"/>
      <c r="E722" s="84"/>
      <c r="F722" s="84"/>
      <c r="G722" s="84"/>
      <c r="H722" s="244"/>
      <c r="I722" s="234"/>
      <c r="J722" s="233"/>
      <c r="K722" s="233"/>
      <c r="L722" s="163"/>
      <c r="M722" s="234"/>
      <c r="N722" s="234"/>
      <c r="O722" s="162"/>
      <c r="P722" s="162"/>
      <c r="Q722" s="235"/>
      <c r="R722" s="235"/>
      <c r="S722" s="235"/>
      <c r="T722" s="236"/>
      <c r="U722" s="237"/>
      <c r="V722" s="237"/>
      <c r="W722" s="237"/>
      <c r="X722" s="234"/>
    </row>
    <row r="723" spans="2:24" ht="14.25" customHeight="1" x14ac:dyDescent="0.25">
      <c r="B723" s="246"/>
      <c r="C723" s="242"/>
      <c r="D723" s="84"/>
      <c r="E723" s="84"/>
      <c r="F723" s="84"/>
      <c r="G723" s="84"/>
      <c r="H723" s="244"/>
      <c r="I723" s="234"/>
      <c r="J723" s="233"/>
      <c r="K723" s="233"/>
      <c r="L723" s="163"/>
      <c r="M723" s="234"/>
      <c r="N723" s="234"/>
      <c r="O723" s="162"/>
      <c r="P723" s="162"/>
      <c r="Q723" s="235"/>
      <c r="R723" s="235"/>
      <c r="S723" s="235"/>
      <c r="T723" s="236"/>
      <c r="U723" s="237"/>
      <c r="V723" s="237"/>
      <c r="W723" s="237"/>
      <c r="X723" s="234"/>
    </row>
    <row r="724" spans="2:24" ht="14.25" customHeight="1" x14ac:dyDescent="0.25">
      <c r="B724" s="246"/>
      <c r="C724" s="242"/>
      <c r="D724" s="84"/>
      <c r="E724" s="84"/>
      <c r="F724" s="84"/>
      <c r="G724" s="84"/>
      <c r="H724" s="244"/>
      <c r="I724" s="234"/>
      <c r="J724" s="233"/>
      <c r="K724" s="233"/>
      <c r="L724" s="163"/>
      <c r="M724" s="234"/>
      <c r="N724" s="234"/>
      <c r="O724" s="162"/>
      <c r="P724" s="162"/>
      <c r="Q724" s="235"/>
      <c r="R724" s="235"/>
      <c r="S724" s="235"/>
      <c r="T724" s="236"/>
      <c r="U724" s="237"/>
      <c r="V724" s="237"/>
      <c r="W724" s="237"/>
      <c r="X724" s="234"/>
    </row>
    <row r="725" spans="2:24" ht="14.25" customHeight="1" x14ac:dyDescent="0.25">
      <c r="B725" s="246"/>
      <c r="C725" s="242"/>
      <c r="D725" s="84"/>
      <c r="E725" s="84"/>
      <c r="F725" s="84"/>
      <c r="G725" s="84"/>
      <c r="H725" s="244"/>
      <c r="I725" s="234"/>
      <c r="J725" s="233"/>
      <c r="K725" s="233"/>
      <c r="L725" s="163"/>
      <c r="M725" s="234"/>
      <c r="N725" s="234"/>
      <c r="O725" s="162"/>
      <c r="P725" s="162"/>
      <c r="Q725" s="235"/>
      <c r="R725" s="235"/>
      <c r="S725" s="235"/>
      <c r="T725" s="236"/>
      <c r="U725" s="237"/>
      <c r="V725" s="237"/>
      <c r="W725" s="237"/>
      <c r="X725" s="234"/>
    </row>
    <row r="726" spans="2:24" ht="14.25" customHeight="1" x14ac:dyDescent="0.25">
      <c r="B726" s="246"/>
      <c r="C726" s="242"/>
      <c r="D726" s="84"/>
      <c r="E726" s="84"/>
      <c r="F726" s="84"/>
      <c r="G726" s="84"/>
      <c r="H726" s="244"/>
      <c r="I726" s="234"/>
      <c r="J726" s="233"/>
      <c r="K726" s="233"/>
      <c r="L726" s="163"/>
      <c r="M726" s="234"/>
      <c r="N726" s="234"/>
      <c r="O726" s="162"/>
      <c r="P726" s="162"/>
      <c r="Q726" s="235"/>
      <c r="R726" s="235"/>
      <c r="S726" s="235"/>
      <c r="T726" s="236"/>
      <c r="U726" s="237"/>
      <c r="V726" s="237"/>
      <c r="W726" s="237"/>
      <c r="X726" s="234"/>
    </row>
    <row r="727" spans="2:24" ht="14.25" customHeight="1" x14ac:dyDescent="0.25">
      <c r="B727" s="246"/>
      <c r="C727" s="242"/>
      <c r="D727" s="84"/>
      <c r="E727" s="84"/>
      <c r="F727" s="84"/>
      <c r="G727" s="84"/>
      <c r="H727" s="244"/>
      <c r="I727" s="234"/>
      <c r="J727" s="233"/>
      <c r="K727" s="233"/>
      <c r="L727" s="163"/>
      <c r="M727" s="234"/>
      <c r="N727" s="234"/>
      <c r="O727" s="162"/>
      <c r="P727" s="162"/>
      <c r="Q727" s="235"/>
      <c r="R727" s="235"/>
      <c r="S727" s="235"/>
      <c r="T727" s="236"/>
      <c r="U727" s="237"/>
      <c r="V727" s="237"/>
      <c r="W727" s="237"/>
      <c r="X727" s="234"/>
    </row>
    <row r="728" spans="2:24" ht="14.25" customHeight="1" x14ac:dyDescent="0.25">
      <c r="B728" s="246"/>
      <c r="C728" s="242"/>
      <c r="D728" s="84"/>
      <c r="E728" s="84"/>
      <c r="F728" s="84"/>
      <c r="G728" s="84"/>
      <c r="H728" s="244"/>
      <c r="I728" s="234"/>
      <c r="J728" s="233"/>
      <c r="K728" s="233"/>
      <c r="L728" s="163"/>
      <c r="M728" s="234"/>
      <c r="N728" s="234"/>
      <c r="O728" s="162"/>
      <c r="P728" s="162"/>
      <c r="Q728" s="235"/>
      <c r="R728" s="235"/>
      <c r="S728" s="235"/>
      <c r="T728" s="236"/>
      <c r="U728" s="237"/>
      <c r="V728" s="237"/>
      <c r="W728" s="237"/>
      <c r="X728" s="234"/>
    </row>
    <row r="729" spans="2:24" ht="14.25" customHeight="1" x14ac:dyDescent="0.25">
      <c r="B729" s="246"/>
      <c r="C729" s="242"/>
      <c r="D729" s="84"/>
      <c r="E729" s="84"/>
      <c r="F729" s="84"/>
      <c r="G729" s="84"/>
      <c r="H729" s="244"/>
      <c r="I729" s="234"/>
      <c r="J729" s="233"/>
      <c r="K729" s="233"/>
      <c r="L729" s="163"/>
      <c r="M729" s="234"/>
      <c r="N729" s="234"/>
      <c r="O729" s="162"/>
      <c r="P729" s="162"/>
      <c r="Q729" s="235"/>
      <c r="R729" s="235"/>
      <c r="S729" s="235"/>
      <c r="T729" s="236"/>
      <c r="U729" s="237"/>
      <c r="V729" s="237"/>
      <c r="W729" s="237"/>
      <c r="X729" s="234"/>
    </row>
    <row r="730" spans="2:24" ht="14.25" customHeight="1" x14ac:dyDescent="0.25">
      <c r="B730" s="246"/>
      <c r="C730" s="242"/>
      <c r="D730" s="84"/>
      <c r="E730" s="84"/>
      <c r="F730" s="84"/>
      <c r="G730" s="84"/>
      <c r="H730" s="244"/>
      <c r="I730" s="234"/>
      <c r="J730" s="233"/>
      <c r="K730" s="233"/>
      <c r="L730" s="163"/>
      <c r="M730" s="234"/>
      <c r="N730" s="234"/>
      <c r="O730" s="162"/>
      <c r="P730" s="162"/>
      <c r="Q730" s="235"/>
      <c r="R730" s="235"/>
      <c r="S730" s="235"/>
      <c r="T730" s="236"/>
      <c r="U730" s="237"/>
      <c r="V730" s="237"/>
      <c r="W730" s="237"/>
      <c r="X730" s="234"/>
    </row>
    <row r="731" spans="2:24" ht="14.25" customHeight="1" x14ac:dyDescent="0.25">
      <c r="B731" s="246"/>
      <c r="C731" s="242"/>
      <c r="D731" s="84"/>
      <c r="E731" s="84"/>
      <c r="F731" s="84"/>
      <c r="G731" s="84"/>
      <c r="H731" s="244"/>
      <c r="I731" s="234"/>
      <c r="J731" s="233"/>
      <c r="K731" s="233"/>
      <c r="L731" s="163"/>
      <c r="M731" s="234"/>
      <c r="N731" s="234"/>
      <c r="O731" s="162"/>
      <c r="P731" s="162"/>
      <c r="Q731" s="235"/>
      <c r="R731" s="235"/>
      <c r="S731" s="235"/>
      <c r="T731" s="236"/>
      <c r="U731" s="237"/>
      <c r="V731" s="237"/>
      <c r="W731" s="237"/>
      <c r="X731" s="234"/>
    </row>
    <row r="732" spans="2:24" ht="14.25" customHeight="1" x14ac:dyDescent="0.25">
      <c r="B732" s="246"/>
      <c r="C732" s="242"/>
      <c r="D732" s="84"/>
      <c r="E732" s="84"/>
      <c r="F732" s="84"/>
      <c r="G732" s="84"/>
      <c r="H732" s="244"/>
      <c r="I732" s="234"/>
      <c r="J732" s="233"/>
      <c r="K732" s="233"/>
      <c r="L732" s="163"/>
      <c r="M732" s="234"/>
      <c r="N732" s="234"/>
      <c r="O732" s="162"/>
      <c r="P732" s="162"/>
      <c r="Q732" s="235"/>
      <c r="R732" s="235"/>
      <c r="S732" s="235"/>
      <c r="T732" s="236"/>
      <c r="U732" s="237"/>
      <c r="V732" s="237"/>
      <c r="W732" s="237"/>
      <c r="X732" s="234"/>
    </row>
    <row r="733" spans="2:24" ht="14.25" customHeight="1" x14ac:dyDescent="0.25">
      <c r="B733" s="246"/>
      <c r="C733" s="242"/>
      <c r="D733" s="84"/>
      <c r="E733" s="84"/>
      <c r="F733" s="84"/>
      <c r="G733" s="84"/>
      <c r="H733" s="244"/>
      <c r="I733" s="234"/>
      <c r="J733" s="233"/>
      <c r="K733" s="233"/>
      <c r="L733" s="163"/>
      <c r="M733" s="234"/>
      <c r="N733" s="234"/>
      <c r="O733" s="162"/>
      <c r="P733" s="162"/>
      <c r="Q733" s="235"/>
      <c r="R733" s="235"/>
      <c r="S733" s="235"/>
      <c r="T733" s="236"/>
      <c r="U733" s="237"/>
      <c r="V733" s="237"/>
      <c r="W733" s="237"/>
      <c r="X733" s="234"/>
    </row>
    <row r="734" spans="2:24" ht="14.25" customHeight="1" x14ac:dyDescent="0.25">
      <c r="B734" s="246"/>
      <c r="C734" s="242"/>
      <c r="D734" s="84"/>
      <c r="E734" s="84"/>
      <c r="F734" s="84"/>
      <c r="G734" s="84"/>
      <c r="H734" s="244"/>
      <c r="I734" s="234"/>
      <c r="J734" s="233"/>
      <c r="K734" s="233"/>
      <c r="L734" s="163"/>
      <c r="M734" s="234"/>
      <c r="N734" s="234"/>
      <c r="O734" s="162"/>
      <c r="P734" s="162"/>
      <c r="Q734" s="235"/>
      <c r="R734" s="235"/>
      <c r="S734" s="235"/>
      <c r="T734" s="236"/>
      <c r="U734" s="237"/>
      <c r="V734" s="237"/>
      <c r="W734" s="237"/>
      <c r="X734" s="234"/>
    </row>
    <row r="735" spans="2:24" ht="14.25" customHeight="1" x14ac:dyDescent="0.25">
      <c r="B735" s="246"/>
      <c r="C735" s="242"/>
      <c r="D735" s="84"/>
      <c r="E735" s="84"/>
      <c r="F735" s="84"/>
      <c r="G735" s="84"/>
      <c r="H735" s="244"/>
      <c r="I735" s="234"/>
      <c r="J735" s="233"/>
      <c r="K735" s="233"/>
      <c r="L735" s="163"/>
      <c r="M735" s="234"/>
      <c r="N735" s="234"/>
      <c r="O735" s="162"/>
      <c r="P735" s="162"/>
      <c r="Q735" s="235"/>
      <c r="R735" s="235"/>
      <c r="S735" s="235"/>
      <c r="T735" s="236"/>
      <c r="U735" s="237"/>
      <c r="V735" s="237"/>
      <c r="W735" s="237"/>
      <c r="X735" s="234"/>
    </row>
    <row r="736" spans="2:24" ht="14.25" customHeight="1" x14ac:dyDescent="0.25">
      <c r="B736" s="246"/>
      <c r="C736" s="242"/>
      <c r="D736" s="84"/>
      <c r="E736" s="84"/>
      <c r="F736" s="84"/>
      <c r="G736" s="84"/>
      <c r="H736" s="244"/>
      <c r="I736" s="234"/>
      <c r="J736" s="233"/>
      <c r="K736" s="233"/>
      <c r="L736" s="163"/>
      <c r="M736" s="234"/>
      <c r="N736" s="234"/>
      <c r="O736" s="162"/>
      <c r="P736" s="162"/>
      <c r="Q736" s="235"/>
      <c r="R736" s="235"/>
      <c r="S736" s="235"/>
      <c r="T736" s="236"/>
      <c r="U736" s="237"/>
      <c r="V736" s="237"/>
      <c r="W736" s="237"/>
      <c r="X736" s="234"/>
    </row>
    <row r="737" spans="2:24" ht="14.25" customHeight="1" x14ac:dyDescent="0.25">
      <c r="B737" s="246"/>
      <c r="C737" s="242"/>
      <c r="D737" s="84"/>
      <c r="E737" s="84"/>
      <c r="F737" s="84"/>
      <c r="G737" s="84"/>
      <c r="H737" s="244"/>
      <c r="I737" s="234"/>
      <c r="J737" s="233"/>
      <c r="K737" s="233"/>
      <c r="L737" s="163"/>
      <c r="M737" s="234"/>
      <c r="N737" s="234"/>
      <c r="O737" s="162"/>
      <c r="P737" s="162"/>
      <c r="Q737" s="235"/>
      <c r="R737" s="235"/>
      <c r="S737" s="235"/>
      <c r="T737" s="236"/>
      <c r="U737" s="237"/>
      <c r="V737" s="237"/>
      <c r="W737" s="237"/>
      <c r="X737" s="234"/>
    </row>
    <row r="738" spans="2:24" ht="14.25" customHeight="1" x14ac:dyDescent="0.25">
      <c r="B738" s="246"/>
      <c r="C738" s="242"/>
      <c r="D738" s="84"/>
      <c r="E738" s="84"/>
      <c r="F738" s="84"/>
      <c r="G738" s="84"/>
      <c r="H738" s="244"/>
      <c r="I738" s="234"/>
      <c r="J738" s="233"/>
      <c r="K738" s="233"/>
      <c r="L738" s="163"/>
      <c r="M738" s="234"/>
      <c r="N738" s="234"/>
      <c r="O738" s="162"/>
      <c r="P738" s="162"/>
      <c r="Q738" s="235"/>
      <c r="R738" s="235"/>
      <c r="S738" s="235"/>
      <c r="T738" s="236"/>
      <c r="U738" s="237"/>
      <c r="V738" s="237"/>
      <c r="W738" s="237"/>
      <c r="X738" s="234"/>
    </row>
    <row r="739" spans="2:24" ht="14.25" customHeight="1" x14ac:dyDescent="0.25">
      <c r="B739" s="246"/>
      <c r="C739" s="242"/>
      <c r="D739" s="84"/>
      <c r="E739" s="84"/>
      <c r="F739" s="84"/>
      <c r="G739" s="84"/>
      <c r="H739" s="244"/>
      <c r="I739" s="234"/>
      <c r="J739" s="233"/>
      <c r="K739" s="233"/>
      <c r="L739" s="163"/>
      <c r="M739" s="234"/>
      <c r="N739" s="234"/>
      <c r="O739" s="162"/>
      <c r="P739" s="162"/>
      <c r="Q739" s="235"/>
      <c r="R739" s="235"/>
      <c r="S739" s="235"/>
      <c r="T739" s="236"/>
      <c r="U739" s="237"/>
      <c r="V739" s="237"/>
      <c r="W739" s="237"/>
      <c r="X739" s="234"/>
    </row>
    <row r="740" spans="2:24" ht="14.25" customHeight="1" x14ac:dyDescent="0.25">
      <c r="B740" s="246"/>
      <c r="C740" s="242"/>
      <c r="D740" s="84"/>
      <c r="E740" s="84"/>
      <c r="F740" s="84"/>
      <c r="G740" s="84"/>
      <c r="H740" s="244"/>
      <c r="I740" s="234"/>
      <c r="J740" s="233"/>
      <c r="K740" s="233"/>
      <c r="L740" s="163"/>
      <c r="M740" s="234"/>
      <c r="N740" s="234"/>
      <c r="O740" s="162"/>
      <c r="P740" s="162"/>
      <c r="Q740" s="235"/>
      <c r="R740" s="235"/>
      <c r="S740" s="235"/>
      <c r="T740" s="236"/>
      <c r="U740" s="237"/>
      <c r="V740" s="237"/>
      <c r="W740" s="237"/>
      <c r="X740" s="234"/>
    </row>
    <row r="741" spans="2:24" ht="14.25" customHeight="1" x14ac:dyDescent="0.25">
      <c r="B741" s="246"/>
      <c r="C741" s="242"/>
      <c r="D741" s="84"/>
      <c r="E741" s="84"/>
      <c r="F741" s="84"/>
      <c r="G741" s="84"/>
      <c r="H741" s="244"/>
      <c r="I741" s="234"/>
      <c r="J741" s="233"/>
      <c r="K741" s="233"/>
      <c r="L741" s="163"/>
      <c r="M741" s="234"/>
      <c r="N741" s="234"/>
      <c r="O741" s="162"/>
      <c r="P741" s="162"/>
      <c r="Q741" s="235"/>
      <c r="R741" s="235"/>
      <c r="S741" s="235"/>
      <c r="T741" s="236"/>
      <c r="U741" s="237"/>
      <c r="V741" s="237"/>
      <c r="W741" s="237"/>
      <c r="X741" s="234"/>
    </row>
    <row r="742" spans="2:24" ht="14.25" customHeight="1" x14ac:dyDescent="0.25">
      <c r="B742" s="246"/>
      <c r="C742" s="242"/>
      <c r="D742" s="84"/>
      <c r="E742" s="84"/>
      <c r="F742" s="84"/>
      <c r="G742" s="84"/>
      <c r="H742" s="244"/>
      <c r="I742" s="234"/>
      <c r="J742" s="233"/>
      <c r="K742" s="233"/>
      <c r="L742" s="163"/>
      <c r="M742" s="234"/>
      <c r="N742" s="234"/>
      <c r="O742" s="162"/>
      <c r="P742" s="162"/>
      <c r="Q742" s="235"/>
      <c r="R742" s="235"/>
      <c r="S742" s="235"/>
      <c r="T742" s="236"/>
      <c r="U742" s="237"/>
      <c r="V742" s="237"/>
      <c r="W742" s="237"/>
      <c r="X742" s="234"/>
    </row>
    <row r="743" spans="2:24" ht="14.25" customHeight="1" x14ac:dyDescent="0.25">
      <c r="B743" s="246"/>
      <c r="C743" s="242"/>
      <c r="D743" s="84"/>
      <c r="E743" s="84"/>
      <c r="F743" s="84"/>
      <c r="G743" s="84"/>
      <c r="H743" s="244"/>
      <c r="I743" s="234"/>
      <c r="J743" s="233"/>
      <c r="K743" s="233"/>
      <c r="L743" s="163"/>
      <c r="M743" s="234"/>
      <c r="N743" s="234"/>
      <c r="O743" s="162"/>
      <c r="P743" s="162"/>
      <c r="Q743" s="235"/>
      <c r="R743" s="235"/>
      <c r="S743" s="235"/>
      <c r="T743" s="236"/>
      <c r="U743" s="237"/>
      <c r="V743" s="237"/>
      <c r="W743" s="237"/>
      <c r="X743" s="234"/>
    </row>
    <row r="744" spans="2:24" ht="14.25" customHeight="1" x14ac:dyDescent="0.25">
      <c r="B744" s="246"/>
      <c r="C744" s="242"/>
      <c r="D744" s="84"/>
      <c r="E744" s="84"/>
      <c r="F744" s="84"/>
      <c r="G744" s="84"/>
      <c r="H744" s="244"/>
      <c r="I744" s="234"/>
      <c r="J744" s="233"/>
      <c r="K744" s="233"/>
      <c r="L744" s="163"/>
      <c r="M744" s="234"/>
      <c r="N744" s="234"/>
      <c r="O744" s="162"/>
      <c r="P744" s="162"/>
      <c r="Q744" s="235"/>
      <c r="R744" s="235"/>
      <c r="S744" s="235"/>
      <c r="T744" s="236"/>
      <c r="U744" s="237"/>
      <c r="V744" s="237"/>
      <c r="W744" s="237"/>
      <c r="X744" s="234"/>
    </row>
    <row r="745" spans="2:24" ht="14.25" customHeight="1" x14ac:dyDescent="0.25">
      <c r="B745" s="246"/>
      <c r="C745" s="242"/>
      <c r="D745" s="84"/>
      <c r="E745" s="84"/>
      <c r="F745" s="84"/>
      <c r="G745" s="84"/>
      <c r="H745" s="244"/>
      <c r="I745" s="234"/>
      <c r="J745" s="233"/>
      <c r="K745" s="233"/>
      <c r="L745" s="163"/>
      <c r="M745" s="234"/>
      <c r="N745" s="234"/>
      <c r="O745" s="162"/>
      <c r="P745" s="162"/>
      <c r="Q745" s="235"/>
      <c r="R745" s="235"/>
      <c r="S745" s="235"/>
      <c r="T745" s="236"/>
      <c r="U745" s="237"/>
      <c r="V745" s="237"/>
      <c r="W745" s="237"/>
      <c r="X745" s="234"/>
    </row>
    <row r="746" spans="2:24" ht="14.25" customHeight="1" x14ac:dyDescent="0.25">
      <c r="B746" s="246"/>
      <c r="C746" s="242"/>
      <c r="D746" s="84"/>
      <c r="E746" s="84"/>
      <c r="F746" s="84"/>
      <c r="G746" s="84"/>
      <c r="H746" s="244"/>
      <c r="I746" s="234"/>
      <c r="J746" s="233"/>
      <c r="K746" s="233"/>
      <c r="L746" s="163"/>
      <c r="M746" s="234"/>
      <c r="N746" s="234"/>
      <c r="O746" s="162"/>
      <c r="P746" s="162"/>
      <c r="Q746" s="235"/>
      <c r="R746" s="235"/>
      <c r="S746" s="235"/>
      <c r="T746" s="236"/>
      <c r="U746" s="237"/>
      <c r="V746" s="237"/>
      <c r="W746" s="237"/>
      <c r="X746" s="234"/>
    </row>
    <row r="747" spans="2:24" ht="14.25" customHeight="1" x14ac:dyDescent="0.25">
      <c r="B747" s="246"/>
      <c r="C747" s="242"/>
      <c r="D747" s="84"/>
      <c r="E747" s="84"/>
      <c r="F747" s="84"/>
      <c r="G747" s="84"/>
      <c r="H747" s="244"/>
      <c r="I747" s="234"/>
      <c r="J747" s="233"/>
      <c r="K747" s="233"/>
      <c r="L747" s="163"/>
      <c r="M747" s="234"/>
      <c r="N747" s="234"/>
      <c r="O747" s="162"/>
      <c r="P747" s="162"/>
      <c r="Q747" s="235"/>
      <c r="R747" s="235"/>
      <c r="S747" s="235"/>
      <c r="T747" s="236"/>
      <c r="U747" s="237"/>
      <c r="V747" s="237"/>
      <c r="W747" s="237"/>
      <c r="X747" s="234"/>
    </row>
    <row r="748" spans="2:24" ht="14.25" customHeight="1" x14ac:dyDescent="0.25">
      <c r="B748" s="246"/>
      <c r="C748" s="242"/>
      <c r="D748" s="84"/>
      <c r="E748" s="84"/>
      <c r="F748" s="84"/>
      <c r="G748" s="84"/>
      <c r="H748" s="244"/>
      <c r="I748" s="234"/>
      <c r="J748" s="233"/>
      <c r="K748" s="233"/>
      <c r="L748" s="163"/>
      <c r="M748" s="234"/>
      <c r="N748" s="234"/>
      <c r="O748" s="162"/>
      <c r="P748" s="162"/>
      <c r="Q748" s="235"/>
      <c r="R748" s="235"/>
      <c r="S748" s="235"/>
      <c r="T748" s="236"/>
      <c r="U748" s="237"/>
      <c r="V748" s="237"/>
      <c r="W748" s="237"/>
      <c r="X748" s="234"/>
    </row>
    <row r="749" spans="2:24" ht="14.25" customHeight="1" x14ac:dyDescent="0.25">
      <c r="B749" s="246"/>
      <c r="C749" s="242"/>
      <c r="D749" s="84"/>
      <c r="E749" s="84"/>
      <c r="F749" s="84"/>
      <c r="G749" s="84"/>
      <c r="H749" s="244"/>
      <c r="I749" s="234"/>
      <c r="J749" s="233"/>
      <c r="K749" s="233"/>
      <c r="L749" s="163"/>
      <c r="M749" s="234"/>
      <c r="N749" s="234"/>
      <c r="O749" s="162"/>
      <c r="P749" s="162"/>
      <c r="Q749" s="235"/>
      <c r="R749" s="235"/>
      <c r="S749" s="235"/>
      <c r="T749" s="236"/>
      <c r="U749" s="237"/>
      <c r="V749" s="237"/>
      <c r="W749" s="237"/>
      <c r="X749" s="234"/>
    </row>
    <row r="750" spans="2:24" ht="14.25" customHeight="1" x14ac:dyDescent="0.25">
      <c r="B750" s="246"/>
      <c r="C750" s="242"/>
      <c r="D750" s="84"/>
      <c r="E750" s="84"/>
      <c r="F750" s="84"/>
      <c r="G750" s="84"/>
      <c r="H750" s="244"/>
      <c r="I750" s="234"/>
      <c r="J750" s="233"/>
      <c r="K750" s="233"/>
      <c r="L750" s="163"/>
      <c r="M750" s="234"/>
      <c r="N750" s="234"/>
      <c r="O750" s="162"/>
      <c r="P750" s="162"/>
      <c r="Q750" s="235"/>
      <c r="R750" s="235"/>
      <c r="S750" s="235"/>
      <c r="T750" s="236"/>
      <c r="U750" s="237"/>
      <c r="V750" s="237"/>
      <c r="W750" s="237"/>
      <c r="X750" s="234"/>
    </row>
    <row r="751" spans="2:24" ht="14.25" customHeight="1" x14ac:dyDescent="0.25">
      <c r="B751" s="246"/>
      <c r="C751" s="242"/>
      <c r="D751" s="84"/>
      <c r="E751" s="84"/>
      <c r="F751" s="84"/>
      <c r="G751" s="84"/>
      <c r="H751" s="244"/>
      <c r="I751" s="234"/>
      <c r="J751" s="233"/>
      <c r="K751" s="233"/>
      <c r="L751" s="163"/>
      <c r="M751" s="234"/>
      <c r="N751" s="234"/>
      <c r="O751" s="162"/>
      <c r="P751" s="162"/>
      <c r="Q751" s="235"/>
      <c r="R751" s="235"/>
      <c r="S751" s="235"/>
      <c r="T751" s="236"/>
      <c r="U751" s="237"/>
      <c r="V751" s="237"/>
      <c r="W751" s="237"/>
      <c r="X751" s="234"/>
    </row>
    <row r="752" spans="2:24" ht="14.25" customHeight="1" x14ac:dyDescent="0.25">
      <c r="B752" s="246"/>
      <c r="C752" s="242"/>
      <c r="D752" s="84"/>
      <c r="E752" s="84"/>
      <c r="F752" s="84"/>
      <c r="G752" s="84"/>
      <c r="H752" s="244"/>
      <c r="I752" s="234"/>
      <c r="J752" s="233"/>
      <c r="K752" s="233"/>
      <c r="L752" s="163"/>
      <c r="M752" s="234"/>
      <c r="N752" s="234"/>
      <c r="O752" s="162"/>
      <c r="P752" s="162"/>
      <c r="Q752" s="235"/>
      <c r="R752" s="235"/>
      <c r="S752" s="235"/>
      <c r="T752" s="236"/>
      <c r="U752" s="237"/>
      <c r="V752" s="237"/>
      <c r="W752" s="237"/>
      <c r="X752" s="234"/>
    </row>
    <row r="753" spans="2:24" ht="14.25" customHeight="1" x14ac:dyDescent="0.25">
      <c r="B753" s="246"/>
      <c r="C753" s="242"/>
      <c r="D753" s="84"/>
      <c r="E753" s="84"/>
      <c r="F753" s="84"/>
      <c r="G753" s="84"/>
      <c r="H753" s="244"/>
      <c r="I753" s="234"/>
      <c r="J753" s="233"/>
      <c r="K753" s="233"/>
      <c r="L753" s="163"/>
      <c r="M753" s="234"/>
      <c r="N753" s="234"/>
      <c r="O753" s="162"/>
      <c r="P753" s="162"/>
      <c r="Q753" s="235"/>
      <c r="R753" s="235"/>
      <c r="S753" s="235"/>
      <c r="T753" s="236"/>
      <c r="U753" s="237"/>
      <c r="V753" s="237"/>
      <c r="W753" s="237"/>
      <c r="X753" s="234"/>
    </row>
    <row r="754" spans="2:24" ht="14.25" customHeight="1" x14ac:dyDescent="0.25">
      <c r="B754" s="246"/>
      <c r="C754" s="242"/>
      <c r="D754" s="84"/>
      <c r="E754" s="84"/>
      <c r="F754" s="84"/>
      <c r="G754" s="84"/>
      <c r="H754" s="244"/>
      <c r="I754" s="234"/>
      <c r="J754" s="233"/>
      <c r="K754" s="233"/>
      <c r="L754" s="163"/>
      <c r="M754" s="234"/>
      <c r="N754" s="234"/>
      <c r="O754" s="162"/>
      <c r="P754" s="162"/>
      <c r="Q754" s="235"/>
      <c r="R754" s="235"/>
      <c r="S754" s="235"/>
      <c r="T754" s="236"/>
      <c r="U754" s="237"/>
      <c r="V754" s="237"/>
      <c r="W754" s="237"/>
      <c r="X754" s="234"/>
    </row>
    <row r="755" spans="2:24" ht="14.25" customHeight="1" x14ac:dyDescent="0.25">
      <c r="B755" s="246"/>
      <c r="C755" s="242"/>
      <c r="D755" s="84"/>
      <c r="E755" s="84"/>
      <c r="F755" s="84"/>
      <c r="G755" s="84"/>
      <c r="H755" s="244"/>
      <c r="I755" s="234"/>
      <c r="J755" s="233"/>
      <c r="K755" s="233"/>
      <c r="L755" s="163"/>
      <c r="M755" s="234"/>
      <c r="N755" s="234"/>
      <c r="O755" s="162"/>
      <c r="P755" s="162"/>
      <c r="Q755" s="235"/>
      <c r="R755" s="235"/>
      <c r="S755" s="235"/>
      <c r="T755" s="236"/>
      <c r="U755" s="237"/>
      <c r="V755" s="237"/>
      <c r="W755" s="237"/>
      <c r="X755" s="234"/>
    </row>
    <row r="756" spans="2:24" ht="14.25" customHeight="1" x14ac:dyDescent="0.25">
      <c r="B756" s="246"/>
      <c r="C756" s="242"/>
      <c r="D756" s="84"/>
      <c r="E756" s="84"/>
      <c r="F756" s="84"/>
      <c r="G756" s="84"/>
      <c r="H756" s="244"/>
      <c r="I756" s="234"/>
      <c r="J756" s="233"/>
      <c r="K756" s="233"/>
      <c r="L756" s="163"/>
      <c r="M756" s="234"/>
      <c r="N756" s="234"/>
      <c r="O756" s="162"/>
      <c r="P756" s="162"/>
      <c r="Q756" s="235"/>
      <c r="R756" s="235"/>
      <c r="S756" s="235"/>
      <c r="T756" s="236"/>
      <c r="U756" s="237"/>
      <c r="V756" s="237"/>
      <c r="W756" s="237"/>
      <c r="X756" s="234"/>
    </row>
    <row r="757" spans="2:24" ht="14.25" customHeight="1" x14ac:dyDescent="0.25">
      <c r="B757" s="246"/>
      <c r="C757" s="242"/>
      <c r="D757" s="84"/>
      <c r="E757" s="84"/>
      <c r="F757" s="84"/>
      <c r="G757" s="84"/>
      <c r="H757" s="244"/>
      <c r="I757" s="234"/>
      <c r="J757" s="233"/>
      <c r="K757" s="233"/>
      <c r="L757" s="163"/>
      <c r="M757" s="234"/>
      <c r="N757" s="234"/>
      <c r="O757" s="162"/>
      <c r="P757" s="162"/>
      <c r="Q757" s="235"/>
      <c r="R757" s="235"/>
      <c r="S757" s="235"/>
      <c r="T757" s="236"/>
      <c r="U757" s="237"/>
      <c r="V757" s="237"/>
      <c r="W757" s="237"/>
      <c r="X757" s="234"/>
    </row>
    <row r="758" spans="2:24" ht="14.25" customHeight="1" x14ac:dyDescent="0.25">
      <c r="B758" s="246"/>
      <c r="C758" s="242"/>
      <c r="D758" s="84"/>
      <c r="E758" s="84"/>
      <c r="F758" s="84"/>
      <c r="G758" s="84"/>
      <c r="H758" s="244"/>
      <c r="I758" s="234"/>
      <c r="J758" s="233"/>
      <c r="K758" s="233"/>
      <c r="L758" s="163"/>
      <c r="M758" s="234"/>
      <c r="N758" s="234"/>
      <c r="O758" s="162"/>
      <c r="P758" s="162"/>
      <c r="Q758" s="235"/>
      <c r="R758" s="235"/>
      <c r="S758" s="235"/>
      <c r="T758" s="236"/>
      <c r="U758" s="237"/>
      <c r="V758" s="237"/>
      <c r="W758" s="237"/>
      <c r="X758" s="234"/>
    </row>
    <row r="759" spans="2:24" ht="14.25" customHeight="1" x14ac:dyDescent="0.25">
      <c r="B759" s="246"/>
      <c r="C759" s="242"/>
      <c r="D759" s="84"/>
      <c r="E759" s="84"/>
      <c r="F759" s="84"/>
      <c r="G759" s="84"/>
      <c r="H759" s="244"/>
      <c r="I759" s="234"/>
      <c r="J759" s="233"/>
      <c r="K759" s="233"/>
      <c r="L759" s="163"/>
      <c r="M759" s="234"/>
      <c r="N759" s="234"/>
      <c r="O759" s="162"/>
      <c r="P759" s="162"/>
      <c r="Q759" s="235"/>
      <c r="R759" s="235"/>
      <c r="S759" s="235"/>
      <c r="T759" s="236"/>
      <c r="U759" s="237"/>
      <c r="V759" s="237"/>
      <c r="W759" s="237"/>
      <c r="X759" s="234"/>
    </row>
    <row r="760" spans="2:24" ht="14.25" customHeight="1" x14ac:dyDescent="0.25">
      <c r="B760" s="246"/>
      <c r="C760" s="242"/>
      <c r="D760" s="84"/>
      <c r="E760" s="84"/>
      <c r="F760" s="84"/>
      <c r="G760" s="84"/>
      <c r="H760" s="244"/>
      <c r="I760" s="234"/>
      <c r="J760" s="233"/>
      <c r="K760" s="233"/>
      <c r="L760" s="163"/>
      <c r="M760" s="234"/>
      <c r="N760" s="234"/>
      <c r="O760" s="162"/>
      <c r="P760" s="162"/>
      <c r="Q760" s="235"/>
      <c r="R760" s="235"/>
      <c r="S760" s="235"/>
      <c r="T760" s="236"/>
      <c r="U760" s="237"/>
      <c r="V760" s="237"/>
      <c r="W760" s="237"/>
      <c r="X760" s="234"/>
    </row>
    <row r="761" spans="2:24" ht="14.25" customHeight="1" x14ac:dyDescent="0.25">
      <c r="B761" s="246"/>
      <c r="C761" s="242"/>
      <c r="D761" s="84"/>
      <c r="E761" s="84"/>
      <c r="F761" s="84"/>
      <c r="G761" s="84"/>
      <c r="H761" s="244"/>
      <c r="I761" s="234"/>
      <c r="J761" s="233"/>
      <c r="K761" s="233"/>
      <c r="L761" s="163"/>
      <c r="M761" s="234"/>
      <c r="N761" s="234"/>
      <c r="O761" s="162"/>
      <c r="P761" s="162"/>
      <c r="Q761" s="235"/>
      <c r="R761" s="235"/>
      <c r="S761" s="235"/>
      <c r="T761" s="236"/>
      <c r="U761" s="237"/>
      <c r="V761" s="237"/>
      <c r="W761" s="237"/>
      <c r="X761" s="234"/>
    </row>
    <row r="762" spans="2:24" ht="14.25" customHeight="1" x14ac:dyDescent="0.25">
      <c r="B762" s="246"/>
      <c r="C762" s="242"/>
      <c r="D762" s="84"/>
      <c r="E762" s="84"/>
      <c r="F762" s="84"/>
      <c r="G762" s="84"/>
      <c r="H762" s="244"/>
      <c r="I762" s="234"/>
      <c r="J762" s="233"/>
      <c r="K762" s="233"/>
      <c r="L762" s="163"/>
      <c r="M762" s="234"/>
      <c r="N762" s="234"/>
      <c r="O762" s="162"/>
      <c r="P762" s="162"/>
      <c r="Q762" s="235"/>
      <c r="R762" s="235"/>
      <c r="S762" s="235"/>
      <c r="T762" s="236"/>
      <c r="U762" s="237"/>
      <c r="V762" s="237"/>
      <c r="W762" s="237"/>
      <c r="X762" s="234"/>
    </row>
    <row r="763" spans="2:24" ht="14.25" customHeight="1" x14ac:dyDescent="0.25">
      <c r="B763" s="246"/>
      <c r="C763" s="242"/>
      <c r="D763" s="84"/>
      <c r="E763" s="84"/>
      <c r="F763" s="84"/>
      <c r="G763" s="84"/>
      <c r="H763" s="244"/>
      <c r="I763" s="234"/>
      <c r="J763" s="233"/>
      <c r="K763" s="233"/>
      <c r="L763" s="163"/>
      <c r="M763" s="234"/>
      <c r="N763" s="234"/>
      <c r="O763" s="162"/>
      <c r="P763" s="162"/>
      <c r="Q763" s="235"/>
      <c r="R763" s="235"/>
      <c r="S763" s="235"/>
      <c r="T763" s="236"/>
      <c r="U763" s="237"/>
      <c r="V763" s="237"/>
      <c r="W763" s="237"/>
      <c r="X763" s="234"/>
    </row>
    <row r="764" spans="2:24" x14ac:dyDescent="0.25">
      <c r="B764" s="139"/>
      <c r="H764" s="245"/>
    </row>
    <row r="765" spans="2:24" x14ac:dyDescent="0.25">
      <c r="B765" s="139"/>
      <c r="H765" s="245"/>
    </row>
    <row r="766" spans="2:24" x14ac:dyDescent="0.25">
      <c r="B766" s="139"/>
      <c r="H766" s="245"/>
    </row>
    <row r="767" spans="2:24" x14ac:dyDescent="0.25">
      <c r="B767" s="139"/>
      <c r="H767" s="245"/>
    </row>
    <row r="768" spans="2:24" x14ac:dyDescent="0.25">
      <c r="B768" s="139"/>
      <c r="H768" s="245"/>
    </row>
    <row r="769" spans="2:8" x14ac:dyDescent="0.25">
      <c r="B769" s="139"/>
      <c r="H769" s="245"/>
    </row>
    <row r="770" spans="2:8" x14ac:dyDescent="0.25">
      <c r="B770" s="139"/>
      <c r="H770" s="245"/>
    </row>
    <row r="771" spans="2:8" x14ac:dyDescent="0.25">
      <c r="B771" s="139"/>
      <c r="H771" s="245"/>
    </row>
    <row r="772" spans="2:8" x14ac:dyDescent="0.25">
      <c r="B772" s="139"/>
      <c r="H772" s="245"/>
    </row>
    <row r="773" spans="2:8" x14ac:dyDescent="0.25">
      <c r="B773" s="139"/>
      <c r="H773" s="245"/>
    </row>
    <row r="774" spans="2:8" x14ac:dyDescent="0.25">
      <c r="B774" s="139"/>
      <c r="H774" s="245"/>
    </row>
    <row r="775" spans="2:8" x14ac:dyDescent="0.25">
      <c r="B775" s="139"/>
      <c r="H775" s="245"/>
    </row>
    <row r="776" spans="2:8" x14ac:dyDescent="0.25">
      <c r="B776" s="139"/>
      <c r="H776" s="245"/>
    </row>
    <row r="777" spans="2:8" x14ac:dyDescent="0.25">
      <c r="B777" s="139"/>
      <c r="H777" s="245"/>
    </row>
    <row r="778" spans="2:8" x14ac:dyDescent="0.25">
      <c r="B778" s="139"/>
      <c r="H778" s="245"/>
    </row>
    <row r="779" spans="2:8" x14ac:dyDescent="0.25">
      <c r="B779" s="139"/>
      <c r="H779" s="245"/>
    </row>
    <row r="780" spans="2:8" x14ac:dyDescent="0.25">
      <c r="B780" s="139"/>
      <c r="H780" s="245"/>
    </row>
    <row r="781" spans="2:8" x14ac:dyDescent="0.25">
      <c r="B781" s="139"/>
      <c r="H781" s="245"/>
    </row>
    <row r="782" spans="2:8" x14ac:dyDescent="0.25">
      <c r="B782" s="139"/>
      <c r="H782" s="245"/>
    </row>
    <row r="783" spans="2:8" x14ac:dyDescent="0.25">
      <c r="B783" s="139"/>
      <c r="H783" s="245"/>
    </row>
    <row r="784" spans="2:8" x14ac:dyDescent="0.25">
      <c r="B784" s="139"/>
      <c r="H784" s="245"/>
    </row>
    <row r="785" spans="2:8" x14ac:dyDescent="0.25">
      <c r="B785" s="139"/>
      <c r="H785" s="245"/>
    </row>
    <row r="786" spans="2:8" x14ac:dyDescent="0.25">
      <c r="B786" s="139"/>
      <c r="H786" s="245"/>
    </row>
    <row r="787" spans="2:8" x14ac:dyDescent="0.25">
      <c r="B787" s="139"/>
      <c r="H787" s="245"/>
    </row>
    <row r="788" spans="2:8" x14ac:dyDescent="0.25">
      <c r="B788" s="139"/>
      <c r="H788" s="245"/>
    </row>
    <row r="789" spans="2:8" x14ac:dyDescent="0.25">
      <c r="B789" s="139"/>
      <c r="H789" s="245"/>
    </row>
    <row r="790" spans="2:8" x14ac:dyDescent="0.25">
      <c r="B790" s="139"/>
      <c r="H790" s="245"/>
    </row>
    <row r="791" spans="2:8" x14ac:dyDescent="0.25">
      <c r="B791" s="139"/>
      <c r="H791" s="245"/>
    </row>
    <row r="792" spans="2:8" x14ac:dyDescent="0.25">
      <c r="B792" s="139"/>
      <c r="H792" s="245"/>
    </row>
    <row r="793" spans="2:8" x14ac:dyDescent="0.25">
      <c r="B793" s="139"/>
      <c r="H793" s="245"/>
    </row>
    <row r="794" spans="2:8" x14ac:dyDescent="0.25">
      <c r="B794" s="139"/>
      <c r="H794" s="245"/>
    </row>
    <row r="795" spans="2:8" x14ac:dyDescent="0.25">
      <c r="B795" s="139"/>
      <c r="H795" s="245"/>
    </row>
    <row r="796" spans="2:8" x14ac:dyDescent="0.25">
      <c r="B796" s="139"/>
      <c r="H796" s="245"/>
    </row>
    <row r="797" spans="2:8" x14ac:dyDescent="0.25">
      <c r="B797" s="139"/>
      <c r="H797" s="245"/>
    </row>
    <row r="798" spans="2:8" x14ac:dyDescent="0.25">
      <c r="B798" s="139"/>
      <c r="H798" s="245"/>
    </row>
    <row r="799" spans="2:8" x14ac:dyDescent="0.25">
      <c r="B799" s="139"/>
      <c r="H799" s="245"/>
    </row>
    <row r="800" spans="2:8" x14ac:dyDescent="0.25">
      <c r="B800" s="139"/>
      <c r="H800" s="245"/>
    </row>
    <row r="801" spans="2:8" x14ac:dyDescent="0.25">
      <c r="B801" s="139"/>
      <c r="H801" s="245"/>
    </row>
    <row r="802" spans="2:8" x14ac:dyDescent="0.25">
      <c r="B802" s="139"/>
      <c r="H802" s="245"/>
    </row>
    <row r="803" spans="2:8" x14ac:dyDescent="0.25">
      <c r="B803" s="139"/>
      <c r="H803" s="245"/>
    </row>
    <row r="804" spans="2:8" x14ac:dyDescent="0.25">
      <c r="B804" s="139"/>
      <c r="H804" s="245"/>
    </row>
    <row r="805" spans="2:8" x14ac:dyDescent="0.25">
      <c r="B805" s="139"/>
      <c r="H805" s="245"/>
    </row>
    <row r="806" spans="2:8" x14ac:dyDescent="0.25">
      <c r="B806" s="139"/>
      <c r="H806" s="245"/>
    </row>
    <row r="807" spans="2:8" x14ac:dyDescent="0.25">
      <c r="B807" s="139"/>
      <c r="H807" s="245"/>
    </row>
    <row r="808" spans="2:8" x14ac:dyDescent="0.25">
      <c r="B808" s="139"/>
      <c r="H808" s="245"/>
    </row>
    <row r="809" spans="2:8" x14ac:dyDescent="0.25">
      <c r="B809" s="139"/>
      <c r="H809" s="245"/>
    </row>
    <row r="810" spans="2:8" x14ac:dyDescent="0.25">
      <c r="B810" s="139"/>
      <c r="H810" s="245"/>
    </row>
    <row r="811" spans="2:8" x14ac:dyDescent="0.25">
      <c r="B811" s="139"/>
      <c r="H811" s="245"/>
    </row>
    <row r="812" spans="2:8" x14ac:dyDescent="0.25">
      <c r="B812" s="139"/>
      <c r="H812" s="245"/>
    </row>
    <row r="813" spans="2:8" x14ac:dyDescent="0.25">
      <c r="B813" s="139"/>
      <c r="H813" s="245"/>
    </row>
    <row r="814" spans="2:8" x14ac:dyDescent="0.25">
      <c r="B814" s="139"/>
      <c r="H814" s="245"/>
    </row>
    <row r="815" spans="2:8" x14ac:dyDescent="0.25">
      <c r="B815" s="139"/>
      <c r="H815" s="245"/>
    </row>
    <row r="816" spans="2:8" x14ac:dyDescent="0.25">
      <c r="B816" s="139"/>
      <c r="H816" s="245"/>
    </row>
    <row r="817" spans="2:8" x14ac:dyDescent="0.25">
      <c r="B817" s="139"/>
      <c r="H817" s="245"/>
    </row>
    <row r="818" spans="2:8" x14ac:dyDescent="0.25">
      <c r="B818" s="139"/>
      <c r="H818" s="245"/>
    </row>
    <row r="819" spans="2:8" x14ac:dyDescent="0.25">
      <c r="B819" s="139"/>
      <c r="H819" s="245"/>
    </row>
    <row r="820" spans="2:8" x14ac:dyDescent="0.25">
      <c r="B820" s="139"/>
      <c r="H820" s="245"/>
    </row>
    <row r="821" spans="2:8" x14ac:dyDescent="0.25">
      <c r="B821" s="139"/>
      <c r="H821" s="245"/>
    </row>
    <row r="822" spans="2:8" x14ac:dyDescent="0.25">
      <c r="B822" s="139"/>
      <c r="H822" s="245"/>
    </row>
    <row r="823" spans="2:8" x14ac:dyDescent="0.25">
      <c r="B823" s="139"/>
      <c r="H823" s="245"/>
    </row>
    <row r="824" spans="2:8" x14ac:dyDescent="0.25">
      <c r="B824" s="139"/>
      <c r="H824" s="245"/>
    </row>
    <row r="825" spans="2:8" x14ac:dyDescent="0.25">
      <c r="B825" s="139"/>
      <c r="H825" s="245"/>
    </row>
    <row r="826" spans="2:8" x14ac:dyDescent="0.25">
      <c r="B826" s="139"/>
      <c r="H826" s="245"/>
    </row>
    <row r="827" spans="2:8" x14ac:dyDescent="0.25">
      <c r="B827" s="139"/>
      <c r="H827" s="245"/>
    </row>
    <row r="828" spans="2:8" x14ac:dyDescent="0.25">
      <c r="B828" s="139"/>
      <c r="H828" s="245"/>
    </row>
    <row r="829" spans="2:8" x14ac:dyDescent="0.25">
      <c r="B829" s="139"/>
      <c r="H829" s="245"/>
    </row>
    <row r="830" spans="2:8" x14ac:dyDescent="0.25">
      <c r="B830" s="139"/>
      <c r="H830" s="245"/>
    </row>
    <row r="831" spans="2:8" x14ac:dyDescent="0.25">
      <c r="B831" s="139"/>
      <c r="H831" s="245"/>
    </row>
    <row r="832" spans="2:8" x14ac:dyDescent="0.25">
      <c r="B832" s="139"/>
      <c r="H832" s="245"/>
    </row>
    <row r="833" spans="2:8" x14ac:dyDescent="0.25">
      <c r="B833" s="139"/>
      <c r="H833" s="245"/>
    </row>
    <row r="834" spans="2:8" x14ac:dyDescent="0.25">
      <c r="B834" s="139"/>
      <c r="H834" s="245"/>
    </row>
    <row r="835" spans="2:8" x14ac:dyDescent="0.25">
      <c r="B835" s="139"/>
      <c r="H835" s="245"/>
    </row>
    <row r="836" spans="2:8" x14ac:dyDescent="0.25">
      <c r="B836" s="139"/>
      <c r="H836" s="245"/>
    </row>
    <row r="837" spans="2:8" x14ac:dyDescent="0.25">
      <c r="B837" s="139"/>
      <c r="H837" s="245"/>
    </row>
    <row r="838" spans="2:8" x14ac:dyDescent="0.25">
      <c r="B838" s="139"/>
      <c r="H838" s="245"/>
    </row>
    <row r="839" spans="2:8" x14ac:dyDescent="0.25">
      <c r="B839" s="139"/>
      <c r="H839" s="245"/>
    </row>
    <row r="840" spans="2:8" x14ac:dyDescent="0.25">
      <c r="B840" s="139"/>
      <c r="H840" s="245"/>
    </row>
    <row r="841" spans="2:8" x14ac:dyDescent="0.25">
      <c r="B841" s="139"/>
      <c r="H841" s="245"/>
    </row>
    <row r="842" spans="2:8" x14ac:dyDescent="0.25">
      <c r="B842" s="139"/>
      <c r="H842" s="245"/>
    </row>
    <row r="843" spans="2:8" x14ac:dyDescent="0.25">
      <c r="B843" s="139"/>
      <c r="H843" s="245"/>
    </row>
    <row r="844" spans="2:8" x14ac:dyDescent="0.25">
      <c r="B844" s="139"/>
      <c r="H844" s="245"/>
    </row>
    <row r="845" spans="2:8" x14ac:dyDescent="0.25">
      <c r="B845" s="139"/>
      <c r="H845" s="245"/>
    </row>
    <row r="846" spans="2:8" x14ac:dyDescent="0.25">
      <c r="B846" s="139"/>
      <c r="H846" s="245"/>
    </row>
    <row r="847" spans="2:8" x14ac:dyDescent="0.25">
      <c r="B847" s="139"/>
      <c r="H847" s="245"/>
    </row>
    <row r="848" spans="2:8" x14ac:dyDescent="0.25">
      <c r="B848" s="139"/>
      <c r="H848" s="245"/>
    </row>
    <row r="849" spans="2:8" x14ac:dyDescent="0.25">
      <c r="B849" s="139"/>
      <c r="H849" s="245"/>
    </row>
    <row r="850" spans="2:8" x14ac:dyDescent="0.25">
      <c r="B850" s="139"/>
      <c r="H850" s="245"/>
    </row>
    <row r="851" spans="2:8" x14ac:dyDescent="0.25">
      <c r="B851" s="139"/>
      <c r="H851" s="245"/>
    </row>
    <row r="852" spans="2:8" x14ac:dyDescent="0.25">
      <c r="B852" s="139"/>
      <c r="H852" s="245"/>
    </row>
    <row r="853" spans="2:8" x14ac:dyDescent="0.25">
      <c r="B853" s="139"/>
      <c r="H853" s="245"/>
    </row>
    <row r="854" spans="2:8" x14ac:dyDescent="0.25">
      <c r="B854" s="139"/>
      <c r="H854" s="245"/>
    </row>
    <row r="855" spans="2:8" x14ac:dyDescent="0.25">
      <c r="B855" s="139"/>
      <c r="H855" s="245"/>
    </row>
    <row r="856" spans="2:8" x14ac:dyDescent="0.25">
      <c r="B856" s="139"/>
      <c r="H856" s="245"/>
    </row>
    <row r="857" spans="2:8" x14ac:dyDescent="0.25">
      <c r="B857" s="139"/>
      <c r="H857" s="245"/>
    </row>
    <row r="858" spans="2:8" x14ac:dyDescent="0.25">
      <c r="B858" s="139"/>
      <c r="H858" s="245"/>
    </row>
    <row r="859" spans="2:8" x14ac:dyDescent="0.25">
      <c r="B859" s="139"/>
      <c r="H859" s="245"/>
    </row>
    <row r="860" spans="2:8" x14ac:dyDescent="0.25">
      <c r="B860" s="139"/>
      <c r="H860" s="245"/>
    </row>
    <row r="861" spans="2:8" x14ac:dyDescent="0.25">
      <c r="B861" s="139"/>
      <c r="H861" s="245"/>
    </row>
    <row r="862" spans="2:8" x14ac:dyDescent="0.25">
      <c r="B862" s="139"/>
      <c r="H862" s="245"/>
    </row>
    <row r="863" spans="2:8" x14ac:dyDescent="0.25">
      <c r="B863" s="139"/>
      <c r="H863" s="245"/>
    </row>
    <row r="864" spans="2:8" x14ac:dyDescent="0.25">
      <c r="B864" s="139"/>
      <c r="H864" s="245"/>
    </row>
    <row r="865" spans="2:8" x14ac:dyDescent="0.25">
      <c r="B865" s="139"/>
      <c r="H865" s="245"/>
    </row>
    <row r="866" spans="2:8" x14ac:dyDescent="0.25">
      <c r="B866" s="139"/>
      <c r="H866" s="245"/>
    </row>
    <row r="867" spans="2:8" x14ac:dyDescent="0.25">
      <c r="B867" s="139"/>
      <c r="H867" s="245"/>
    </row>
    <row r="868" spans="2:8" x14ac:dyDescent="0.25">
      <c r="B868" s="139"/>
      <c r="H868" s="245"/>
    </row>
    <row r="869" spans="2:8" x14ac:dyDescent="0.25">
      <c r="B869" s="139"/>
      <c r="H869" s="245"/>
    </row>
    <row r="870" spans="2:8" x14ac:dyDescent="0.25">
      <c r="B870" s="139"/>
      <c r="H870" s="245"/>
    </row>
    <row r="871" spans="2:8" x14ac:dyDescent="0.25">
      <c r="B871" s="139"/>
      <c r="H871" s="245"/>
    </row>
    <row r="872" spans="2:8" x14ac:dyDescent="0.25">
      <c r="B872" s="139"/>
      <c r="H872" s="245"/>
    </row>
    <row r="873" spans="2:8" x14ac:dyDescent="0.25">
      <c r="B873" s="139"/>
      <c r="H873" s="245"/>
    </row>
    <row r="874" spans="2:8" x14ac:dyDescent="0.25">
      <c r="B874" s="139"/>
      <c r="H874" s="245"/>
    </row>
    <row r="875" spans="2:8" x14ac:dyDescent="0.25">
      <c r="B875" s="139"/>
      <c r="H875" s="245"/>
    </row>
    <row r="876" spans="2:8" x14ac:dyDescent="0.25">
      <c r="B876" s="139"/>
      <c r="H876" s="245"/>
    </row>
    <row r="877" spans="2:8" x14ac:dyDescent="0.25">
      <c r="B877" s="139"/>
      <c r="H877" s="245"/>
    </row>
    <row r="878" spans="2:8" x14ac:dyDescent="0.25">
      <c r="B878" s="139"/>
      <c r="H878" s="245"/>
    </row>
    <row r="879" spans="2:8" x14ac:dyDescent="0.25">
      <c r="B879" s="139"/>
      <c r="H879" s="245"/>
    </row>
    <row r="880" spans="2:8" x14ac:dyDescent="0.25">
      <c r="B880" s="139"/>
      <c r="H880" s="245"/>
    </row>
    <row r="881" spans="2:8" x14ac:dyDescent="0.25">
      <c r="B881" s="139"/>
      <c r="H881" s="245"/>
    </row>
    <row r="882" spans="2:8" x14ac:dyDescent="0.25">
      <c r="B882" s="139"/>
      <c r="H882" s="245"/>
    </row>
    <row r="883" spans="2:8" x14ac:dyDescent="0.25">
      <c r="B883" s="139"/>
      <c r="H883" s="245"/>
    </row>
    <row r="884" spans="2:8" x14ac:dyDescent="0.25">
      <c r="B884" s="139"/>
      <c r="H884" s="245"/>
    </row>
    <row r="885" spans="2:8" x14ac:dyDescent="0.25">
      <c r="B885" s="139"/>
      <c r="H885" s="245"/>
    </row>
    <row r="886" spans="2:8" x14ac:dyDescent="0.25">
      <c r="B886" s="139"/>
      <c r="H886" s="245"/>
    </row>
    <row r="887" spans="2:8" x14ac:dyDescent="0.25">
      <c r="B887" s="139"/>
      <c r="H887" s="245"/>
    </row>
    <row r="888" spans="2:8" x14ac:dyDescent="0.25">
      <c r="B888" s="139"/>
      <c r="H888" s="245"/>
    </row>
    <row r="889" spans="2:8" x14ac:dyDescent="0.25">
      <c r="B889" s="139"/>
      <c r="H889" s="245"/>
    </row>
    <row r="890" spans="2:8" x14ac:dyDescent="0.25">
      <c r="B890" s="139"/>
      <c r="H890" s="245"/>
    </row>
    <row r="891" spans="2:8" x14ac:dyDescent="0.25">
      <c r="B891" s="139"/>
      <c r="H891" s="245"/>
    </row>
    <row r="892" spans="2:8" x14ac:dyDescent="0.25">
      <c r="B892" s="139"/>
      <c r="H892" s="245"/>
    </row>
    <row r="893" spans="2:8" x14ac:dyDescent="0.25">
      <c r="B893" s="139"/>
      <c r="H893" s="245"/>
    </row>
    <row r="894" spans="2:8" x14ac:dyDescent="0.25">
      <c r="B894" s="139"/>
      <c r="H894" s="245"/>
    </row>
    <row r="895" spans="2:8" x14ac:dyDescent="0.25">
      <c r="B895" s="139"/>
      <c r="H895" s="245"/>
    </row>
    <row r="896" spans="2:8" x14ac:dyDescent="0.25">
      <c r="B896" s="139"/>
      <c r="H896" s="245"/>
    </row>
    <row r="897" spans="2:8" x14ac:dyDescent="0.25">
      <c r="B897" s="139"/>
      <c r="H897" s="245"/>
    </row>
    <row r="898" spans="2:8" x14ac:dyDescent="0.25">
      <c r="B898" s="139"/>
      <c r="H898" s="245"/>
    </row>
    <row r="899" spans="2:8" x14ac:dyDescent="0.25">
      <c r="B899" s="139"/>
      <c r="H899" s="245"/>
    </row>
    <row r="900" spans="2:8" x14ac:dyDescent="0.25">
      <c r="B900" s="139"/>
      <c r="H900" s="245"/>
    </row>
    <row r="901" spans="2:8" x14ac:dyDescent="0.25">
      <c r="B901" s="139"/>
      <c r="H901" s="245"/>
    </row>
    <row r="902" spans="2:8" x14ac:dyDescent="0.25">
      <c r="B902" s="139"/>
      <c r="H902" s="245"/>
    </row>
    <row r="903" spans="2:8" x14ac:dyDescent="0.25">
      <c r="B903" s="139"/>
      <c r="H903" s="245"/>
    </row>
    <row r="904" spans="2:8" x14ac:dyDescent="0.25">
      <c r="B904" s="139"/>
      <c r="H904" s="245"/>
    </row>
    <row r="905" spans="2:8" x14ac:dyDescent="0.25">
      <c r="B905" s="139"/>
      <c r="H905" s="245"/>
    </row>
    <row r="906" spans="2:8" x14ac:dyDescent="0.25">
      <c r="B906" s="139"/>
      <c r="H906" s="245"/>
    </row>
    <row r="907" spans="2:8" x14ac:dyDescent="0.25">
      <c r="B907" s="139"/>
      <c r="H907" s="245"/>
    </row>
    <row r="908" spans="2:8" x14ac:dyDescent="0.25">
      <c r="B908" s="139"/>
      <c r="H908" s="245"/>
    </row>
    <row r="909" spans="2:8" x14ac:dyDescent="0.25">
      <c r="B909" s="139"/>
      <c r="H909" s="245"/>
    </row>
    <row r="910" spans="2:8" x14ac:dyDescent="0.25">
      <c r="B910" s="139"/>
      <c r="H910" s="245"/>
    </row>
    <row r="911" spans="2:8" x14ac:dyDescent="0.25">
      <c r="B911" s="139"/>
      <c r="H911" s="245"/>
    </row>
    <row r="912" spans="2:8" x14ac:dyDescent="0.25">
      <c r="B912" s="139"/>
      <c r="H912" s="245"/>
    </row>
    <row r="913" spans="2:8" x14ac:dyDescent="0.25">
      <c r="B913" s="139"/>
      <c r="H913" s="245"/>
    </row>
    <row r="914" spans="2:8" x14ac:dyDescent="0.25">
      <c r="B914" s="139"/>
      <c r="H914" s="245"/>
    </row>
    <row r="915" spans="2:8" x14ac:dyDescent="0.25">
      <c r="B915" s="139"/>
      <c r="H915" s="245"/>
    </row>
    <row r="916" spans="2:8" x14ac:dyDescent="0.25">
      <c r="B916" s="139"/>
      <c r="H916" s="245"/>
    </row>
    <row r="917" spans="2:8" x14ac:dyDescent="0.25">
      <c r="B917" s="139"/>
      <c r="H917" s="245"/>
    </row>
    <row r="918" spans="2:8" x14ac:dyDescent="0.25">
      <c r="B918" s="139"/>
      <c r="H918" s="245"/>
    </row>
    <row r="919" spans="2:8" x14ac:dyDescent="0.25">
      <c r="B919" s="139"/>
      <c r="H919" s="245"/>
    </row>
    <row r="920" spans="2:8" x14ac:dyDescent="0.25">
      <c r="B920" s="139"/>
      <c r="H920" s="245"/>
    </row>
    <row r="921" spans="2:8" x14ac:dyDescent="0.25">
      <c r="B921" s="139"/>
      <c r="H921" s="245"/>
    </row>
    <row r="922" spans="2:8" x14ac:dyDescent="0.25">
      <c r="B922" s="139"/>
      <c r="H922" s="245"/>
    </row>
    <row r="923" spans="2:8" x14ac:dyDescent="0.25">
      <c r="B923" s="139"/>
      <c r="H923" s="245"/>
    </row>
    <row r="924" spans="2:8" x14ac:dyDescent="0.25">
      <c r="B924" s="139"/>
      <c r="H924" s="245"/>
    </row>
    <row r="925" spans="2:8" x14ac:dyDescent="0.25">
      <c r="B925" s="139"/>
      <c r="H925" s="245"/>
    </row>
    <row r="926" spans="2:8" x14ac:dyDescent="0.25">
      <c r="B926" s="139"/>
      <c r="H926" s="245"/>
    </row>
    <row r="927" spans="2:8" x14ac:dyDescent="0.25">
      <c r="B927" s="139"/>
      <c r="H927" s="245"/>
    </row>
    <row r="928" spans="2:8" x14ac:dyDescent="0.25">
      <c r="B928" s="139"/>
      <c r="H928" s="245"/>
    </row>
    <row r="929" spans="2:8" x14ac:dyDescent="0.25">
      <c r="B929" s="139"/>
      <c r="H929" s="245"/>
    </row>
    <row r="930" spans="2:8" x14ac:dyDescent="0.25">
      <c r="B930" s="139"/>
      <c r="H930" s="245"/>
    </row>
    <row r="931" spans="2:8" x14ac:dyDescent="0.25">
      <c r="B931" s="139"/>
      <c r="H931" s="245"/>
    </row>
    <row r="932" spans="2:8" x14ac:dyDescent="0.25">
      <c r="B932" s="139"/>
      <c r="H932" s="245"/>
    </row>
    <row r="933" spans="2:8" x14ac:dyDescent="0.25">
      <c r="B933" s="139"/>
      <c r="H933" s="245"/>
    </row>
    <row r="934" spans="2:8" x14ac:dyDescent="0.25">
      <c r="B934" s="139"/>
      <c r="H934" s="245"/>
    </row>
    <row r="935" spans="2:8" x14ac:dyDescent="0.25">
      <c r="B935" s="139"/>
      <c r="H935" s="245"/>
    </row>
    <row r="936" spans="2:8" x14ac:dyDescent="0.25">
      <c r="B936" s="139"/>
      <c r="H936" s="245"/>
    </row>
    <row r="937" spans="2:8" x14ac:dyDescent="0.25">
      <c r="B937" s="139"/>
      <c r="H937" s="245"/>
    </row>
    <row r="938" spans="2:8" x14ac:dyDescent="0.25">
      <c r="B938" s="139"/>
      <c r="H938" s="245"/>
    </row>
    <row r="939" spans="2:8" x14ac:dyDescent="0.25">
      <c r="B939" s="139"/>
      <c r="H939" s="245"/>
    </row>
    <row r="940" spans="2:8" x14ac:dyDescent="0.25">
      <c r="B940" s="139"/>
      <c r="H940" s="245"/>
    </row>
    <row r="941" spans="2:8" x14ac:dyDescent="0.25">
      <c r="B941" s="139"/>
      <c r="H941" s="245"/>
    </row>
    <row r="942" spans="2:8" x14ac:dyDescent="0.25">
      <c r="B942" s="139"/>
      <c r="H942" s="245"/>
    </row>
    <row r="943" spans="2:8" x14ac:dyDescent="0.25">
      <c r="B943" s="139"/>
      <c r="H943" s="245"/>
    </row>
    <row r="944" spans="2:8" x14ac:dyDescent="0.25">
      <c r="B944" s="139"/>
      <c r="H944" s="245"/>
    </row>
    <row r="945" spans="2:8" x14ac:dyDescent="0.25">
      <c r="B945" s="139"/>
      <c r="H945" s="245"/>
    </row>
    <row r="946" spans="2:8" x14ac:dyDescent="0.25">
      <c r="B946" s="139"/>
      <c r="H946" s="245"/>
    </row>
    <row r="947" spans="2:8" x14ac:dyDescent="0.25">
      <c r="B947" s="139"/>
      <c r="H947" s="245"/>
    </row>
    <row r="948" spans="2:8" x14ac:dyDescent="0.25">
      <c r="B948" s="139"/>
      <c r="H948" s="245"/>
    </row>
    <row r="949" spans="2:8" x14ac:dyDescent="0.25">
      <c r="B949" s="139"/>
      <c r="H949" s="245"/>
    </row>
    <row r="950" spans="2:8" x14ac:dyDescent="0.25">
      <c r="B950" s="139"/>
      <c r="H950" s="245"/>
    </row>
    <row r="951" spans="2:8" x14ac:dyDescent="0.25">
      <c r="B951" s="139"/>
      <c r="H951" s="245"/>
    </row>
    <row r="952" spans="2:8" x14ac:dyDescent="0.25">
      <c r="B952" s="139"/>
      <c r="H952" s="245"/>
    </row>
    <row r="953" spans="2:8" x14ac:dyDescent="0.25">
      <c r="B953" s="139"/>
      <c r="H953" s="245"/>
    </row>
    <row r="954" spans="2:8" x14ac:dyDescent="0.25">
      <c r="B954" s="139"/>
      <c r="H954" s="245"/>
    </row>
    <row r="955" spans="2:8" x14ac:dyDescent="0.25">
      <c r="B955" s="139"/>
      <c r="H955" s="245"/>
    </row>
    <row r="956" spans="2:8" x14ac:dyDescent="0.25">
      <c r="B956" s="139"/>
      <c r="H956" s="245"/>
    </row>
    <row r="957" spans="2:8" x14ac:dyDescent="0.25">
      <c r="B957" s="139"/>
      <c r="H957" s="245"/>
    </row>
    <row r="958" spans="2:8" x14ac:dyDescent="0.25">
      <c r="B958" s="139"/>
      <c r="H958" s="245"/>
    </row>
    <row r="959" spans="2:8" x14ac:dyDescent="0.25">
      <c r="B959" s="139"/>
      <c r="H959" s="245"/>
    </row>
    <row r="960" spans="2:8" x14ac:dyDescent="0.25">
      <c r="B960" s="139"/>
      <c r="H960" s="245"/>
    </row>
    <row r="961" spans="2:8" x14ac:dyDescent="0.25">
      <c r="B961" s="139"/>
      <c r="H961" s="245"/>
    </row>
    <row r="962" spans="2:8" x14ac:dyDescent="0.25">
      <c r="B962" s="139"/>
      <c r="H962" s="245"/>
    </row>
    <row r="963" spans="2:8" x14ac:dyDescent="0.25">
      <c r="B963" s="139"/>
      <c r="H963" s="245"/>
    </row>
    <row r="964" spans="2:8" x14ac:dyDescent="0.25">
      <c r="B964" s="139"/>
      <c r="H964" s="245"/>
    </row>
    <row r="965" spans="2:8" x14ac:dyDescent="0.25">
      <c r="B965" s="139"/>
      <c r="H965" s="245"/>
    </row>
    <row r="966" spans="2:8" x14ac:dyDescent="0.25">
      <c r="B966" s="139"/>
      <c r="H966" s="245"/>
    </row>
    <row r="967" spans="2:8" x14ac:dyDescent="0.25">
      <c r="B967" s="139"/>
      <c r="H967" s="245"/>
    </row>
    <row r="968" spans="2:8" x14ac:dyDescent="0.25">
      <c r="B968" s="139"/>
      <c r="H968" s="245"/>
    </row>
    <row r="969" spans="2:8" x14ac:dyDescent="0.25">
      <c r="B969" s="139"/>
      <c r="H969" s="245"/>
    </row>
    <row r="970" spans="2:8" x14ac:dyDescent="0.25">
      <c r="B970" s="139"/>
      <c r="H970" s="245"/>
    </row>
    <row r="971" spans="2:8" x14ac:dyDescent="0.25">
      <c r="B971" s="139"/>
      <c r="H971" s="245"/>
    </row>
    <row r="972" spans="2:8" x14ac:dyDescent="0.25">
      <c r="B972" s="139"/>
      <c r="H972" s="245"/>
    </row>
    <row r="973" spans="2:8" x14ac:dyDescent="0.25">
      <c r="B973" s="139"/>
      <c r="H973" s="245"/>
    </row>
    <row r="974" spans="2:8" x14ac:dyDescent="0.25">
      <c r="B974" s="139"/>
      <c r="H974" s="245"/>
    </row>
    <row r="975" spans="2:8" x14ac:dyDescent="0.25">
      <c r="B975" s="139"/>
      <c r="H975" s="245"/>
    </row>
    <row r="976" spans="2:8" x14ac:dyDescent="0.25">
      <c r="B976" s="139"/>
      <c r="H976" s="245"/>
    </row>
    <row r="977" spans="2:8" x14ac:dyDescent="0.25">
      <c r="B977" s="139"/>
      <c r="H977" s="245"/>
    </row>
    <row r="978" spans="2:8" x14ac:dyDescent="0.25">
      <c r="B978" s="139"/>
      <c r="H978" s="245"/>
    </row>
    <row r="979" spans="2:8" x14ac:dyDescent="0.25">
      <c r="B979" s="139"/>
      <c r="H979" s="245"/>
    </row>
    <row r="980" spans="2:8" x14ac:dyDescent="0.25">
      <c r="B980" s="139"/>
      <c r="H980" s="245"/>
    </row>
    <row r="981" spans="2:8" x14ac:dyDescent="0.25">
      <c r="B981" s="139"/>
      <c r="H981" s="245"/>
    </row>
    <row r="982" spans="2:8" x14ac:dyDescent="0.25">
      <c r="B982" s="139"/>
      <c r="H982" s="245"/>
    </row>
    <row r="983" spans="2:8" x14ac:dyDescent="0.25">
      <c r="B983" s="139"/>
      <c r="H983" s="245"/>
    </row>
    <row r="984" spans="2:8" x14ac:dyDescent="0.25">
      <c r="B984" s="139"/>
      <c r="H984" s="245"/>
    </row>
    <row r="985" spans="2:8" x14ac:dyDescent="0.25">
      <c r="B985" s="139"/>
      <c r="H985" s="245"/>
    </row>
    <row r="986" spans="2:8" x14ac:dyDescent="0.25">
      <c r="B986" s="139"/>
      <c r="H986" s="245"/>
    </row>
    <row r="987" spans="2:8" x14ac:dyDescent="0.25">
      <c r="B987" s="139"/>
      <c r="H987" s="245"/>
    </row>
    <row r="988" spans="2:8" x14ac:dyDescent="0.25">
      <c r="B988" s="139"/>
      <c r="H988" s="245"/>
    </row>
    <row r="989" spans="2:8" x14ac:dyDescent="0.25">
      <c r="B989" s="139"/>
      <c r="H989" s="245"/>
    </row>
    <row r="990" spans="2:8" x14ac:dyDescent="0.25">
      <c r="B990" s="139"/>
      <c r="H990" s="245"/>
    </row>
    <row r="991" spans="2:8" x14ac:dyDescent="0.25">
      <c r="B991" s="139"/>
      <c r="H991" s="245"/>
    </row>
    <row r="992" spans="2:8" x14ac:dyDescent="0.25">
      <c r="B992" s="139"/>
      <c r="H992" s="245"/>
    </row>
    <row r="993" spans="2:8" x14ac:dyDescent="0.25">
      <c r="B993" s="139"/>
      <c r="H993" s="245"/>
    </row>
    <row r="994" spans="2:8" x14ac:dyDescent="0.25">
      <c r="B994" s="139"/>
      <c r="H994" s="245"/>
    </row>
    <row r="995" spans="2:8" x14ac:dyDescent="0.25">
      <c r="B995" s="139"/>
      <c r="H995" s="245"/>
    </row>
    <row r="996" spans="2:8" x14ac:dyDescent="0.25">
      <c r="B996" s="139"/>
      <c r="H996" s="245"/>
    </row>
    <row r="997" spans="2:8" x14ac:dyDescent="0.25">
      <c r="B997" s="139"/>
      <c r="H997" s="245"/>
    </row>
    <row r="998" spans="2:8" x14ac:dyDescent="0.25">
      <c r="B998" s="139"/>
      <c r="H998" s="245"/>
    </row>
    <row r="999" spans="2:8" x14ac:dyDescent="0.25">
      <c r="B999" s="139"/>
      <c r="H999" s="245"/>
    </row>
    <row r="1000" spans="2:8" x14ac:dyDescent="0.25">
      <c r="B1000" s="139"/>
      <c r="H1000" s="245"/>
    </row>
    <row r="1001" spans="2:8" x14ac:dyDescent="0.25">
      <c r="B1001" s="139"/>
      <c r="H1001" s="245"/>
    </row>
    <row r="1002" spans="2:8" x14ac:dyDescent="0.25">
      <c r="B1002" s="139"/>
      <c r="H1002" s="245"/>
    </row>
    <row r="1003" spans="2:8" x14ac:dyDescent="0.25">
      <c r="B1003" s="139"/>
      <c r="H1003" s="245"/>
    </row>
    <row r="1004" spans="2:8" x14ac:dyDescent="0.25">
      <c r="B1004" s="139"/>
      <c r="H1004" s="245"/>
    </row>
    <row r="1005" spans="2:8" x14ac:dyDescent="0.25">
      <c r="B1005" s="139"/>
      <c r="H1005" s="245"/>
    </row>
    <row r="1006" spans="2:8" x14ac:dyDescent="0.25">
      <c r="B1006" s="139"/>
      <c r="H1006" s="245"/>
    </row>
    <row r="1007" spans="2:8" x14ac:dyDescent="0.25">
      <c r="B1007" s="139"/>
      <c r="H1007" s="245"/>
    </row>
    <row r="1008" spans="2:8" x14ac:dyDescent="0.25">
      <c r="B1008" s="139"/>
      <c r="H1008" s="245"/>
    </row>
    <row r="1009" spans="2:8" x14ac:dyDescent="0.25">
      <c r="B1009" s="139"/>
      <c r="H1009" s="245"/>
    </row>
    <row r="1010" spans="2:8" x14ac:dyDescent="0.25">
      <c r="B1010" s="139"/>
      <c r="H1010" s="245"/>
    </row>
    <row r="1011" spans="2:8" x14ac:dyDescent="0.25">
      <c r="B1011" s="139"/>
      <c r="H1011" s="245"/>
    </row>
    <row r="1012" spans="2:8" x14ac:dyDescent="0.25">
      <c r="B1012" s="139"/>
      <c r="H1012" s="245"/>
    </row>
    <row r="1013" spans="2:8" x14ac:dyDescent="0.25">
      <c r="B1013" s="139"/>
      <c r="H1013" s="245"/>
    </row>
    <row r="1014" spans="2:8" x14ac:dyDescent="0.25">
      <c r="B1014" s="139"/>
      <c r="H1014" s="245"/>
    </row>
    <row r="1015" spans="2:8" x14ac:dyDescent="0.25">
      <c r="B1015" s="139"/>
      <c r="H1015" s="245"/>
    </row>
    <row r="1016" spans="2:8" x14ac:dyDescent="0.25">
      <c r="B1016" s="139"/>
      <c r="H1016" s="245"/>
    </row>
    <row r="1017" spans="2:8" x14ac:dyDescent="0.25">
      <c r="B1017" s="139"/>
      <c r="H1017" s="245"/>
    </row>
    <row r="1018" spans="2:8" x14ac:dyDescent="0.25">
      <c r="B1018" s="139"/>
      <c r="H1018" s="245"/>
    </row>
    <row r="1019" spans="2:8" x14ac:dyDescent="0.25">
      <c r="B1019" s="139"/>
      <c r="H1019" s="245"/>
    </row>
    <row r="1020" spans="2:8" x14ac:dyDescent="0.25">
      <c r="B1020" s="139"/>
      <c r="H1020" s="245"/>
    </row>
    <row r="1021" spans="2:8" x14ac:dyDescent="0.25">
      <c r="B1021" s="139"/>
      <c r="H1021" s="245"/>
    </row>
    <row r="1022" spans="2:8" x14ac:dyDescent="0.25">
      <c r="B1022" s="139"/>
      <c r="H1022" s="245"/>
    </row>
    <row r="1023" spans="2:8" x14ac:dyDescent="0.25">
      <c r="B1023" s="139"/>
      <c r="H1023" s="245"/>
    </row>
    <row r="1024" spans="2:8" x14ac:dyDescent="0.25">
      <c r="B1024" s="139"/>
      <c r="H1024" s="245"/>
    </row>
    <row r="1025" spans="2:8" x14ac:dyDescent="0.25">
      <c r="B1025" s="139"/>
      <c r="H1025" s="245"/>
    </row>
    <row r="1026" spans="2:8" x14ac:dyDescent="0.25">
      <c r="B1026" s="139"/>
      <c r="H1026" s="245"/>
    </row>
    <row r="1027" spans="2:8" x14ac:dyDescent="0.25">
      <c r="B1027" s="139"/>
      <c r="H1027" s="245"/>
    </row>
    <row r="1028" spans="2:8" x14ac:dyDescent="0.25">
      <c r="B1028" s="139"/>
      <c r="H1028" s="245"/>
    </row>
    <row r="1029" spans="2:8" x14ac:dyDescent="0.25">
      <c r="B1029" s="139"/>
      <c r="H1029" s="245"/>
    </row>
    <row r="1030" spans="2:8" x14ac:dyDescent="0.25">
      <c r="B1030" s="139"/>
      <c r="H1030" s="245"/>
    </row>
    <row r="1031" spans="2:8" x14ac:dyDescent="0.25">
      <c r="B1031" s="139"/>
      <c r="H1031" s="245"/>
    </row>
    <row r="1032" spans="2:8" x14ac:dyDescent="0.25">
      <c r="B1032" s="139"/>
      <c r="H1032" s="245"/>
    </row>
    <row r="1033" spans="2:8" x14ac:dyDescent="0.25">
      <c r="B1033" s="139"/>
      <c r="H1033" s="245"/>
    </row>
    <row r="1034" spans="2:8" x14ac:dyDescent="0.25">
      <c r="B1034" s="139"/>
      <c r="H1034" s="245"/>
    </row>
    <row r="1035" spans="2:8" x14ac:dyDescent="0.25">
      <c r="B1035" s="139"/>
      <c r="H1035" s="245"/>
    </row>
    <row r="1036" spans="2:8" x14ac:dyDescent="0.25">
      <c r="B1036" s="139"/>
      <c r="H1036" s="245"/>
    </row>
    <row r="1037" spans="2:8" x14ac:dyDescent="0.25">
      <c r="B1037" s="139"/>
      <c r="H1037" s="245"/>
    </row>
    <row r="1038" spans="2:8" x14ac:dyDescent="0.25">
      <c r="B1038" s="139"/>
      <c r="H1038" s="245"/>
    </row>
    <row r="1039" spans="2:8" x14ac:dyDescent="0.25">
      <c r="B1039" s="139"/>
      <c r="H1039" s="245"/>
    </row>
    <row r="1040" spans="2:8" x14ac:dyDescent="0.25">
      <c r="B1040" s="139"/>
      <c r="H1040" s="245"/>
    </row>
    <row r="1041" spans="2:8" x14ac:dyDescent="0.25">
      <c r="B1041" s="139"/>
      <c r="H1041" s="245"/>
    </row>
    <row r="1042" spans="2:8" x14ac:dyDescent="0.25">
      <c r="B1042" s="139"/>
      <c r="H1042" s="245"/>
    </row>
    <row r="1043" spans="2:8" x14ac:dyDescent="0.25">
      <c r="B1043" s="139"/>
      <c r="H1043" s="245"/>
    </row>
    <row r="1044" spans="2:8" x14ac:dyDescent="0.25">
      <c r="B1044" s="139"/>
      <c r="H1044" s="245"/>
    </row>
    <row r="1045" spans="2:8" x14ac:dyDescent="0.25">
      <c r="B1045" s="139"/>
      <c r="H1045" s="245"/>
    </row>
    <row r="1046" spans="2:8" x14ac:dyDescent="0.25">
      <c r="B1046" s="139"/>
      <c r="H1046" s="245"/>
    </row>
    <row r="1047" spans="2:8" x14ac:dyDescent="0.25">
      <c r="B1047" s="139"/>
      <c r="H1047" s="245"/>
    </row>
    <row r="1048" spans="2:8" x14ac:dyDescent="0.25">
      <c r="B1048" s="139"/>
      <c r="H1048" s="245"/>
    </row>
    <row r="1049" spans="2:8" x14ac:dyDescent="0.25">
      <c r="B1049" s="139"/>
      <c r="H1049" s="245"/>
    </row>
    <row r="1050" spans="2:8" x14ac:dyDescent="0.25">
      <c r="B1050" s="139"/>
      <c r="H1050" s="245"/>
    </row>
    <row r="1051" spans="2:8" x14ac:dyDescent="0.25">
      <c r="B1051" s="139"/>
      <c r="H1051" s="245"/>
    </row>
    <row r="1052" spans="2:8" x14ac:dyDescent="0.25">
      <c r="B1052" s="139"/>
      <c r="H1052" s="245"/>
    </row>
    <row r="1053" spans="2:8" x14ac:dyDescent="0.25">
      <c r="B1053" s="139"/>
      <c r="H1053" s="245"/>
    </row>
    <row r="1054" spans="2:8" x14ac:dyDescent="0.25">
      <c r="B1054" s="139"/>
      <c r="H1054" s="245"/>
    </row>
    <row r="1055" spans="2:8" x14ac:dyDescent="0.25">
      <c r="B1055" s="139"/>
      <c r="H1055" s="245"/>
    </row>
    <row r="1056" spans="2:8" x14ac:dyDescent="0.25">
      <c r="B1056" s="139"/>
      <c r="H1056" s="245"/>
    </row>
    <row r="1057" spans="2:8" x14ac:dyDescent="0.25">
      <c r="B1057" s="139"/>
      <c r="H1057" s="245"/>
    </row>
    <row r="1058" spans="2:8" x14ac:dyDescent="0.25">
      <c r="B1058" s="139"/>
      <c r="H1058" s="245"/>
    </row>
    <row r="1059" spans="2:8" x14ac:dyDescent="0.25">
      <c r="B1059" s="139"/>
      <c r="H1059" s="245"/>
    </row>
    <row r="1060" spans="2:8" x14ac:dyDescent="0.25">
      <c r="B1060" s="139"/>
      <c r="H1060" s="245"/>
    </row>
    <row r="1061" spans="2:8" x14ac:dyDescent="0.25">
      <c r="B1061" s="139"/>
      <c r="H1061" s="245"/>
    </row>
    <row r="1062" spans="2:8" x14ac:dyDescent="0.25">
      <c r="B1062" s="139"/>
      <c r="H1062" s="245"/>
    </row>
    <row r="1063" spans="2:8" x14ac:dyDescent="0.25">
      <c r="B1063" s="139"/>
      <c r="H1063" s="245"/>
    </row>
    <row r="1064" spans="2:8" x14ac:dyDescent="0.25">
      <c r="B1064" s="139"/>
      <c r="H1064" s="245"/>
    </row>
    <row r="1065" spans="2:8" x14ac:dyDescent="0.25">
      <c r="B1065" s="139"/>
      <c r="H1065" s="245"/>
    </row>
    <row r="1066" spans="2:8" x14ac:dyDescent="0.25">
      <c r="B1066" s="139"/>
      <c r="H1066" s="245"/>
    </row>
    <row r="1067" spans="2:8" x14ac:dyDescent="0.25">
      <c r="B1067" s="139"/>
      <c r="H1067" s="245"/>
    </row>
    <row r="1068" spans="2:8" x14ac:dyDescent="0.25">
      <c r="B1068" s="139"/>
      <c r="H1068" s="245"/>
    </row>
    <row r="1069" spans="2:8" x14ac:dyDescent="0.25">
      <c r="B1069" s="139"/>
      <c r="H1069" s="245"/>
    </row>
    <row r="1070" spans="2:8" x14ac:dyDescent="0.25">
      <c r="B1070" s="139"/>
      <c r="H1070" s="245"/>
    </row>
    <row r="1071" spans="2:8" x14ac:dyDescent="0.25">
      <c r="B1071" s="139"/>
      <c r="H1071" s="245"/>
    </row>
    <row r="1072" spans="2:8" x14ac:dyDescent="0.25">
      <c r="B1072" s="139"/>
      <c r="H1072" s="245"/>
    </row>
    <row r="1073" spans="2:8" x14ac:dyDescent="0.25">
      <c r="B1073" s="139"/>
      <c r="H1073" s="245"/>
    </row>
    <row r="1074" spans="2:8" x14ac:dyDescent="0.25">
      <c r="B1074" s="139"/>
      <c r="H1074" s="245"/>
    </row>
    <row r="1075" spans="2:8" x14ac:dyDescent="0.25">
      <c r="B1075" s="139"/>
      <c r="H1075" s="245"/>
    </row>
    <row r="1076" spans="2:8" x14ac:dyDescent="0.25">
      <c r="B1076" s="139"/>
      <c r="H1076" s="245"/>
    </row>
    <row r="1077" spans="2:8" x14ac:dyDescent="0.25">
      <c r="B1077" s="139"/>
      <c r="H1077" s="245"/>
    </row>
    <row r="1078" spans="2:8" x14ac:dyDescent="0.25">
      <c r="B1078" s="139"/>
      <c r="H1078" s="245"/>
    </row>
    <row r="1079" spans="2:8" x14ac:dyDescent="0.25">
      <c r="B1079" s="139"/>
      <c r="H1079" s="245"/>
    </row>
    <row r="1080" spans="2:8" x14ac:dyDescent="0.25">
      <c r="B1080" s="139"/>
      <c r="H1080" s="245"/>
    </row>
    <row r="1081" spans="2:8" x14ac:dyDescent="0.25">
      <c r="B1081" s="139"/>
      <c r="H1081" s="245"/>
    </row>
    <row r="1082" spans="2:8" x14ac:dyDescent="0.25">
      <c r="B1082" s="139"/>
      <c r="H1082" s="245"/>
    </row>
    <row r="1083" spans="2:8" x14ac:dyDescent="0.25">
      <c r="B1083" s="139"/>
      <c r="H1083" s="245"/>
    </row>
    <row r="1084" spans="2:8" x14ac:dyDescent="0.25">
      <c r="B1084" s="139"/>
      <c r="H1084" s="245"/>
    </row>
    <row r="1085" spans="2:8" x14ac:dyDescent="0.25">
      <c r="B1085" s="139"/>
      <c r="H1085" s="245"/>
    </row>
    <row r="1086" spans="2:8" x14ac:dyDescent="0.25">
      <c r="B1086" s="139"/>
      <c r="H1086" s="245"/>
    </row>
    <row r="1087" spans="2:8" x14ac:dyDescent="0.25">
      <c r="B1087" s="139"/>
      <c r="H1087" s="245"/>
    </row>
    <row r="1088" spans="2:8" x14ac:dyDescent="0.25">
      <c r="B1088" s="139"/>
      <c r="H1088" s="245"/>
    </row>
    <row r="1089" spans="2:8" x14ac:dyDescent="0.25">
      <c r="B1089" s="139"/>
      <c r="H1089" s="245"/>
    </row>
    <row r="1090" spans="2:8" x14ac:dyDescent="0.25">
      <c r="B1090" s="139"/>
      <c r="H1090" s="245"/>
    </row>
    <row r="1091" spans="2:8" x14ac:dyDescent="0.25">
      <c r="B1091" s="139"/>
      <c r="H1091" s="245"/>
    </row>
    <row r="1092" spans="2:8" x14ac:dyDescent="0.25">
      <c r="B1092" s="139"/>
      <c r="H1092" s="245"/>
    </row>
    <row r="1093" spans="2:8" x14ac:dyDescent="0.25">
      <c r="B1093" s="139"/>
      <c r="H1093" s="245"/>
    </row>
    <row r="1094" spans="2:8" x14ac:dyDescent="0.25">
      <c r="B1094" s="139"/>
      <c r="H1094" s="245"/>
    </row>
    <row r="1095" spans="2:8" x14ac:dyDescent="0.25">
      <c r="B1095" s="139"/>
      <c r="H1095" s="245"/>
    </row>
    <row r="1096" spans="2:8" x14ac:dyDescent="0.25">
      <c r="B1096" s="139"/>
      <c r="H1096" s="245"/>
    </row>
    <row r="1097" spans="2:8" x14ac:dyDescent="0.25">
      <c r="B1097" s="139"/>
      <c r="H1097" s="245"/>
    </row>
    <row r="1098" spans="2:8" x14ac:dyDescent="0.25">
      <c r="B1098" s="139"/>
      <c r="H1098" s="245"/>
    </row>
    <row r="1099" spans="2:8" x14ac:dyDescent="0.25">
      <c r="B1099" s="139"/>
      <c r="H1099" s="245"/>
    </row>
    <row r="1100" spans="2:8" x14ac:dyDescent="0.25">
      <c r="B1100" s="139"/>
      <c r="H1100" s="245"/>
    </row>
    <row r="1101" spans="2:8" x14ac:dyDescent="0.25">
      <c r="B1101" s="139"/>
      <c r="H1101" s="245"/>
    </row>
    <row r="1102" spans="2:8" x14ac:dyDescent="0.25">
      <c r="B1102" s="139"/>
      <c r="H1102" s="245"/>
    </row>
    <row r="1103" spans="2:8" x14ac:dyDescent="0.25">
      <c r="B1103" s="139"/>
      <c r="H1103" s="245"/>
    </row>
    <row r="1104" spans="2:8" x14ac:dyDescent="0.25">
      <c r="B1104" s="139"/>
      <c r="H1104" s="245"/>
    </row>
    <row r="1105" spans="2:8" x14ac:dyDescent="0.25">
      <c r="B1105" s="139"/>
      <c r="H1105" s="245"/>
    </row>
    <row r="1106" spans="2:8" x14ac:dyDescent="0.25">
      <c r="B1106" s="139"/>
      <c r="H1106" s="245"/>
    </row>
    <row r="1107" spans="2:8" x14ac:dyDescent="0.25">
      <c r="B1107" s="139"/>
      <c r="H1107" s="245"/>
    </row>
    <row r="1108" spans="2:8" x14ac:dyDescent="0.25">
      <c r="B1108" s="139"/>
      <c r="H1108" s="245"/>
    </row>
    <row r="1109" spans="2:8" x14ac:dyDescent="0.25">
      <c r="B1109" s="139"/>
      <c r="H1109" s="245"/>
    </row>
    <row r="1110" spans="2:8" x14ac:dyDescent="0.25">
      <c r="B1110" s="139"/>
      <c r="H1110" s="245"/>
    </row>
    <row r="1111" spans="2:8" x14ac:dyDescent="0.25">
      <c r="B1111" s="139"/>
      <c r="H1111" s="245"/>
    </row>
    <row r="1112" spans="2:8" x14ac:dyDescent="0.25">
      <c r="B1112" s="139"/>
      <c r="H1112" s="245"/>
    </row>
    <row r="1113" spans="2:8" x14ac:dyDescent="0.25">
      <c r="B1113" s="139"/>
      <c r="H1113" s="245"/>
    </row>
    <row r="1114" spans="2:8" x14ac:dyDescent="0.25">
      <c r="B1114" s="139"/>
      <c r="H1114" s="245"/>
    </row>
    <row r="1115" spans="2:8" x14ac:dyDescent="0.25">
      <c r="B1115" s="139"/>
      <c r="H1115" s="245"/>
    </row>
    <row r="1116" spans="2:8" x14ac:dyDescent="0.25">
      <c r="B1116" s="139"/>
      <c r="H1116" s="245"/>
    </row>
    <row r="1117" spans="2:8" x14ac:dyDescent="0.25">
      <c r="B1117" s="139"/>
      <c r="H1117" s="245"/>
    </row>
    <row r="1118" spans="2:8" x14ac:dyDescent="0.25">
      <c r="B1118" s="139"/>
      <c r="H1118" s="245"/>
    </row>
    <row r="1119" spans="2:8" x14ac:dyDescent="0.25">
      <c r="B1119" s="139"/>
      <c r="H1119" s="245"/>
    </row>
    <row r="1120" spans="2:8" x14ac:dyDescent="0.25">
      <c r="B1120" s="139"/>
      <c r="H1120" s="245"/>
    </row>
    <row r="1121" spans="2:8" x14ac:dyDescent="0.25">
      <c r="B1121" s="139"/>
      <c r="H1121" s="245"/>
    </row>
    <row r="1122" spans="2:8" x14ac:dyDescent="0.25">
      <c r="B1122" s="139"/>
      <c r="H1122" s="245"/>
    </row>
    <row r="1123" spans="2:8" x14ac:dyDescent="0.25">
      <c r="B1123" s="139"/>
      <c r="H1123" s="245"/>
    </row>
    <row r="1124" spans="2:8" x14ac:dyDescent="0.25">
      <c r="B1124" s="139"/>
      <c r="H1124" s="245"/>
    </row>
    <row r="1125" spans="2:8" x14ac:dyDescent="0.25">
      <c r="B1125" s="139"/>
      <c r="H1125" s="245"/>
    </row>
    <row r="1126" spans="2:8" x14ac:dyDescent="0.25">
      <c r="B1126" s="139"/>
      <c r="H1126" s="245"/>
    </row>
    <row r="1127" spans="2:8" x14ac:dyDescent="0.25">
      <c r="B1127" s="139"/>
      <c r="H1127" s="245"/>
    </row>
    <row r="1128" spans="2:8" x14ac:dyDescent="0.25">
      <c r="B1128" s="139"/>
      <c r="H1128" s="245"/>
    </row>
    <row r="1129" spans="2:8" x14ac:dyDescent="0.25">
      <c r="B1129" s="139"/>
      <c r="H1129" s="245"/>
    </row>
    <row r="1130" spans="2:8" x14ac:dyDescent="0.25">
      <c r="B1130" s="139"/>
      <c r="H1130" s="245"/>
    </row>
    <row r="1131" spans="2:8" x14ac:dyDescent="0.25">
      <c r="B1131" s="139"/>
      <c r="H1131" s="245"/>
    </row>
    <row r="1132" spans="2:8" x14ac:dyDescent="0.25">
      <c r="B1132" s="139"/>
      <c r="H1132" s="245"/>
    </row>
    <row r="1133" spans="2:8" x14ac:dyDescent="0.25">
      <c r="B1133" s="139"/>
      <c r="H1133" s="245"/>
    </row>
    <row r="1134" spans="2:8" x14ac:dyDescent="0.25">
      <c r="B1134" s="139"/>
      <c r="H1134" s="245"/>
    </row>
    <row r="1135" spans="2:8" x14ac:dyDescent="0.25">
      <c r="B1135" s="139"/>
      <c r="H1135" s="245"/>
    </row>
    <row r="1136" spans="2:8" x14ac:dyDescent="0.25">
      <c r="B1136" s="139"/>
      <c r="H1136" s="245"/>
    </row>
    <row r="1137" spans="2:8" x14ac:dyDescent="0.25">
      <c r="B1137" s="139"/>
      <c r="H1137" s="245"/>
    </row>
    <row r="1138" spans="2:8" x14ac:dyDescent="0.25">
      <c r="B1138" s="139"/>
      <c r="H1138" s="245"/>
    </row>
    <row r="1139" spans="2:8" x14ac:dyDescent="0.25">
      <c r="B1139" s="139"/>
      <c r="H1139" s="245"/>
    </row>
    <row r="1140" spans="2:8" x14ac:dyDescent="0.25">
      <c r="B1140" s="139"/>
      <c r="H1140" s="245"/>
    </row>
    <row r="1141" spans="2:8" x14ac:dyDescent="0.25">
      <c r="B1141" s="139"/>
      <c r="H1141" s="245"/>
    </row>
    <row r="1142" spans="2:8" x14ac:dyDescent="0.25">
      <c r="B1142" s="139"/>
      <c r="H1142" s="245"/>
    </row>
    <row r="1143" spans="2:8" x14ac:dyDescent="0.25">
      <c r="B1143" s="139"/>
      <c r="H1143" s="245"/>
    </row>
    <row r="1144" spans="2:8" x14ac:dyDescent="0.25">
      <c r="B1144" s="139"/>
      <c r="H1144" s="245"/>
    </row>
    <row r="1145" spans="2:8" x14ac:dyDescent="0.25">
      <c r="B1145" s="139"/>
      <c r="H1145" s="245"/>
    </row>
    <row r="1146" spans="2:8" x14ac:dyDescent="0.25">
      <c r="B1146" s="139"/>
      <c r="H1146" s="245"/>
    </row>
    <row r="1147" spans="2:8" x14ac:dyDescent="0.25">
      <c r="B1147" s="139"/>
      <c r="H1147" s="245"/>
    </row>
    <row r="1148" spans="2:8" x14ac:dyDescent="0.25">
      <c r="B1148" s="139"/>
      <c r="H1148" s="245"/>
    </row>
    <row r="1149" spans="2:8" x14ac:dyDescent="0.25">
      <c r="B1149" s="139"/>
      <c r="H1149" s="245"/>
    </row>
    <row r="1150" spans="2:8" x14ac:dyDescent="0.25">
      <c r="B1150" s="139"/>
      <c r="H1150" s="245"/>
    </row>
    <row r="1151" spans="2:8" x14ac:dyDescent="0.25">
      <c r="B1151" s="139"/>
      <c r="H1151" s="245"/>
    </row>
    <row r="1152" spans="2:8" x14ac:dyDescent="0.25">
      <c r="B1152" s="139"/>
      <c r="H1152" s="245"/>
    </row>
    <row r="1153" spans="2:8" x14ac:dyDescent="0.25">
      <c r="B1153" s="139"/>
      <c r="H1153" s="245"/>
    </row>
    <row r="1154" spans="2:8" x14ac:dyDescent="0.25">
      <c r="B1154" s="139"/>
      <c r="H1154" s="245"/>
    </row>
    <row r="1155" spans="2:8" x14ac:dyDescent="0.25">
      <c r="B1155" s="139"/>
      <c r="H1155" s="245"/>
    </row>
    <row r="1156" spans="2:8" x14ac:dyDescent="0.25">
      <c r="B1156" s="139"/>
      <c r="H1156" s="245"/>
    </row>
    <row r="1157" spans="2:8" x14ac:dyDescent="0.25">
      <c r="B1157" s="139"/>
      <c r="H1157" s="245"/>
    </row>
    <row r="1158" spans="2:8" x14ac:dyDescent="0.25">
      <c r="B1158" s="139"/>
      <c r="H1158" s="245"/>
    </row>
    <row r="1159" spans="2:8" x14ac:dyDescent="0.25">
      <c r="B1159" s="139"/>
      <c r="H1159" s="245"/>
    </row>
    <row r="1160" spans="2:8" x14ac:dyDescent="0.25">
      <c r="B1160" s="139"/>
      <c r="H1160" s="245"/>
    </row>
    <row r="1161" spans="2:8" x14ac:dyDescent="0.25">
      <c r="B1161" s="139"/>
      <c r="H1161" s="245"/>
    </row>
    <row r="1162" spans="2:8" x14ac:dyDescent="0.25">
      <c r="B1162" s="139"/>
      <c r="H1162" s="245"/>
    </row>
    <row r="1163" spans="2:8" x14ac:dyDescent="0.25">
      <c r="B1163" s="139"/>
      <c r="H1163" s="245"/>
    </row>
    <row r="1164" spans="2:8" x14ac:dyDescent="0.25">
      <c r="B1164" s="139"/>
      <c r="H1164" s="245"/>
    </row>
    <row r="1165" spans="2:8" x14ac:dyDescent="0.25">
      <c r="B1165" s="139"/>
      <c r="H1165" s="245"/>
    </row>
    <row r="1166" spans="2:8" x14ac:dyDescent="0.25">
      <c r="B1166" s="139"/>
      <c r="H1166" s="245"/>
    </row>
    <row r="1167" spans="2:8" x14ac:dyDescent="0.25">
      <c r="B1167" s="139"/>
      <c r="H1167" s="245"/>
    </row>
    <row r="1168" spans="2:8" x14ac:dyDescent="0.25">
      <c r="B1168" s="139"/>
      <c r="H1168" s="245"/>
    </row>
    <row r="1169" spans="2:8" x14ac:dyDescent="0.25">
      <c r="B1169" s="139"/>
      <c r="H1169" s="245"/>
    </row>
    <row r="1170" spans="2:8" x14ac:dyDescent="0.25">
      <c r="B1170" s="139"/>
      <c r="H1170" s="245"/>
    </row>
    <row r="1171" spans="2:8" x14ac:dyDescent="0.25">
      <c r="B1171" s="139"/>
      <c r="H1171" s="245"/>
    </row>
    <row r="1172" spans="2:8" x14ac:dyDescent="0.25">
      <c r="B1172" s="139"/>
      <c r="H1172" s="245"/>
    </row>
    <row r="1173" spans="2:8" x14ac:dyDescent="0.25">
      <c r="B1173" s="139"/>
      <c r="H1173" s="245"/>
    </row>
    <row r="1174" spans="2:8" x14ac:dyDescent="0.25">
      <c r="B1174" s="139"/>
      <c r="H1174" s="245"/>
    </row>
    <row r="1175" spans="2:8" x14ac:dyDescent="0.25">
      <c r="B1175" s="139"/>
      <c r="H1175" s="245"/>
    </row>
    <row r="1176" spans="2:8" x14ac:dyDescent="0.25">
      <c r="B1176" s="139"/>
      <c r="H1176" s="245"/>
    </row>
    <row r="1177" spans="2:8" x14ac:dyDescent="0.25">
      <c r="B1177" s="139"/>
      <c r="H1177" s="245"/>
    </row>
    <row r="1178" spans="2:8" x14ac:dyDescent="0.25">
      <c r="B1178" s="139"/>
      <c r="H1178" s="245"/>
    </row>
    <row r="1179" spans="2:8" x14ac:dyDescent="0.25">
      <c r="B1179" s="139"/>
      <c r="H1179" s="245"/>
    </row>
    <row r="1180" spans="2:8" x14ac:dyDescent="0.25">
      <c r="B1180" s="139"/>
      <c r="H1180" s="245"/>
    </row>
    <row r="1181" spans="2:8" x14ac:dyDescent="0.25">
      <c r="B1181" s="139"/>
      <c r="H1181" s="245"/>
    </row>
    <row r="1182" spans="2:8" x14ac:dyDescent="0.25">
      <c r="B1182" s="139"/>
      <c r="H1182" s="245"/>
    </row>
    <row r="1183" spans="2:8" x14ac:dyDescent="0.25">
      <c r="B1183" s="139"/>
      <c r="H1183" s="245"/>
    </row>
    <row r="1184" spans="2:8" x14ac:dyDescent="0.25">
      <c r="B1184" s="139"/>
      <c r="H1184" s="245"/>
    </row>
    <row r="1185" spans="2:8" x14ac:dyDescent="0.25">
      <c r="B1185" s="139"/>
      <c r="H1185" s="245"/>
    </row>
    <row r="1186" spans="2:8" x14ac:dyDescent="0.25">
      <c r="B1186" s="139"/>
      <c r="H1186" s="245"/>
    </row>
    <row r="1187" spans="2:8" x14ac:dyDescent="0.25">
      <c r="B1187" s="139"/>
      <c r="H1187" s="245"/>
    </row>
    <row r="1188" spans="2:8" x14ac:dyDescent="0.25">
      <c r="B1188" s="139"/>
      <c r="H1188" s="245"/>
    </row>
    <row r="1189" spans="2:8" x14ac:dyDescent="0.25">
      <c r="B1189" s="139"/>
      <c r="H1189" s="245"/>
    </row>
    <row r="1190" spans="2:8" x14ac:dyDescent="0.25">
      <c r="B1190" s="139"/>
      <c r="H1190" s="245"/>
    </row>
    <row r="1191" spans="2:8" x14ac:dyDescent="0.25">
      <c r="B1191" s="139"/>
      <c r="H1191" s="245"/>
    </row>
    <row r="1192" spans="2:8" x14ac:dyDescent="0.25">
      <c r="B1192" s="139"/>
      <c r="H1192" s="245"/>
    </row>
    <row r="1193" spans="2:8" x14ac:dyDescent="0.25">
      <c r="B1193" s="139"/>
      <c r="H1193" s="245"/>
    </row>
    <row r="1194" spans="2:8" x14ac:dyDescent="0.25">
      <c r="B1194" s="139"/>
      <c r="H1194" s="245"/>
    </row>
    <row r="1195" spans="2:8" x14ac:dyDescent="0.25">
      <c r="B1195" s="139"/>
      <c r="H1195" s="245"/>
    </row>
    <row r="1196" spans="2:8" x14ac:dyDescent="0.25">
      <c r="B1196" s="139"/>
      <c r="H1196" s="245"/>
    </row>
    <row r="1197" spans="2:8" x14ac:dyDescent="0.25">
      <c r="B1197" s="139"/>
      <c r="H1197" s="245"/>
    </row>
    <row r="1198" spans="2:8" x14ac:dyDescent="0.25">
      <c r="B1198" s="139"/>
      <c r="H1198" s="245"/>
    </row>
    <row r="1199" spans="2:8" x14ac:dyDescent="0.25">
      <c r="B1199" s="139"/>
      <c r="H1199" s="245"/>
    </row>
    <row r="1200" spans="2:8" x14ac:dyDescent="0.25">
      <c r="B1200" s="139"/>
      <c r="H1200" s="245"/>
    </row>
    <row r="1201" spans="2:8" x14ac:dyDescent="0.25">
      <c r="B1201" s="139"/>
      <c r="H1201" s="245"/>
    </row>
    <row r="1202" spans="2:8" x14ac:dyDescent="0.25">
      <c r="B1202" s="139"/>
      <c r="H1202" s="245"/>
    </row>
    <row r="1203" spans="2:8" x14ac:dyDescent="0.25">
      <c r="B1203" s="139"/>
      <c r="H1203" s="245"/>
    </row>
    <row r="1204" spans="2:8" x14ac:dyDescent="0.25">
      <c r="B1204" s="139"/>
      <c r="H1204" s="245"/>
    </row>
    <row r="1205" spans="2:8" x14ac:dyDescent="0.25">
      <c r="B1205" s="139"/>
      <c r="H1205" s="245"/>
    </row>
    <row r="1206" spans="2:8" x14ac:dyDescent="0.25">
      <c r="B1206" s="139"/>
      <c r="H1206" s="245"/>
    </row>
    <row r="1207" spans="2:8" x14ac:dyDescent="0.25">
      <c r="B1207" s="139"/>
      <c r="H1207" s="245"/>
    </row>
    <row r="1208" spans="2:8" x14ac:dyDescent="0.25">
      <c r="B1208" s="139"/>
      <c r="H1208" s="245"/>
    </row>
    <row r="1209" spans="2:8" x14ac:dyDescent="0.25">
      <c r="B1209" s="139"/>
      <c r="H1209" s="245"/>
    </row>
    <row r="1210" spans="2:8" x14ac:dyDescent="0.25">
      <c r="B1210" s="139"/>
      <c r="H1210" s="245"/>
    </row>
    <row r="1211" spans="2:8" x14ac:dyDescent="0.25">
      <c r="B1211" s="139"/>
      <c r="H1211" s="245"/>
    </row>
    <row r="1212" spans="2:8" x14ac:dyDescent="0.25">
      <c r="B1212" s="139"/>
      <c r="H1212" s="245"/>
    </row>
    <row r="1213" spans="2:8" x14ac:dyDescent="0.25">
      <c r="B1213" s="139"/>
      <c r="H1213" s="245"/>
    </row>
    <row r="1214" spans="2:8" x14ac:dyDescent="0.25">
      <c r="B1214" s="139"/>
      <c r="H1214" s="245"/>
    </row>
    <row r="1215" spans="2:8" x14ac:dyDescent="0.25">
      <c r="B1215" s="139"/>
      <c r="H1215" s="245"/>
    </row>
    <row r="1216" spans="2:8" x14ac:dyDescent="0.25">
      <c r="B1216" s="139"/>
      <c r="H1216" s="245"/>
    </row>
    <row r="1217" spans="2:8" x14ac:dyDescent="0.25">
      <c r="B1217" s="139"/>
      <c r="H1217" s="245"/>
    </row>
    <row r="1218" spans="2:8" x14ac:dyDescent="0.25">
      <c r="B1218" s="139"/>
      <c r="H1218" s="245"/>
    </row>
    <row r="1219" spans="2:8" x14ac:dyDescent="0.25">
      <c r="B1219" s="139"/>
      <c r="H1219" s="245"/>
    </row>
    <row r="1220" spans="2:8" x14ac:dyDescent="0.25">
      <c r="B1220" s="139"/>
      <c r="H1220" s="245"/>
    </row>
    <row r="1221" spans="2:8" x14ac:dyDescent="0.25">
      <c r="B1221" s="139"/>
      <c r="H1221" s="245"/>
    </row>
    <row r="1222" spans="2:8" x14ac:dyDescent="0.25">
      <c r="B1222" s="139"/>
      <c r="H1222" s="245"/>
    </row>
    <row r="1223" spans="2:8" x14ac:dyDescent="0.25">
      <c r="B1223" s="139"/>
      <c r="H1223" s="245"/>
    </row>
    <row r="1224" spans="2:8" x14ac:dyDescent="0.25">
      <c r="B1224" s="139"/>
      <c r="H1224" s="245"/>
    </row>
    <row r="1225" spans="2:8" x14ac:dyDescent="0.25">
      <c r="B1225" s="139"/>
      <c r="H1225" s="245"/>
    </row>
    <row r="1226" spans="2:8" x14ac:dyDescent="0.25">
      <c r="B1226" s="139"/>
      <c r="H1226" s="245"/>
    </row>
    <row r="1227" spans="2:8" x14ac:dyDescent="0.25">
      <c r="B1227" s="139"/>
      <c r="H1227" s="245"/>
    </row>
    <row r="1228" spans="2:8" x14ac:dyDescent="0.25">
      <c r="B1228" s="139"/>
      <c r="H1228" s="245"/>
    </row>
    <row r="1229" spans="2:8" x14ac:dyDescent="0.25">
      <c r="B1229" s="139"/>
      <c r="H1229" s="245"/>
    </row>
    <row r="1230" spans="2:8" x14ac:dyDescent="0.25">
      <c r="B1230" s="139"/>
      <c r="H1230" s="245"/>
    </row>
    <row r="1231" spans="2:8" x14ac:dyDescent="0.25">
      <c r="B1231" s="139"/>
      <c r="H1231" s="245"/>
    </row>
    <row r="1232" spans="2:8" x14ac:dyDescent="0.25">
      <c r="B1232" s="139"/>
      <c r="H1232" s="245"/>
    </row>
    <row r="1233" spans="2:8" x14ac:dyDescent="0.25">
      <c r="B1233" s="139"/>
      <c r="H1233" s="245"/>
    </row>
    <row r="1234" spans="2:8" x14ac:dyDescent="0.25">
      <c r="B1234" s="139"/>
      <c r="H1234" s="245"/>
    </row>
    <row r="1235" spans="2:8" x14ac:dyDescent="0.25">
      <c r="B1235" s="139"/>
      <c r="H1235" s="245"/>
    </row>
    <row r="1236" spans="2:8" x14ac:dyDescent="0.25">
      <c r="B1236" s="139"/>
      <c r="H1236" s="245"/>
    </row>
    <row r="1237" spans="2:8" x14ac:dyDescent="0.25">
      <c r="B1237" s="139"/>
      <c r="H1237" s="245"/>
    </row>
    <row r="1238" spans="2:8" x14ac:dyDescent="0.25">
      <c r="B1238" s="139"/>
      <c r="H1238" s="245"/>
    </row>
    <row r="1239" spans="2:8" x14ac:dyDescent="0.25">
      <c r="B1239" s="139"/>
      <c r="H1239" s="245"/>
    </row>
    <row r="1240" spans="2:8" x14ac:dyDescent="0.25">
      <c r="B1240" s="139"/>
      <c r="H1240" s="245"/>
    </row>
    <row r="1241" spans="2:8" x14ac:dyDescent="0.25">
      <c r="B1241" s="139"/>
      <c r="H1241" s="245"/>
    </row>
    <row r="1242" spans="2:8" x14ac:dyDescent="0.25">
      <c r="B1242" s="139"/>
      <c r="H1242" s="245"/>
    </row>
    <row r="1243" spans="2:8" x14ac:dyDescent="0.25">
      <c r="B1243" s="139"/>
      <c r="H1243" s="245"/>
    </row>
    <row r="1244" spans="2:8" x14ac:dyDescent="0.25">
      <c r="B1244" s="139"/>
      <c r="H1244" s="245"/>
    </row>
    <row r="1245" spans="2:8" x14ac:dyDescent="0.25">
      <c r="B1245" s="139"/>
      <c r="H1245" s="245"/>
    </row>
    <row r="1246" spans="2:8" x14ac:dyDescent="0.25">
      <c r="B1246" s="139"/>
      <c r="H1246" s="245"/>
    </row>
    <row r="1247" spans="2:8" x14ac:dyDescent="0.25">
      <c r="B1247" s="139"/>
      <c r="H1247" s="245"/>
    </row>
    <row r="1248" spans="2:8" x14ac:dyDescent="0.25">
      <c r="B1248" s="139"/>
      <c r="H1248" s="245"/>
    </row>
    <row r="1249" spans="2:8" x14ac:dyDescent="0.25">
      <c r="B1249" s="139"/>
      <c r="H1249" s="245"/>
    </row>
    <row r="1250" spans="2:8" x14ac:dyDescent="0.25">
      <c r="B1250" s="139"/>
      <c r="H1250" s="245"/>
    </row>
    <row r="1251" spans="2:8" x14ac:dyDescent="0.25">
      <c r="B1251" s="139"/>
      <c r="H1251" s="245"/>
    </row>
    <row r="1252" spans="2:8" x14ac:dyDescent="0.25">
      <c r="B1252" s="139"/>
      <c r="H1252" s="245"/>
    </row>
    <row r="1253" spans="2:8" x14ac:dyDescent="0.25">
      <c r="B1253" s="139"/>
      <c r="H1253" s="245"/>
    </row>
    <row r="1254" spans="2:8" x14ac:dyDescent="0.25">
      <c r="B1254" s="139"/>
      <c r="H1254" s="245"/>
    </row>
    <row r="1255" spans="2:8" x14ac:dyDescent="0.25">
      <c r="B1255" s="139"/>
      <c r="H1255" s="245"/>
    </row>
    <row r="1256" spans="2:8" x14ac:dyDescent="0.25">
      <c r="B1256" s="139"/>
      <c r="H1256" s="245"/>
    </row>
    <row r="1257" spans="2:8" x14ac:dyDescent="0.25">
      <c r="B1257" s="139"/>
      <c r="H1257" s="245"/>
    </row>
    <row r="1258" spans="2:8" x14ac:dyDescent="0.25">
      <c r="B1258" s="139"/>
      <c r="H1258" s="245"/>
    </row>
    <row r="1259" spans="2:8" x14ac:dyDescent="0.25">
      <c r="B1259" s="139"/>
      <c r="H1259" s="245"/>
    </row>
    <row r="1260" spans="2:8" x14ac:dyDescent="0.25">
      <c r="B1260" s="139"/>
      <c r="H1260" s="245"/>
    </row>
    <row r="1261" spans="2:8" x14ac:dyDescent="0.25">
      <c r="B1261" s="139"/>
      <c r="H1261" s="245"/>
    </row>
    <row r="1262" spans="2:8" x14ac:dyDescent="0.25">
      <c r="B1262" s="139"/>
      <c r="H1262" s="245"/>
    </row>
    <row r="1263" spans="2:8" x14ac:dyDescent="0.25">
      <c r="B1263" s="139"/>
      <c r="H1263" s="245"/>
    </row>
    <row r="1264" spans="2:8" x14ac:dyDescent="0.25">
      <c r="B1264" s="139"/>
      <c r="H1264" s="245"/>
    </row>
  </sheetData>
  <autoFilter ref="B5:X5" xr:uid="{7E4A8101-891A-460A-AA74-515E21D661B5}"/>
  <sortState xmlns:xlrd2="http://schemas.microsoft.com/office/spreadsheetml/2017/richdata2" ref="B6:W22">
    <sortCondition ref="B6"/>
  </sortState>
  <mergeCells count="2">
    <mergeCell ref="U3:W3"/>
    <mergeCell ref="K4:L4"/>
  </mergeCells>
  <hyperlinks>
    <hyperlink ref="D2" location="Menu!A1" display="Menu" xr:uid="{3654F2D3-BABF-42A3-8066-B8BD3B263944}"/>
    <hyperlink ref="I2" location="Menu!A1" display="Menu" xr:uid="{D2903323-3A1F-4EAA-83CB-209BED19C6E4}"/>
  </hyperlinks>
  <pageMargins left="0.511811024" right="0.511811024" top="0.78740157499999996" bottom="0.78740157499999996" header="0.31496062000000002" footer="0.31496062000000002"/>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7CD2-DA9B-4927-BCD2-33BDF7BA6D45}">
  <sheetPr codeName="Sheet17">
    <tabColor rgb="FF002962"/>
  </sheetPr>
  <dimension ref="A1:Z1264"/>
  <sheetViews>
    <sheetView showGridLines="0" showRowColHeaders="0" zoomScale="90" zoomScaleNormal="90" workbookViewId="0">
      <pane xSplit="2" ySplit="5" topLeftCell="C6" activePane="bottomRight" state="frozen"/>
      <selection activeCell="M2" sqref="M2"/>
      <selection pane="topRight" activeCell="M2" sqref="M2"/>
      <selection pane="bottomLeft" activeCell="M2" sqref="M2"/>
      <selection pane="bottomRight" activeCell="B7" sqref="B7:X400"/>
    </sheetView>
  </sheetViews>
  <sheetFormatPr defaultColWidth="0" defaultRowHeight="0" customHeight="1" zeroHeight="1" x14ac:dyDescent="0.25"/>
  <cols>
    <col min="1" max="1" width="0.5703125" style="23" customWidth="1"/>
    <col min="2" max="2" width="13.28515625" style="85" customWidth="1"/>
    <col min="3" max="3" width="20.140625" style="85" bestFit="1" customWidth="1"/>
    <col min="4" max="4" width="44.85546875" style="85" bestFit="1" customWidth="1"/>
    <col min="5" max="5" width="31.42578125" style="85" bestFit="1" customWidth="1"/>
    <col min="6" max="6" width="21.28515625" style="85" bestFit="1" customWidth="1"/>
    <col min="7" max="7" width="12.7109375" style="85" bestFit="1" customWidth="1"/>
    <col min="8" max="8" width="23.140625" style="240" bestFit="1" customWidth="1"/>
    <col min="9" max="9" width="12.140625" style="238" bestFit="1" customWidth="1"/>
    <col min="10" max="10" width="11.140625" style="238" bestFit="1" customWidth="1"/>
    <col min="11" max="11" width="8.85546875" style="239" bestFit="1" customWidth="1"/>
    <col min="12" max="12" width="17.42578125" style="238" bestFit="1" customWidth="1"/>
    <col min="13" max="13" width="17.42578125" style="240" bestFit="1" customWidth="1"/>
    <col min="14" max="14" width="10.42578125" style="238" bestFit="1" customWidth="1"/>
    <col min="15" max="15" width="10.5703125" style="238" bestFit="1" customWidth="1"/>
    <col min="16" max="16" width="12" style="238" customWidth="1"/>
    <col min="17" max="18" width="16" style="238" bestFit="1" customWidth="1"/>
    <col min="19" max="19" width="16" style="241" customWidth="1"/>
    <col min="20" max="22" width="11.42578125" style="238" customWidth="1"/>
    <col min="23" max="23" width="12.5703125" style="240" customWidth="1"/>
    <col min="24" max="24" width="0.5703125" style="23" customWidth="1"/>
    <col min="25" max="25" width="0" style="23" hidden="1" customWidth="1"/>
    <col min="26" max="26" width="0" style="23" hidden="1"/>
    <col min="27" max="16384" width="9.140625" style="23" hidden="1"/>
  </cols>
  <sheetData>
    <row r="1" spans="2:24" ht="3" customHeight="1" thickBot="1" x14ac:dyDescent="0.3">
      <c r="B1" s="23"/>
      <c r="C1" s="23"/>
      <c r="D1" s="23"/>
      <c r="E1" s="23"/>
      <c r="F1" s="23"/>
      <c r="G1" s="23"/>
      <c r="H1" s="220"/>
      <c r="I1" s="220"/>
      <c r="J1" s="220"/>
      <c r="K1" s="220"/>
      <c r="L1" s="220"/>
      <c r="M1" s="220"/>
      <c r="N1" s="220"/>
      <c r="O1" s="220"/>
      <c r="P1" s="220"/>
      <c r="Q1" s="220"/>
      <c r="R1" s="220"/>
      <c r="S1" s="221"/>
      <c r="T1" s="220"/>
      <c r="U1" s="220"/>
      <c r="V1" s="220"/>
      <c r="W1" s="220"/>
    </row>
    <row r="2" spans="2:24" ht="18" customHeight="1" thickBot="1" x14ac:dyDescent="0.3">
      <c r="B2" s="23"/>
      <c r="C2" s="23"/>
      <c r="D2" s="96" t="s">
        <v>57</v>
      </c>
      <c r="E2" s="24"/>
      <c r="F2" s="24"/>
      <c r="G2" s="23"/>
      <c r="H2" s="96" t="s">
        <v>57</v>
      </c>
      <c r="I2" s="220"/>
      <c r="J2" s="220"/>
      <c r="K2" s="211"/>
      <c r="L2" s="220"/>
      <c r="M2" s="220"/>
      <c r="N2" s="220"/>
      <c r="O2" s="220"/>
      <c r="P2" s="222"/>
      <c r="Q2" s="222"/>
      <c r="R2" s="222"/>
      <c r="S2" s="223"/>
      <c r="T2" s="224"/>
      <c r="U2" s="224"/>
      <c r="V2" s="224"/>
      <c r="W2" s="220"/>
    </row>
    <row r="3" spans="2:24" ht="16.5" customHeight="1" thickBot="1" x14ac:dyDescent="0.3">
      <c r="B3" s="23"/>
      <c r="C3" s="23"/>
      <c r="D3" s="23"/>
      <c r="E3" s="23"/>
      <c r="F3" s="23"/>
      <c r="G3" s="23"/>
      <c r="H3" s="220"/>
      <c r="I3" s="220"/>
      <c r="J3" s="220"/>
      <c r="K3" s="220"/>
      <c r="L3" s="220"/>
      <c r="M3" s="220"/>
      <c r="N3" s="220"/>
      <c r="O3" s="220"/>
      <c r="P3" s="224"/>
      <c r="Q3" s="220"/>
      <c r="R3" s="220"/>
      <c r="S3" s="221"/>
      <c r="T3" s="262" t="s">
        <v>0</v>
      </c>
      <c r="U3" s="262"/>
      <c r="V3" s="262"/>
      <c r="W3" s="220"/>
    </row>
    <row r="4" spans="2:24" ht="15.75" customHeight="1" x14ac:dyDescent="0.25">
      <c r="B4" s="88"/>
      <c r="C4" s="88"/>
      <c r="D4" s="88"/>
      <c r="E4" s="88" t="s">
        <v>1</v>
      </c>
      <c r="F4" s="88"/>
      <c r="G4" s="89"/>
      <c r="H4" s="90" t="s">
        <v>47</v>
      </c>
      <c r="I4" s="90" t="s">
        <v>3</v>
      </c>
      <c r="J4" s="263" t="s">
        <v>4</v>
      </c>
      <c r="K4" s="264"/>
      <c r="L4" s="90" t="s">
        <v>5</v>
      </c>
      <c r="M4" s="90" t="s">
        <v>6</v>
      </c>
      <c r="N4" s="91" t="s">
        <v>7</v>
      </c>
      <c r="O4" s="92"/>
      <c r="P4" s="91" t="s">
        <v>8</v>
      </c>
      <c r="Q4" s="92"/>
      <c r="R4" s="92"/>
      <c r="S4" s="93"/>
      <c r="T4" s="90" t="s">
        <v>9</v>
      </c>
      <c r="U4" s="90" t="s">
        <v>10</v>
      </c>
      <c r="V4" s="90" t="s">
        <v>40</v>
      </c>
      <c r="W4" s="90" t="s">
        <v>237</v>
      </c>
    </row>
    <row r="5" spans="2:24" s="66" customFormat="1" ht="15.75" customHeight="1" x14ac:dyDescent="0.25">
      <c r="B5" s="187" t="s">
        <v>11</v>
      </c>
      <c r="C5" s="187" t="s">
        <v>236</v>
      </c>
      <c r="D5" s="94" t="s">
        <v>12</v>
      </c>
      <c r="E5" s="94" t="s">
        <v>13</v>
      </c>
      <c r="F5" s="94" t="s">
        <v>39</v>
      </c>
      <c r="G5" s="94" t="s">
        <v>129</v>
      </c>
      <c r="H5" s="94" t="s">
        <v>48</v>
      </c>
      <c r="I5" s="94" t="s">
        <v>16</v>
      </c>
      <c r="J5" s="94" t="s">
        <v>17</v>
      </c>
      <c r="K5" s="94" t="s">
        <v>15</v>
      </c>
      <c r="L5" s="94" t="s">
        <v>16</v>
      </c>
      <c r="M5" s="94" t="s">
        <v>17</v>
      </c>
      <c r="N5" s="94" t="s">
        <v>18</v>
      </c>
      <c r="O5" s="94">
        <v>2025</v>
      </c>
      <c r="P5" s="94" t="s">
        <v>40</v>
      </c>
      <c r="Q5" s="94" t="s">
        <v>104</v>
      </c>
      <c r="R5" s="94" t="s">
        <v>130</v>
      </c>
      <c r="S5" s="95" t="s">
        <v>110</v>
      </c>
      <c r="T5" s="94" t="s">
        <v>15</v>
      </c>
      <c r="U5" s="94" t="s">
        <v>15</v>
      </c>
      <c r="V5" s="94" t="s">
        <v>15</v>
      </c>
      <c r="W5" s="94" t="s">
        <v>44</v>
      </c>
    </row>
    <row r="6" spans="2:24" ht="14.25" customHeight="1" x14ac:dyDescent="0.25">
      <c r="B6" s="82" t="s">
        <v>265</v>
      </c>
      <c r="C6" s="242">
        <v>44625826000111</v>
      </c>
      <c r="D6" s="83" t="s">
        <v>266</v>
      </c>
      <c r="E6" s="83" t="s">
        <v>267</v>
      </c>
      <c r="F6" s="83" t="s">
        <v>268</v>
      </c>
      <c r="G6" s="83" t="s">
        <v>126</v>
      </c>
      <c r="H6" s="227">
        <v>383825.04862000002</v>
      </c>
      <c r="I6" s="225">
        <v>6.31</v>
      </c>
      <c r="J6" s="225">
        <v>8.0364232640999997</v>
      </c>
      <c r="K6" s="226">
        <v>0.78517516967875356</v>
      </c>
      <c r="L6" s="227">
        <v>151675262.03999999</v>
      </c>
      <c r="M6" s="227">
        <v>207648492.97</v>
      </c>
      <c r="N6" s="228">
        <v>0.73044239267</v>
      </c>
      <c r="O6" s="228">
        <v>1.0183375272999999</v>
      </c>
      <c r="P6" s="229">
        <v>0.20166402536</v>
      </c>
      <c r="Q6" s="229">
        <v>0.17115689381933441</v>
      </c>
      <c r="R6" s="229">
        <v>1.4263074484944533E-2</v>
      </c>
      <c r="S6" s="230">
        <v>0.09</v>
      </c>
      <c r="T6" s="231">
        <v>-4.9698795180999997E-2</v>
      </c>
      <c r="U6" s="231">
        <v>-0.20007913465999999</v>
      </c>
      <c r="V6" s="231">
        <v>-7.9482423980000005E-3</v>
      </c>
      <c r="W6" s="232" t="str">
        <f>IF(OR(B6="",G6="FI-Infra"),"",HYPERLINK("https://content.btgpactual.com/research/ativo/https://content.btgpactual.com/research/ativo/"&amp;B6,"Link"))</f>
        <v>Link</v>
      </c>
    </row>
    <row r="7" spans="2:24" ht="14.25" customHeight="1" x14ac:dyDescent="0.25">
      <c r="B7" s="82" t="s">
        <v>269</v>
      </c>
      <c r="C7" s="242">
        <v>43951911000107</v>
      </c>
      <c r="D7" s="83" t="s">
        <v>270</v>
      </c>
      <c r="E7" s="83" t="s">
        <v>271</v>
      </c>
      <c r="F7" s="83" t="s">
        <v>225</v>
      </c>
      <c r="G7" s="83" t="s">
        <v>126</v>
      </c>
      <c r="H7" s="227">
        <v>274096.55385000003</v>
      </c>
      <c r="I7" s="225">
        <v>7.81</v>
      </c>
      <c r="J7" s="225">
        <v>8.5693506498000005</v>
      </c>
      <c r="K7" s="226">
        <v>0.91138760906957128</v>
      </c>
      <c r="L7" s="227" t="s">
        <v>44</v>
      </c>
      <c r="M7" s="227">
        <v>188986046.13999999</v>
      </c>
      <c r="N7" s="228" t="s">
        <v>44</v>
      </c>
      <c r="O7" s="228" t="s">
        <v>44</v>
      </c>
      <c r="P7" s="229">
        <v>0.18693982074000001</v>
      </c>
      <c r="Q7" s="229">
        <v>0.18437900128040974</v>
      </c>
      <c r="R7" s="229">
        <v>1.5364916773367477E-2</v>
      </c>
      <c r="S7" s="230">
        <v>0.12</v>
      </c>
      <c r="T7" s="231">
        <v>-9.0326633162E-3</v>
      </c>
      <c r="U7" s="231">
        <v>4.1360237624999997E-2</v>
      </c>
      <c r="V7" s="231">
        <v>0.16925284357000001</v>
      </c>
      <c r="W7" s="232" t="str">
        <f t="shared" ref="W7:W13" si="0">IF(OR(B7="",G7="FI-Infra"),"",HYPERLINK("https://content.btgpactual.com/research/ativo/https://content.btgpactual.com/research/ativo/"&amp;B7,"Link"))</f>
        <v>Link</v>
      </c>
      <c r="X7" s="82"/>
    </row>
    <row r="8" spans="2:24" ht="14.25" customHeight="1" x14ac:dyDescent="0.25">
      <c r="B8" s="82" t="s">
        <v>273</v>
      </c>
      <c r="C8" s="242">
        <v>42592257000120</v>
      </c>
      <c r="D8" s="83" t="s">
        <v>274</v>
      </c>
      <c r="E8" s="83" t="s">
        <v>272</v>
      </c>
      <c r="F8" s="83" t="s">
        <v>272</v>
      </c>
      <c r="G8" s="83" t="s">
        <v>126</v>
      </c>
      <c r="H8" s="227">
        <v>322826.90230999998</v>
      </c>
      <c r="I8" s="225">
        <v>61.74</v>
      </c>
      <c r="J8" s="225">
        <v>74.979857722999995</v>
      </c>
      <c r="K8" s="226">
        <v>0.82342114102280195</v>
      </c>
      <c r="L8" s="227">
        <v>247278825.36000001</v>
      </c>
      <c r="M8" s="227">
        <v>373400210.79000002</v>
      </c>
      <c r="N8" s="228">
        <v>0.66223536628000002</v>
      </c>
      <c r="O8" s="228">
        <v>0.83319821368000002</v>
      </c>
      <c r="P8" s="229">
        <v>0.17039196631</v>
      </c>
      <c r="Q8" s="229">
        <v>0.1554907677356657</v>
      </c>
      <c r="R8" s="229">
        <v>1.2957563977972141E-2</v>
      </c>
      <c r="S8" s="230">
        <v>0.8</v>
      </c>
      <c r="T8" s="231">
        <v>-4.5602102334E-2</v>
      </c>
      <c r="U8" s="231">
        <v>-2.2997523735999999E-2</v>
      </c>
      <c r="V8" s="231">
        <v>0.10553177793</v>
      </c>
      <c r="W8" s="232" t="str">
        <f t="shared" si="0"/>
        <v>Link</v>
      </c>
      <c r="X8" s="82"/>
    </row>
    <row r="9" spans="2:24" ht="14.25" customHeight="1" x14ac:dyDescent="0.25">
      <c r="B9" s="82" t="s">
        <v>263</v>
      </c>
      <c r="C9" s="242">
        <v>52512069000106</v>
      </c>
      <c r="D9" s="83" t="s">
        <v>264</v>
      </c>
      <c r="E9" s="83" t="s">
        <v>220</v>
      </c>
      <c r="F9" s="83" t="s">
        <v>170</v>
      </c>
      <c r="G9" s="83" t="s">
        <v>127</v>
      </c>
      <c r="H9" s="227">
        <v>133161.37414999999</v>
      </c>
      <c r="I9" s="225">
        <v>65</v>
      </c>
      <c r="J9" s="225">
        <v>87.439805019999994</v>
      </c>
      <c r="K9" s="226">
        <v>0.74336853776300893</v>
      </c>
      <c r="L9" s="227" t="s">
        <v>44</v>
      </c>
      <c r="M9" s="227"/>
      <c r="N9" s="228" t="s">
        <v>44</v>
      </c>
      <c r="O9" s="228" t="s">
        <v>44</v>
      </c>
      <c r="P9" s="229">
        <v>0.20169230768999999</v>
      </c>
      <c r="Q9" s="229" t="s">
        <v>44</v>
      </c>
      <c r="R9" s="229" t="s">
        <v>44</v>
      </c>
      <c r="S9" s="230" t="s">
        <v>44</v>
      </c>
      <c r="T9" s="231">
        <v>-0.14453516109</v>
      </c>
      <c r="U9" s="231">
        <v>-0.16017564036000001</v>
      </c>
      <c r="V9" s="231">
        <v>-0.10927219122</v>
      </c>
      <c r="W9" s="232" t="str">
        <f t="shared" si="0"/>
        <v>Link</v>
      </c>
      <c r="X9" s="82"/>
    </row>
    <row r="10" spans="2:24" ht="14.25" customHeight="1" x14ac:dyDescent="0.25">
      <c r="B10" s="82" t="s">
        <v>277</v>
      </c>
      <c r="C10" s="242">
        <v>40771109000147</v>
      </c>
      <c r="D10" s="83" t="s">
        <v>278</v>
      </c>
      <c r="E10" s="83" t="s">
        <v>119</v>
      </c>
      <c r="F10" s="83" t="s">
        <v>119</v>
      </c>
      <c r="G10" s="83" t="s">
        <v>127</v>
      </c>
      <c r="H10" s="227">
        <v>382757.88338000001</v>
      </c>
      <c r="I10" s="225">
        <v>97.99</v>
      </c>
      <c r="J10" s="225">
        <v>112.45192188999999</v>
      </c>
      <c r="K10" s="226">
        <v>0.87139462228003006</v>
      </c>
      <c r="L10" s="227" t="s">
        <v>44</v>
      </c>
      <c r="M10" s="227">
        <v>162727537.78</v>
      </c>
      <c r="N10" s="228" t="s">
        <v>44</v>
      </c>
      <c r="O10" s="228" t="s">
        <v>44</v>
      </c>
      <c r="P10" s="229">
        <v>0.16124094294999999</v>
      </c>
      <c r="Q10" s="229">
        <v>0.15919991835901626</v>
      </c>
      <c r="R10" s="229">
        <v>1.3266659863251354E-2</v>
      </c>
      <c r="S10" s="230">
        <v>1.3</v>
      </c>
      <c r="T10" s="231">
        <v>-1.7023282875999999E-2</v>
      </c>
      <c r="U10" s="231">
        <v>-9.3838131306000008E-3</v>
      </c>
      <c r="V10" s="231">
        <v>0.21600428439</v>
      </c>
      <c r="W10" s="232" t="str">
        <f t="shared" si="0"/>
        <v>Link</v>
      </c>
      <c r="X10" s="82"/>
    </row>
    <row r="11" spans="2:24" ht="14.25" customHeight="1" x14ac:dyDescent="0.25">
      <c r="B11" s="82" t="s">
        <v>279</v>
      </c>
      <c r="C11" s="242">
        <v>42537579000176</v>
      </c>
      <c r="D11" s="83" t="s">
        <v>280</v>
      </c>
      <c r="E11" s="83" t="s">
        <v>228</v>
      </c>
      <c r="F11" s="83" t="s">
        <v>119</v>
      </c>
      <c r="G11" s="83" t="s">
        <v>126</v>
      </c>
      <c r="H11" s="227">
        <v>217046.75568999999</v>
      </c>
      <c r="I11" s="225">
        <v>7.42</v>
      </c>
      <c r="J11" s="225">
        <v>8.1002747111000009</v>
      </c>
      <c r="K11" s="226">
        <v>0.91601831600009764</v>
      </c>
      <c r="L11" s="227">
        <v>147099110.75999999</v>
      </c>
      <c r="M11" s="227">
        <v>195604315.69</v>
      </c>
      <c r="N11" s="228">
        <v>0.75202385101000002</v>
      </c>
      <c r="O11" s="228">
        <v>1.0043867938</v>
      </c>
      <c r="P11" s="229">
        <v>0.17991913746999999</v>
      </c>
      <c r="Q11" s="229">
        <v>0.17789757412398921</v>
      </c>
      <c r="R11" s="229">
        <v>1.4824797843665768E-2</v>
      </c>
      <c r="S11" s="230">
        <v>0.11</v>
      </c>
      <c r="T11" s="231">
        <v>-3.8877571420999998E-2</v>
      </c>
      <c r="U11" s="231">
        <v>2.4099856090999999E-2</v>
      </c>
      <c r="V11" s="231">
        <v>0.17696390839000001</v>
      </c>
      <c r="W11" s="232" t="str">
        <f t="shared" si="0"/>
        <v>Link</v>
      </c>
      <c r="X11" s="82"/>
    </row>
    <row r="12" spans="2:24" ht="14.25" customHeight="1" x14ac:dyDescent="0.25">
      <c r="B12" s="82" t="s">
        <v>281</v>
      </c>
      <c r="C12" s="242">
        <v>48903610000121</v>
      </c>
      <c r="D12" s="83" t="s">
        <v>282</v>
      </c>
      <c r="E12" s="83" t="s">
        <v>44</v>
      </c>
      <c r="F12" s="83" t="s">
        <v>44</v>
      </c>
      <c r="G12" s="83" t="s">
        <v>126</v>
      </c>
      <c r="H12" s="227">
        <v>639760.11814999999</v>
      </c>
      <c r="I12" s="225">
        <v>91</v>
      </c>
      <c r="J12" s="225">
        <v>98.718461723000004</v>
      </c>
      <c r="K12" s="226">
        <v>0.92181339145399477</v>
      </c>
      <c r="L12" s="227">
        <v>215655076</v>
      </c>
      <c r="M12" s="227">
        <v>242032309.75999999</v>
      </c>
      <c r="N12" s="228">
        <v>0.89101771665999996</v>
      </c>
      <c r="O12" s="228" t="s">
        <v>44</v>
      </c>
      <c r="P12" s="229">
        <v>0.15989010988999999</v>
      </c>
      <c r="Q12" s="229">
        <v>0.16483516483516483</v>
      </c>
      <c r="R12" s="229">
        <v>1.3736263736263736E-2</v>
      </c>
      <c r="S12" s="230">
        <v>1.25</v>
      </c>
      <c r="T12" s="231">
        <v>1.4723678050000001E-3</v>
      </c>
      <c r="U12" s="231">
        <v>4.9417313562999998E-2</v>
      </c>
      <c r="V12" s="231">
        <v>0.11972667111</v>
      </c>
      <c r="W12" s="232" t="str">
        <f t="shared" si="0"/>
        <v>Link</v>
      </c>
      <c r="X12" s="82"/>
    </row>
    <row r="13" spans="2:24" ht="14.25" customHeight="1" x14ac:dyDescent="0.25">
      <c r="B13" s="82" t="s">
        <v>283</v>
      </c>
      <c r="C13" s="242">
        <v>42888360000111</v>
      </c>
      <c r="D13" s="83" t="s">
        <v>284</v>
      </c>
      <c r="E13" s="83" t="s">
        <v>285</v>
      </c>
      <c r="F13" s="83" t="s">
        <v>167</v>
      </c>
      <c r="G13" s="83" t="s">
        <v>126</v>
      </c>
      <c r="H13" s="227">
        <v>67361.248923000006</v>
      </c>
      <c r="I13" s="225">
        <v>6.18</v>
      </c>
      <c r="J13" s="225">
        <v>7.1951356581999999</v>
      </c>
      <c r="K13" s="226">
        <v>0.85891361797423627</v>
      </c>
      <c r="L13" s="227">
        <v>41646432.899999999</v>
      </c>
      <c r="M13" s="227">
        <v>65332307.140000001</v>
      </c>
      <c r="N13" s="228">
        <v>0.63745541406999995</v>
      </c>
      <c r="O13" s="228">
        <v>0.95266675563000003</v>
      </c>
      <c r="P13" s="229">
        <v>0.18284789643999999</v>
      </c>
      <c r="Q13" s="229">
        <v>0.17475728155339806</v>
      </c>
      <c r="R13" s="229">
        <v>1.4563106796116505E-2</v>
      </c>
      <c r="S13" s="230">
        <v>0.09</v>
      </c>
      <c r="T13" s="231">
        <v>-9.2458637937999993E-2</v>
      </c>
      <c r="U13" s="231">
        <v>-7.2935999540999996E-2</v>
      </c>
      <c r="V13" s="231">
        <v>3.0944567134000001E-2</v>
      </c>
      <c r="W13" s="232" t="str">
        <f t="shared" si="0"/>
        <v>Link</v>
      </c>
      <c r="X13" s="82"/>
    </row>
    <row r="14" spans="2:24" ht="14.25" customHeight="1" x14ac:dyDescent="0.25">
      <c r="B14" s="82" t="s">
        <v>286</v>
      </c>
      <c r="C14" s="242">
        <v>41224330000148</v>
      </c>
      <c r="D14" s="83" t="s">
        <v>287</v>
      </c>
      <c r="E14" s="83" t="s">
        <v>288</v>
      </c>
      <c r="F14" s="83" t="s">
        <v>276</v>
      </c>
      <c r="G14" s="83" t="s">
        <v>126</v>
      </c>
      <c r="H14" s="227">
        <v>936990.98938000004</v>
      </c>
      <c r="I14" s="225">
        <v>82.21</v>
      </c>
      <c r="J14" s="225">
        <v>92.495097994000005</v>
      </c>
      <c r="K14" s="226">
        <v>0.88880385861457012</v>
      </c>
      <c r="L14" s="227">
        <v>257474649.94</v>
      </c>
      <c r="M14" s="227">
        <v>310197301.57999998</v>
      </c>
      <c r="N14" s="228">
        <v>0.83003510549000004</v>
      </c>
      <c r="O14" s="228">
        <v>1.0237113007</v>
      </c>
      <c r="P14" s="229">
        <v>0.20411142197000001</v>
      </c>
      <c r="Q14" s="229">
        <v>0.20435470137452866</v>
      </c>
      <c r="R14" s="229">
        <v>1.7029558447877388E-2</v>
      </c>
      <c r="S14" s="230">
        <v>1.4</v>
      </c>
      <c r="T14" s="231">
        <v>-4.1137762182E-2</v>
      </c>
      <c r="U14" s="231">
        <v>-2.6380179928E-2</v>
      </c>
      <c r="V14" s="231">
        <v>4.3364073224000002E-2</v>
      </c>
      <c r="W14" s="232" t="str">
        <f t="shared" ref="W14:W19" si="1">IF(OR(B14="",G14="FI-Infra"),"",HYPERLINK("https://content.btgpactual.com/research/ativo/https://content.btgpactual.com/research/ativo/"&amp;B14,"Link"))</f>
        <v>Link</v>
      </c>
      <c r="X14" s="82"/>
    </row>
    <row r="15" spans="2:24" ht="14.25" customHeight="1" x14ac:dyDescent="0.25">
      <c r="B15" s="82" t="s">
        <v>289</v>
      </c>
      <c r="C15" s="242">
        <v>42405905000191</v>
      </c>
      <c r="D15" s="83" t="s">
        <v>290</v>
      </c>
      <c r="E15" s="83" t="s">
        <v>291</v>
      </c>
      <c r="F15" s="83" t="s">
        <v>275</v>
      </c>
      <c r="G15" s="83" t="s">
        <v>126</v>
      </c>
      <c r="H15" s="227">
        <v>730606.68354</v>
      </c>
      <c r="I15" s="225">
        <v>7.8</v>
      </c>
      <c r="J15" s="225">
        <v>8.8233397628999999</v>
      </c>
      <c r="K15" s="226">
        <v>0.88401900069598416</v>
      </c>
      <c r="L15" s="227">
        <v>351611902.19999999</v>
      </c>
      <c r="M15" s="227">
        <v>424181943.19999999</v>
      </c>
      <c r="N15" s="228">
        <v>0.82891765629000003</v>
      </c>
      <c r="O15" s="228">
        <v>1.0392226312999999</v>
      </c>
      <c r="P15" s="229">
        <v>0.17884615384999999</v>
      </c>
      <c r="Q15" s="229">
        <v>0.16923076923076924</v>
      </c>
      <c r="R15" s="229">
        <v>1.4102564102564103E-2</v>
      </c>
      <c r="S15" s="230">
        <v>0.11</v>
      </c>
      <c r="T15" s="231">
        <v>-3.2241878709999998E-2</v>
      </c>
      <c r="U15" s="231">
        <v>-4.6815881142999997E-2</v>
      </c>
      <c r="V15" s="231">
        <v>8.6886566531000006E-2</v>
      </c>
      <c r="W15" s="232" t="str">
        <f t="shared" si="1"/>
        <v>Link</v>
      </c>
      <c r="X15" s="82"/>
    </row>
    <row r="16" spans="2:24" ht="14.25" customHeight="1" x14ac:dyDescent="0.25">
      <c r="B16" s="82" t="s">
        <v>292</v>
      </c>
      <c r="C16" s="242">
        <v>42537438000153</v>
      </c>
      <c r="D16" s="83" t="s">
        <v>293</v>
      </c>
      <c r="E16" s="83" t="s">
        <v>294</v>
      </c>
      <c r="F16" s="83" t="s">
        <v>119</v>
      </c>
      <c r="G16" s="83" t="s">
        <v>126</v>
      </c>
      <c r="H16" s="227">
        <v>65696.942154000004</v>
      </c>
      <c r="I16" s="225">
        <v>6.73</v>
      </c>
      <c r="J16" s="225">
        <v>9.0827235579999996</v>
      </c>
      <c r="K16" s="226">
        <v>0.74096717322991335</v>
      </c>
      <c r="L16" s="227">
        <v>30015476.960000001</v>
      </c>
      <c r="M16" s="227">
        <v>47318286.530000001</v>
      </c>
      <c r="N16" s="228">
        <v>0.63433144267999997</v>
      </c>
      <c r="O16" s="228">
        <v>0.95597436506</v>
      </c>
      <c r="P16" s="229">
        <v>0.21040118870999999</v>
      </c>
      <c r="Q16" s="229">
        <v>0.14799405646359584</v>
      </c>
      <c r="R16" s="229">
        <v>1.2332838038632986E-2</v>
      </c>
      <c r="S16" s="230">
        <v>8.3000000000000004E-2</v>
      </c>
      <c r="T16" s="231">
        <v>-4.7196338462999997E-2</v>
      </c>
      <c r="U16" s="231">
        <v>-0.19167390965</v>
      </c>
      <c r="V16" s="231">
        <v>-5.1780272677E-2</v>
      </c>
      <c r="W16" s="232" t="str">
        <f t="shared" si="1"/>
        <v>Link</v>
      </c>
      <c r="X16" s="82"/>
    </row>
    <row r="17" spans="2:24" ht="14.25" customHeight="1" x14ac:dyDescent="0.25">
      <c r="B17" s="82" t="s">
        <v>247</v>
      </c>
      <c r="C17" s="242">
        <v>37037297000170</v>
      </c>
      <c r="D17" s="83" t="s">
        <v>248</v>
      </c>
      <c r="E17" s="83" t="s">
        <v>249</v>
      </c>
      <c r="F17" s="83" t="s">
        <v>229</v>
      </c>
      <c r="G17" s="83" t="s">
        <v>126</v>
      </c>
      <c r="H17" s="227">
        <v>175486.43831</v>
      </c>
      <c r="I17" s="225">
        <v>47.6</v>
      </c>
      <c r="J17" s="225">
        <v>60.261122807</v>
      </c>
      <c r="K17" s="226">
        <v>0.78989567042170561</v>
      </c>
      <c r="L17" s="227">
        <v>83341174</v>
      </c>
      <c r="M17" s="227">
        <v>149068440.56</v>
      </c>
      <c r="N17" s="228">
        <v>0.55907993460000005</v>
      </c>
      <c r="O17" s="228">
        <v>0.98534229437999998</v>
      </c>
      <c r="P17" s="229">
        <v>0.17100840336000001</v>
      </c>
      <c r="Q17" s="229">
        <v>0.17142857142857143</v>
      </c>
      <c r="R17" s="229">
        <v>1.4285714285714287E-2</v>
      </c>
      <c r="S17" s="230">
        <v>0.68</v>
      </c>
      <c r="T17" s="231">
        <v>-4.1577920076000002E-2</v>
      </c>
      <c r="U17" s="231">
        <v>-2.2174865898999998E-3</v>
      </c>
      <c r="V17" s="231">
        <v>8.8767230096000002E-2</v>
      </c>
      <c r="W17" s="232" t="str">
        <f t="shared" si="1"/>
        <v>Link</v>
      </c>
      <c r="X17" s="82"/>
    </row>
    <row r="18" spans="2:24" ht="14.25" customHeight="1" x14ac:dyDescent="0.25">
      <c r="B18" s="82" t="s">
        <v>295</v>
      </c>
      <c r="C18" s="242">
        <v>42692399000169</v>
      </c>
      <c r="D18" s="83" t="s">
        <v>296</v>
      </c>
      <c r="E18" s="83" t="s">
        <v>44</v>
      </c>
      <c r="F18" s="83" t="s">
        <v>44</v>
      </c>
      <c r="G18" s="83" t="s">
        <v>126</v>
      </c>
      <c r="H18" s="227">
        <v>214195.08600000001</v>
      </c>
      <c r="I18" s="225">
        <v>7.13</v>
      </c>
      <c r="J18" s="225">
        <v>8.4284744841000006</v>
      </c>
      <c r="K18" s="226">
        <v>0.84594193331788292</v>
      </c>
      <c r="L18" s="227">
        <v>74538274.879999995</v>
      </c>
      <c r="M18" s="227">
        <v>102544691.70999999</v>
      </c>
      <c r="N18" s="228">
        <v>0.72688574744000001</v>
      </c>
      <c r="O18" s="228" t="s">
        <v>44</v>
      </c>
      <c r="P18" s="229">
        <v>0.20056100982</v>
      </c>
      <c r="Q18" s="229">
        <v>0.1683029453015428</v>
      </c>
      <c r="R18" s="229">
        <v>1.4025245441795233E-2</v>
      </c>
      <c r="S18" s="230">
        <v>0.1</v>
      </c>
      <c r="T18" s="231">
        <v>-0.11975308641</v>
      </c>
      <c r="U18" s="231">
        <v>-0.10514326993000001</v>
      </c>
      <c r="V18" s="231">
        <v>0.10768675646</v>
      </c>
      <c r="W18" s="232" t="str">
        <f t="shared" si="1"/>
        <v>Link</v>
      </c>
      <c r="X18" s="82"/>
    </row>
    <row r="19" spans="2:24" ht="14.25" customHeight="1" x14ac:dyDescent="0.25">
      <c r="B19" s="82" t="s">
        <v>297</v>
      </c>
      <c r="C19" s="242">
        <v>42888292000190</v>
      </c>
      <c r="D19" s="83" t="s">
        <v>298</v>
      </c>
      <c r="E19" s="83" t="s">
        <v>299</v>
      </c>
      <c r="F19" s="83" t="s">
        <v>167</v>
      </c>
      <c r="G19" s="83" t="s">
        <v>126</v>
      </c>
      <c r="H19" s="227">
        <v>460275.61168999999</v>
      </c>
      <c r="I19" s="225">
        <v>57.6</v>
      </c>
      <c r="J19" s="225">
        <v>68.139568025000003</v>
      </c>
      <c r="K19" s="226">
        <v>0.84532382093861969</v>
      </c>
      <c r="L19" s="227">
        <v>123335884.8</v>
      </c>
      <c r="M19" s="227">
        <v>205928866.53</v>
      </c>
      <c r="N19" s="228">
        <v>0.59892470093000005</v>
      </c>
      <c r="O19" s="228">
        <v>0.99470902117000004</v>
      </c>
      <c r="P19" s="229">
        <v>0.19965277778000001</v>
      </c>
      <c r="Q19" s="229">
        <v>0.20833333333333334</v>
      </c>
      <c r="R19" s="229">
        <v>1.7361111111111112E-2</v>
      </c>
      <c r="S19" s="230">
        <v>1</v>
      </c>
      <c r="T19" s="231">
        <v>-1.8739352641E-2</v>
      </c>
      <c r="U19" s="231">
        <v>-0.15467617906</v>
      </c>
      <c r="V19" s="231">
        <v>-4.6783318660000003E-2</v>
      </c>
      <c r="W19" s="232" t="str">
        <f t="shared" si="1"/>
        <v>Link</v>
      </c>
      <c r="X19" s="82"/>
    </row>
    <row r="20" spans="2:24" ht="14.25" customHeight="1" x14ac:dyDescent="0.25">
      <c r="B20" s="82" t="s">
        <v>300</v>
      </c>
      <c r="C20" s="242">
        <v>51641681000108</v>
      </c>
      <c r="D20" s="83" t="s">
        <v>301</v>
      </c>
      <c r="E20" s="83" t="s">
        <v>232</v>
      </c>
      <c r="F20" s="83" t="s">
        <v>231</v>
      </c>
      <c r="G20" s="83" t="s">
        <v>126</v>
      </c>
      <c r="H20" s="227">
        <v>77320.658922999995</v>
      </c>
      <c r="I20" s="225">
        <v>87</v>
      </c>
      <c r="J20" s="225">
        <v>96.533233671999994</v>
      </c>
      <c r="K20" s="226">
        <v>0.90124402436997031</v>
      </c>
      <c r="L20" s="227">
        <v>58375434</v>
      </c>
      <c r="M20" s="227">
        <v>65919149.560000002</v>
      </c>
      <c r="N20" s="228">
        <v>0.88556109097000002</v>
      </c>
      <c r="O20" s="228" t="s">
        <v>44</v>
      </c>
      <c r="P20" s="229">
        <v>6.0574712644000002E-2</v>
      </c>
      <c r="Q20" s="229">
        <v>6.2068965517241378E-2</v>
      </c>
      <c r="R20" s="229">
        <v>5.1724137931034482E-3</v>
      </c>
      <c r="S20" s="230">
        <v>0.45</v>
      </c>
      <c r="T20" s="231">
        <v>3.5098155859000002E-2</v>
      </c>
      <c r="U20" s="231">
        <v>-4.1723508271E-2</v>
      </c>
      <c r="V20" s="231">
        <v>-1.3177087345E-2</v>
      </c>
      <c r="W20" s="232" t="str">
        <f t="shared" ref="W20:W26" si="2">IF(OR(B20="",G20="FI-Infra"),"",HYPERLINK("https://content.btgpactual.com/research/ativo/https://content.btgpactual.com/research/ativo/"&amp;B20,"Link"))</f>
        <v>Link</v>
      </c>
      <c r="X20" s="82"/>
    </row>
    <row r="21" spans="2:24" ht="14.25" customHeight="1" x14ac:dyDescent="0.25">
      <c r="B21" s="82" t="s">
        <v>302</v>
      </c>
      <c r="C21" s="242">
        <v>41745701000137</v>
      </c>
      <c r="D21" s="83" t="s">
        <v>303</v>
      </c>
      <c r="E21" s="83" t="s">
        <v>232</v>
      </c>
      <c r="F21" s="83" t="s">
        <v>231</v>
      </c>
      <c r="G21" s="83" t="s">
        <v>126</v>
      </c>
      <c r="H21" s="227">
        <v>3436877.5066</v>
      </c>
      <c r="I21" s="225">
        <v>87</v>
      </c>
      <c r="J21" s="225">
        <v>92.570242766999996</v>
      </c>
      <c r="K21" s="226">
        <v>0.93982685363567275</v>
      </c>
      <c r="L21" s="227">
        <v>1879192953</v>
      </c>
      <c r="M21" s="227">
        <v>2217557831.4000001</v>
      </c>
      <c r="N21" s="228">
        <v>0.84741553361999999</v>
      </c>
      <c r="O21" s="228">
        <v>1.0372588546999999</v>
      </c>
      <c r="P21" s="229">
        <v>0.14816091953999999</v>
      </c>
      <c r="Q21" s="229">
        <v>0.13793103448275862</v>
      </c>
      <c r="R21" s="229">
        <v>1.1494252873563218E-2</v>
      </c>
      <c r="S21" s="230">
        <v>1</v>
      </c>
      <c r="T21" s="231">
        <v>-2.5100851636E-2</v>
      </c>
      <c r="U21" s="231">
        <v>-2.2068096677E-2</v>
      </c>
      <c r="V21" s="231">
        <v>7.4019489990000006E-2</v>
      </c>
      <c r="W21" s="232" t="str">
        <f t="shared" si="2"/>
        <v>Link</v>
      </c>
      <c r="X21" s="82"/>
    </row>
    <row r="22" spans="2:24" ht="14.25" customHeight="1" x14ac:dyDescent="0.25">
      <c r="B22" s="82" t="s">
        <v>304</v>
      </c>
      <c r="C22" s="242">
        <v>51475461000151</v>
      </c>
      <c r="D22" s="83" t="s">
        <v>305</v>
      </c>
      <c r="E22" s="83" t="s">
        <v>232</v>
      </c>
      <c r="F22" s="83" t="s">
        <v>231</v>
      </c>
      <c r="G22" s="83" t="s">
        <v>126</v>
      </c>
      <c r="H22" s="227">
        <v>150651.80046</v>
      </c>
      <c r="I22" s="225">
        <v>222.22</v>
      </c>
      <c r="J22" s="225">
        <v>272.72078492999998</v>
      </c>
      <c r="K22" s="226">
        <v>0.81482605022949695</v>
      </c>
      <c r="L22" s="227">
        <v>78816322.939999998</v>
      </c>
      <c r="M22" s="227">
        <v>349885384.75</v>
      </c>
      <c r="N22" s="228">
        <v>0.22526326156000001</v>
      </c>
      <c r="O22" s="228" t="s">
        <v>44</v>
      </c>
      <c r="P22" s="229">
        <v>0.4709297093</v>
      </c>
      <c r="Q22" s="229">
        <v>0.21600216002160022</v>
      </c>
      <c r="R22" s="229">
        <v>1.800018000180002E-2</v>
      </c>
      <c r="S22" s="230">
        <v>4</v>
      </c>
      <c r="T22" s="231">
        <v>-0.16844317765</v>
      </c>
      <c r="U22" s="231">
        <v>-1.3127368418E-2</v>
      </c>
      <c r="V22" s="231">
        <v>6.1449461937000002E-2</v>
      </c>
      <c r="W22" s="232" t="str">
        <f t="shared" si="2"/>
        <v>Link</v>
      </c>
      <c r="X22" s="82"/>
    </row>
    <row r="23" spans="2:24" ht="14.25" customHeight="1" x14ac:dyDescent="0.25">
      <c r="B23" s="82" t="s">
        <v>306</v>
      </c>
      <c r="C23" s="242">
        <v>42592476000109</v>
      </c>
      <c r="D23" s="83" t="s">
        <v>307</v>
      </c>
      <c r="E23" s="83" t="s">
        <v>308</v>
      </c>
      <c r="F23" s="83" t="s">
        <v>225</v>
      </c>
      <c r="G23" s="83" t="s">
        <v>126</v>
      </c>
      <c r="H23" s="227">
        <v>71105.447537999993</v>
      </c>
      <c r="I23" s="225">
        <v>74.239999999999995</v>
      </c>
      <c r="J23" s="225">
        <v>82.935557055000004</v>
      </c>
      <c r="K23" s="226">
        <v>0.89515284681534824</v>
      </c>
      <c r="L23" s="227">
        <v>74932956.159999996</v>
      </c>
      <c r="M23" s="227">
        <v>99162872.709999993</v>
      </c>
      <c r="N23" s="228">
        <v>0.75565535883000001</v>
      </c>
      <c r="O23" s="228">
        <v>1.1212540062</v>
      </c>
      <c r="P23" s="229">
        <v>0.17281788793</v>
      </c>
      <c r="Q23" s="229">
        <v>0.16163793103448276</v>
      </c>
      <c r="R23" s="229">
        <v>1.3469827586206897E-2</v>
      </c>
      <c r="S23" s="230">
        <v>1</v>
      </c>
      <c r="T23" s="231">
        <v>-3.9710257406000003E-2</v>
      </c>
      <c r="U23" s="231">
        <v>-2.6481474836999998E-2</v>
      </c>
      <c r="V23" s="231">
        <v>0.16157391314</v>
      </c>
      <c r="W23" s="232" t="str">
        <f t="shared" si="2"/>
        <v>Link</v>
      </c>
      <c r="X23" s="82"/>
    </row>
    <row r="24" spans="2:24" ht="14.25" customHeight="1" x14ac:dyDescent="0.25">
      <c r="B24" s="82" t="s">
        <v>332</v>
      </c>
      <c r="C24" s="242">
        <v>52044477000172</v>
      </c>
      <c r="D24" s="83" t="s">
        <v>333</v>
      </c>
      <c r="E24" s="83" t="s">
        <v>334</v>
      </c>
      <c r="F24" s="83" t="s">
        <v>276</v>
      </c>
      <c r="G24" s="83" t="s">
        <v>126</v>
      </c>
      <c r="H24" s="227">
        <v>273021.86200000002</v>
      </c>
      <c r="I24" s="225">
        <v>129.5</v>
      </c>
      <c r="J24" s="225">
        <v>133.07308270999999</v>
      </c>
      <c r="K24" s="226">
        <v>0.97314947067254276</v>
      </c>
      <c r="L24" s="227">
        <v>159614448</v>
      </c>
      <c r="M24" s="227">
        <v>69989312.489999995</v>
      </c>
      <c r="N24" s="228">
        <v>1.2924223254</v>
      </c>
      <c r="O24" s="228" t="s">
        <v>44</v>
      </c>
      <c r="P24" s="229">
        <v>8.5482625482999994E-2</v>
      </c>
      <c r="Q24" s="229">
        <v>8.5250965250965247E-2</v>
      </c>
      <c r="R24" s="229">
        <v>7.1042471042471042E-3</v>
      </c>
      <c r="S24" s="230">
        <v>0.92</v>
      </c>
      <c r="T24" s="231">
        <v>-2.6850529303000002E-2</v>
      </c>
      <c r="U24" s="231">
        <v>9.9007518054000002E-2</v>
      </c>
      <c r="V24" s="231">
        <v>0.29527162152999997</v>
      </c>
      <c r="W24" s="232" t="str">
        <f t="shared" si="2"/>
        <v>Link</v>
      </c>
      <c r="X24" s="82"/>
    </row>
    <row r="25" spans="2:24" ht="14.25" customHeight="1" x14ac:dyDescent="0.25">
      <c r="B25" s="82" t="s">
        <v>309</v>
      </c>
      <c r="C25" s="242">
        <v>41218352000103</v>
      </c>
      <c r="D25" s="83" t="s">
        <v>310</v>
      </c>
      <c r="E25" s="83" t="s">
        <v>311</v>
      </c>
      <c r="F25" s="83" t="s">
        <v>229</v>
      </c>
      <c r="G25" s="83" t="s">
        <v>126</v>
      </c>
      <c r="H25" s="227">
        <v>122735.86476</v>
      </c>
      <c r="I25" s="225">
        <v>7.83</v>
      </c>
      <c r="J25" s="225">
        <v>8.8064093831000001</v>
      </c>
      <c r="K25" s="226">
        <v>0.88912514276547427</v>
      </c>
      <c r="L25" s="227">
        <v>70728382.170000002</v>
      </c>
      <c r="M25" s="227">
        <v>88536763.620000005</v>
      </c>
      <c r="N25" s="228">
        <v>0.79885890649000002</v>
      </c>
      <c r="O25" s="228">
        <v>1.0433464591999999</v>
      </c>
      <c r="P25" s="229">
        <v>0.18199233715999999</v>
      </c>
      <c r="Q25" s="229">
        <v>0.17624521072796936</v>
      </c>
      <c r="R25" s="229">
        <v>1.4687100893997447E-2</v>
      </c>
      <c r="S25" s="230">
        <v>0.115</v>
      </c>
      <c r="T25" s="231">
        <v>-2.3047153548999999E-2</v>
      </c>
      <c r="U25" s="231">
        <v>1.3168618494999999E-2</v>
      </c>
      <c r="V25" s="231">
        <v>0.20520692511999999</v>
      </c>
      <c r="W25" s="232" t="str">
        <f t="shared" si="2"/>
        <v>Link</v>
      </c>
      <c r="X25" s="82"/>
    </row>
    <row r="26" spans="2:24" ht="14.25" customHeight="1" x14ac:dyDescent="0.25">
      <c r="B26" s="82" t="s">
        <v>312</v>
      </c>
      <c r="C26" s="242">
        <v>41272747000186</v>
      </c>
      <c r="D26" s="83" t="s">
        <v>313</v>
      </c>
      <c r="E26" s="83" t="s">
        <v>314</v>
      </c>
      <c r="F26" s="83" t="s">
        <v>225</v>
      </c>
      <c r="G26" s="83" t="s">
        <v>126</v>
      </c>
      <c r="H26" s="227">
        <v>54387.550153999997</v>
      </c>
      <c r="I26" s="225">
        <v>69.400000000000006</v>
      </c>
      <c r="J26" s="225">
        <v>75.932367350000007</v>
      </c>
      <c r="K26" s="226">
        <v>0.91397124075047032</v>
      </c>
      <c r="L26" s="227">
        <v>38657118.600000001</v>
      </c>
      <c r="M26" s="227">
        <v>53136653.539999999</v>
      </c>
      <c r="N26" s="228">
        <v>0.72750382314999995</v>
      </c>
      <c r="O26" s="228">
        <v>0.99815873561000001</v>
      </c>
      <c r="P26" s="229">
        <v>0.17795389048999999</v>
      </c>
      <c r="Q26" s="229">
        <v>0.18155619596541786</v>
      </c>
      <c r="R26" s="229">
        <v>1.5129682997118156E-2</v>
      </c>
      <c r="S26" s="230">
        <v>1.05</v>
      </c>
      <c r="T26" s="231">
        <v>-4.5916964530999999E-2</v>
      </c>
      <c r="U26" s="231">
        <v>6.3663994133000001E-2</v>
      </c>
      <c r="V26" s="231">
        <v>0.16435742399</v>
      </c>
      <c r="W26" s="232" t="str">
        <f t="shared" si="2"/>
        <v>Link</v>
      </c>
      <c r="X26" s="82"/>
    </row>
    <row r="27" spans="2:24" ht="14.25" customHeight="1" x14ac:dyDescent="0.25">
      <c r="B27" s="82" t="s">
        <v>315</v>
      </c>
      <c r="C27" s="242">
        <v>42479593000160</v>
      </c>
      <c r="D27" s="83" t="s">
        <v>316</v>
      </c>
      <c r="E27" s="83" t="s">
        <v>230</v>
      </c>
      <c r="F27" s="83" t="s">
        <v>231</v>
      </c>
      <c r="G27" s="83" t="s">
        <v>126</v>
      </c>
      <c r="H27" s="227">
        <v>2726907.4089000002</v>
      </c>
      <c r="I27" s="225">
        <v>8.15</v>
      </c>
      <c r="J27" s="225">
        <v>8.6817947920999998</v>
      </c>
      <c r="K27" s="226">
        <v>0.9387459845763797</v>
      </c>
      <c r="L27" s="227">
        <v>1304810998.3</v>
      </c>
      <c r="M27" s="227">
        <v>1638806127.5999999</v>
      </c>
      <c r="N27" s="228">
        <v>0.79619607004000004</v>
      </c>
      <c r="O27" s="228">
        <v>1.0206706430000001</v>
      </c>
      <c r="P27" s="229">
        <v>0.16539877301</v>
      </c>
      <c r="Q27" s="229">
        <v>0.16196319018404909</v>
      </c>
      <c r="R27" s="229">
        <v>1.3496932515337423E-2</v>
      </c>
      <c r="S27" s="230">
        <v>0.11</v>
      </c>
      <c r="T27" s="231">
        <v>2.4600245997000001E-3</v>
      </c>
      <c r="U27" s="231">
        <v>2.8984216371000002E-2</v>
      </c>
      <c r="V27" s="231">
        <v>0.18608605135</v>
      </c>
      <c r="W27" s="232" t="str">
        <f t="shared" ref="W27:W33" si="3">IF(OR(B27="",G27="FI-Infra"),"",HYPERLINK("https://content.btgpactual.com/research/ativo/https://content.btgpactual.com/research/ativo/"&amp;B27,"Link"))</f>
        <v>Link</v>
      </c>
      <c r="X27" s="82"/>
    </row>
    <row r="28" spans="2:24" ht="14.25" customHeight="1" x14ac:dyDescent="0.25">
      <c r="B28" s="82" t="s">
        <v>317</v>
      </c>
      <c r="C28" s="242">
        <v>40413979000144</v>
      </c>
      <c r="D28" s="83" t="s">
        <v>318</v>
      </c>
      <c r="E28" s="83" t="s">
        <v>319</v>
      </c>
      <c r="F28" s="83" t="s">
        <v>225</v>
      </c>
      <c r="G28" s="83" t="s">
        <v>126</v>
      </c>
      <c r="H28" s="227">
        <v>1357714.2522</v>
      </c>
      <c r="I28" s="225">
        <v>8.31</v>
      </c>
      <c r="J28" s="225">
        <v>8.8756432695999994</v>
      </c>
      <c r="K28" s="226">
        <v>0.93627016629460691</v>
      </c>
      <c r="L28" s="227">
        <v>565415931.75</v>
      </c>
      <c r="M28" s="227">
        <v>654999799.33000004</v>
      </c>
      <c r="N28" s="228">
        <v>0.86323069462000002</v>
      </c>
      <c r="O28" s="228">
        <v>0.96392797697999999</v>
      </c>
      <c r="P28" s="229">
        <v>0.17990373044999999</v>
      </c>
      <c r="Q28" s="229">
        <v>0.18050541516245486</v>
      </c>
      <c r="R28" s="229">
        <v>1.5042117930204572E-2</v>
      </c>
      <c r="S28" s="230">
        <v>0.125</v>
      </c>
      <c r="T28" s="231">
        <v>-6.0132291127999997E-4</v>
      </c>
      <c r="U28" s="231">
        <v>-2.6865783997999999E-2</v>
      </c>
      <c r="V28" s="231">
        <v>0.11965199395999999</v>
      </c>
      <c r="W28" s="232" t="str">
        <f t="shared" si="3"/>
        <v>Link</v>
      </c>
      <c r="X28" s="82"/>
    </row>
    <row r="29" spans="2:24" ht="14.25" customHeight="1" x14ac:dyDescent="0.25">
      <c r="B29" s="82" t="s">
        <v>320</v>
      </c>
      <c r="C29" s="242">
        <v>28152777000190</v>
      </c>
      <c r="D29" s="83" t="s">
        <v>321</v>
      </c>
      <c r="E29" s="83" t="s">
        <v>234</v>
      </c>
      <c r="F29" s="83" t="s">
        <v>229</v>
      </c>
      <c r="G29" s="83" t="s">
        <v>126</v>
      </c>
      <c r="H29" s="227">
        <v>1954324.7592</v>
      </c>
      <c r="I29" s="225">
        <v>9.69</v>
      </c>
      <c r="J29" s="225">
        <v>10.307168003999999</v>
      </c>
      <c r="K29" s="226">
        <v>0.9401224464605128</v>
      </c>
      <c r="L29" s="227">
        <v>588574020.57000005</v>
      </c>
      <c r="M29" s="227">
        <v>626552265.14999998</v>
      </c>
      <c r="N29" s="228">
        <v>0.93938535268000001</v>
      </c>
      <c r="O29" s="228">
        <v>1.006338497</v>
      </c>
      <c r="P29" s="229">
        <v>0.16305469555999999</v>
      </c>
      <c r="Q29" s="229">
        <v>0.14860681114551083</v>
      </c>
      <c r="R29" s="229">
        <v>1.238390092879257E-2</v>
      </c>
      <c r="S29" s="230">
        <v>0.12</v>
      </c>
      <c r="T29" s="231">
        <v>-6.2154953166000003E-3</v>
      </c>
      <c r="U29" s="231">
        <v>-2.7556445068999999E-2</v>
      </c>
      <c r="V29" s="231">
        <v>0.19626793256</v>
      </c>
      <c r="W29" s="232" t="str">
        <f t="shared" si="3"/>
        <v>Link</v>
      </c>
      <c r="X29" s="82"/>
    </row>
    <row r="30" spans="2:24" ht="14.25" customHeight="1" x14ac:dyDescent="0.25">
      <c r="B30" s="82" t="s">
        <v>322</v>
      </c>
      <c r="C30" s="242">
        <v>53313475000102</v>
      </c>
      <c r="D30" s="83" t="s">
        <v>323</v>
      </c>
      <c r="E30" s="83" t="s">
        <v>234</v>
      </c>
      <c r="F30" s="83" t="s">
        <v>229</v>
      </c>
      <c r="G30" s="83" t="s">
        <v>126</v>
      </c>
      <c r="H30" s="227">
        <v>218214.22708000001</v>
      </c>
      <c r="I30" s="225">
        <v>9.1199999999999992</v>
      </c>
      <c r="J30" s="225">
        <v>9.5432075086000001</v>
      </c>
      <c r="K30" s="226">
        <v>0.95565353596066926</v>
      </c>
      <c r="L30" s="227">
        <v>110259951.84</v>
      </c>
      <c r="M30" s="227">
        <v>62625277.479999997</v>
      </c>
      <c r="N30" s="228">
        <v>0.90324982684999999</v>
      </c>
      <c r="O30" s="228" t="s">
        <v>44</v>
      </c>
      <c r="P30" s="229">
        <v>0.13157894737</v>
      </c>
      <c r="Q30" s="229">
        <v>0.13157894736842107</v>
      </c>
      <c r="R30" s="229">
        <v>1.0964912280701756E-2</v>
      </c>
      <c r="S30" s="230">
        <v>0.1</v>
      </c>
      <c r="T30" s="231">
        <v>-8.8666551673999994E-3</v>
      </c>
      <c r="U30" s="231">
        <v>-1.8741558371E-2</v>
      </c>
      <c r="V30" s="231">
        <v>5.9048196514E-2</v>
      </c>
      <c r="W30" s="232" t="str">
        <f t="shared" si="3"/>
        <v>Link</v>
      </c>
      <c r="X30" s="82"/>
    </row>
    <row r="31" spans="2:24" ht="14.25" customHeight="1" x14ac:dyDescent="0.25">
      <c r="B31" s="82" t="s">
        <v>325</v>
      </c>
      <c r="C31" s="242">
        <v>42502827000143</v>
      </c>
      <c r="D31" s="83" t="s">
        <v>326</v>
      </c>
      <c r="E31" s="83" t="s">
        <v>324</v>
      </c>
      <c r="F31" s="83" t="s">
        <v>231</v>
      </c>
      <c r="G31" s="83" t="s">
        <v>126</v>
      </c>
      <c r="H31" s="227">
        <v>667907.50323000003</v>
      </c>
      <c r="I31" s="225">
        <v>51.32</v>
      </c>
      <c r="J31" s="225">
        <v>63.460844045999998</v>
      </c>
      <c r="K31" s="226">
        <v>0.80868763678592692</v>
      </c>
      <c r="L31" s="227">
        <v>235759923.08000001</v>
      </c>
      <c r="M31" s="227">
        <v>468512581.87</v>
      </c>
      <c r="N31" s="228">
        <v>0.5032093741</v>
      </c>
      <c r="O31" s="228">
        <v>1.0268476455</v>
      </c>
      <c r="P31" s="229">
        <v>0.22213561964</v>
      </c>
      <c r="Q31" s="229">
        <v>0.17537022603273578</v>
      </c>
      <c r="R31" s="229">
        <v>1.4614185502727981E-2</v>
      </c>
      <c r="S31" s="230">
        <v>0.75</v>
      </c>
      <c r="T31" s="231">
        <v>-0.10248338579000001</v>
      </c>
      <c r="U31" s="231">
        <v>-0.10274633211</v>
      </c>
      <c r="V31" s="231">
        <v>1.8462308434999999E-4</v>
      </c>
      <c r="W31" s="232" t="str">
        <f t="shared" si="3"/>
        <v>Link</v>
      </c>
      <c r="X31" s="82"/>
    </row>
    <row r="32" spans="2:24" ht="14.25" customHeight="1" x14ac:dyDescent="0.25">
      <c r="B32" s="82" t="s">
        <v>328</v>
      </c>
      <c r="C32" s="242">
        <v>41081088000109</v>
      </c>
      <c r="D32" s="83" t="s">
        <v>329</v>
      </c>
      <c r="E32" s="83" t="s">
        <v>327</v>
      </c>
      <c r="F32" s="83" t="s">
        <v>119</v>
      </c>
      <c r="G32" s="83" t="s">
        <v>126</v>
      </c>
      <c r="H32" s="227">
        <v>2956539.1771999998</v>
      </c>
      <c r="I32" s="225">
        <v>8.42</v>
      </c>
      <c r="J32" s="225">
        <v>9.5380984733999998</v>
      </c>
      <c r="K32" s="226">
        <v>0.88277553680975607</v>
      </c>
      <c r="L32" s="227">
        <v>727952085.13999999</v>
      </c>
      <c r="M32" s="227">
        <v>835465098.07000005</v>
      </c>
      <c r="N32" s="228">
        <v>0.87131357948999999</v>
      </c>
      <c r="O32" s="228">
        <v>1.0339266788999999</v>
      </c>
      <c r="P32" s="229">
        <v>0.19596199524999999</v>
      </c>
      <c r="Q32" s="229">
        <v>0.18527315914489312</v>
      </c>
      <c r="R32" s="229">
        <v>1.5439429928741094E-2</v>
      </c>
      <c r="S32" s="230">
        <v>0.13</v>
      </c>
      <c r="T32" s="231">
        <v>3.3089126591000002E-2</v>
      </c>
      <c r="U32" s="231">
        <v>-4.4357045945999998E-2</v>
      </c>
      <c r="V32" s="231">
        <v>0.12187365388</v>
      </c>
      <c r="W32" s="232" t="str">
        <f t="shared" si="3"/>
        <v>Link</v>
      </c>
      <c r="X32" s="82"/>
    </row>
    <row r="33" spans="2:24" ht="14.25" customHeight="1" x14ac:dyDescent="0.25">
      <c r="B33" s="82" t="s">
        <v>330</v>
      </c>
      <c r="C33" s="242">
        <v>41269527000101</v>
      </c>
      <c r="D33" s="83" t="s">
        <v>331</v>
      </c>
      <c r="E33" s="83" t="s">
        <v>235</v>
      </c>
      <c r="F33" s="83" t="s">
        <v>268</v>
      </c>
      <c r="G33" s="83" t="s">
        <v>126</v>
      </c>
      <c r="H33" s="227">
        <v>602436.99199999997</v>
      </c>
      <c r="I33" s="225">
        <v>7.16</v>
      </c>
      <c r="J33" s="225">
        <v>8.2248992304000001</v>
      </c>
      <c r="K33" s="226">
        <v>0.87052738269861929</v>
      </c>
      <c r="L33" s="227">
        <v>325945224.16000003</v>
      </c>
      <c r="M33" s="227">
        <v>439004652.63</v>
      </c>
      <c r="N33" s="228">
        <v>0.74246416799000003</v>
      </c>
      <c r="O33" s="228">
        <v>0.99799628801999996</v>
      </c>
      <c r="P33" s="229">
        <v>0.18156424581</v>
      </c>
      <c r="Q33" s="229">
        <v>0.16759776536312851</v>
      </c>
      <c r="R33" s="229">
        <v>1.3966480446927375E-2</v>
      </c>
      <c r="S33" s="230">
        <v>0.1</v>
      </c>
      <c r="T33" s="231">
        <v>-5.7894736841000001E-2</v>
      </c>
      <c r="U33" s="231">
        <v>-6.0006581402999998E-2</v>
      </c>
      <c r="V33" s="231">
        <v>8.8638648436E-2</v>
      </c>
      <c r="W33" s="232" t="str">
        <f t="shared" si="3"/>
        <v>Link</v>
      </c>
      <c r="X33" s="82"/>
    </row>
    <row r="34" spans="2:24" ht="14.25" customHeight="1" x14ac:dyDescent="0.25">
      <c r="B34" s="82"/>
      <c r="C34" s="242"/>
      <c r="D34" s="83"/>
      <c r="E34" s="83"/>
      <c r="F34" s="83"/>
      <c r="G34" s="83"/>
      <c r="H34" s="227"/>
      <c r="I34" s="225"/>
      <c r="J34" s="225"/>
      <c r="K34" s="226"/>
      <c r="L34" s="227"/>
      <c r="M34" s="227"/>
      <c r="N34" s="228"/>
      <c r="O34" s="228"/>
      <c r="P34" s="229"/>
      <c r="Q34" s="229"/>
      <c r="R34" s="229"/>
      <c r="S34" s="230"/>
      <c r="T34" s="231"/>
      <c r="U34" s="231"/>
      <c r="V34" s="231"/>
      <c r="W34" s="232"/>
      <c r="X34" s="82"/>
    </row>
    <row r="35" spans="2:24" ht="14.25" customHeight="1" x14ac:dyDescent="0.25">
      <c r="B35" s="82"/>
      <c r="C35" s="242"/>
      <c r="D35" s="83"/>
      <c r="E35" s="83"/>
      <c r="F35" s="83"/>
      <c r="G35" s="83"/>
      <c r="H35" s="227"/>
      <c r="I35" s="225"/>
      <c r="J35" s="225"/>
      <c r="K35" s="226"/>
      <c r="L35" s="227"/>
      <c r="M35" s="227"/>
      <c r="N35" s="228"/>
      <c r="O35" s="228"/>
      <c r="P35" s="229"/>
      <c r="Q35" s="229"/>
      <c r="R35" s="229"/>
      <c r="S35" s="230"/>
      <c r="T35" s="231"/>
      <c r="U35" s="231"/>
      <c r="V35" s="231"/>
      <c r="W35" s="232"/>
      <c r="X35" s="82"/>
    </row>
    <row r="36" spans="2:24" ht="14.25" customHeight="1" x14ac:dyDescent="0.25">
      <c r="B36" s="82"/>
      <c r="C36" s="242"/>
      <c r="D36" s="83"/>
      <c r="E36" s="83"/>
      <c r="F36" s="83"/>
      <c r="G36" s="83"/>
      <c r="H36" s="227"/>
      <c r="I36" s="225"/>
      <c r="J36" s="225"/>
      <c r="K36" s="226"/>
      <c r="L36" s="227"/>
      <c r="M36" s="227"/>
      <c r="N36" s="228"/>
      <c r="O36" s="228"/>
      <c r="P36" s="229"/>
      <c r="Q36" s="229"/>
      <c r="R36" s="229"/>
      <c r="S36" s="230"/>
      <c r="T36" s="231"/>
      <c r="U36" s="231"/>
      <c r="V36" s="231"/>
      <c r="W36" s="232"/>
      <c r="X36" s="82"/>
    </row>
    <row r="37" spans="2:24" ht="14.25" customHeight="1" x14ac:dyDescent="0.25">
      <c r="B37" s="82"/>
      <c r="C37" s="242"/>
      <c r="D37" s="83"/>
      <c r="E37" s="83"/>
      <c r="F37" s="83"/>
      <c r="G37" s="83"/>
      <c r="H37" s="227"/>
      <c r="I37" s="225"/>
      <c r="J37" s="225"/>
      <c r="K37" s="226"/>
      <c r="L37" s="227"/>
      <c r="M37" s="227"/>
      <c r="N37" s="228"/>
      <c r="O37" s="228"/>
      <c r="P37" s="229"/>
      <c r="Q37" s="229"/>
      <c r="R37" s="229"/>
      <c r="S37" s="230"/>
      <c r="T37" s="231"/>
      <c r="U37" s="231"/>
      <c r="V37" s="231"/>
      <c r="W37" s="232"/>
      <c r="X37" s="82"/>
    </row>
    <row r="38" spans="2:24" ht="14.25" customHeight="1" x14ac:dyDescent="0.25">
      <c r="B38" s="82"/>
      <c r="C38" s="242"/>
      <c r="D38" s="83"/>
      <c r="E38" s="83"/>
      <c r="F38" s="83"/>
      <c r="G38" s="83"/>
      <c r="H38" s="227"/>
      <c r="I38" s="225"/>
      <c r="J38" s="225"/>
      <c r="K38" s="226"/>
      <c r="L38" s="227"/>
      <c r="M38" s="227"/>
      <c r="N38" s="228"/>
      <c r="O38" s="228"/>
      <c r="P38" s="229"/>
      <c r="Q38" s="229"/>
      <c r="R38" s="229"/>
      <c r="S38" s="230"/>
      <c r="T38" s="231"/>
      <c r="U38" s="231"/>
      <c r="V38" s="231"/>
      <c r="W38" s="232"/>
      <c r="X38" s="82"/>
    </row>
    <row r="39" spans="2:24" ht="14.25" customHeight="1" x14ac:dyDescent="0.25">
      <c r="B39" s="82"/>
      <c r="C39" s="242"/>
      <c r="D39" s="83"/>
      <c r="E39" s="83"/>
      <c r="F39" s="83"/>
      <c r="G39" s="83"/>
      <c r="H39" s="227"/>
      <c r="I39" s="225"/>
      <c r="J39" s="225"/>
      <c r="K39" s="226"/>
      <c r="L39" s="227"/>
      <c r="M39" s="227"/>
      <c r="N39" s="228"/>
      <c r="O39" s="228"/>
      <c r="P39" s="229"/>
      <c r="Q39" s="229"/>
      <c r="R39" s="229"/>
      <c r="S39" s="230"/>
      <c r="T39" s="231"/>
      <c r="U39" s="231"/>
      <c r="V39" s="231"/>
      <c r="W39" s="232"/>
      <c r="X39" s="82"/>
    </row>
    <row r="40" spans="2:24" ht="14.25" customHeight="1" x14ac:dyDescent="0.25">
      <c r="B40" s="82"/>
      <c r="C40" s="242"/>
      <c r="D40" s="83"/>
      <c r="E40" s="83"/>
      <c r="F40" s="83"/>
      <c r="G40" s="83"/>
      <c r="H40" s="227"/>
      <c r="I40" s="225"/>
      <c r="J40" s="225"/>
      <c r="K40" s="226"/>
      <c r="L40" s="227"/>
      <c r="M40" s="227"/>
      <c r="N40" s="228"/>
      <c r="O40" s="228"/>
      <c r="P40" s="229"/>
      <c r="Q40" s="229"/>
      <c r="R40" s="229"/>
      <c r="S40" s="230"/>
      <c r="T40" s="231"/>
      <c r="U40" s="231"/>
      <c r="V40" s="231"/>
      <c r="W40" s="232"/>
      <c r="X40" s="82"/>
    </row>
    <row r="41" spans="2:24" ht="14.25" customHeight="1" x14ac:dyDescent="0.25">
      <c r="B41" s="82"/>
      <c r="C41" s="242"/>
      <c r="D41" s="83"/>
      <c r="E41" s="83"/>
      <c r="F41" s="83"/>
      <c r="G41" s="83"/>
      <c r="H41" s="227"/>
      <c r="I41" s="225"/>
      <c r="J41" s="225"/>
      <c r="K41" s="226"/>
      <c r="L41" s="227"/>
      <c r="M41" s="227"/>
      <c r="N41" s="228"/>
      <c r="O41" s="228"/>
      <c r="P41" s="229"/>
      <c r="Q41" s="229"/>
      <c r="R41" s="229"/>
      <c r="S41" s="230"/>
      <c r="T41" s="231"/>
      <c r="U41" s="231"/>
      <c r="V41" s="231"/>
      <c r="W41" s="232"/>
      <c r="X41" s="82"/>
    </row>
    <row r="42" spans="2:24" ht="14.25" customHeight="1" x14ac:dyDescent="0.25">
      <c r="B42" s="82"/>
      <c r="C42" s="242"/>
      <c r="D42" s="83"/>
      <c r="E42" s="83"/>
      <c r="F42" s="83"/>
      <c r="G42" s="83"/>
      <c r="H42" s="227"/>
      <c r="I42" s="225"/>
      <c r="J42" s="225"/>
      <c r="K42" s="226"/>
      <c r="L42" s="227"/>
      <c r="M42" s="227"/>
      <c r="N42" s="228"/>
      <c r="O42" s="228"/>
      <c r="P42" s="229"/>
      <c r="Q42" s="229"/>
      <c r="R42" s="229"/>
      <c r="S42" s="230"/>
      <c r="T42" s="231"/>
      <c r="U42" s="231"/>
      <c r="V42" s="231"/>
      <c r="W42" s="232"/>
      <c r="X42" s="82"/>
    </row>
    <row r="43" spans="2:24" ht="14.25" customHeight="1" x14ac:dyDescent="0.25">
      <c r="B43" s="82"/>
      <c r="C43" s="242"/>
      <c r="D43" s="83"/>
      <c r="E43" s="83"/>
      <c r="F43" s="83"/>
      <c r="G43" s="83"/>
      <c r="H43" s="227"/>
      <c r="I43" s="225"/>
      <c r="J43" s="225"/>
      <c r="K43" s="226"/>
      <c r="L43" s="227"/>
      <c r="M43" s="227"/>
      <c r="N43" s="228"/>
      <c r="O43" s="228"/>
      <c r="P43" s="229"/>
      <c r="Q43" s="229"/>
      <c r="R43" s="229"/>
      <c r="S43" s="230"/>
      <c r="T43" s="231"/>
      <c r="U43" s="231"/>
      <c r="V43" s="231"/>
      <c r="W43" s="232"/>
      <c r="X43" s="82"/>
    </row>
    <row r="44" spans="2:24" ht="14.25" customHeight="1" x14ac:dyDescent="0.25">
      <c r="B44" s="82"/>
      <c r="C44" s="242"/>
      <c r="D44" s="83"/>
      <c r="E44" s="83"/>
      <c r="F44" s="83"/>
      <c r="G44" s="83"/>
      <c r="H44" s="227"/>
      <c r="I44" s="225"/>
      <c r="J44" s="225"/>
      <c r="K44" s="226"/>
      <c r="L44" s="227"/>
      <c r="M44" s="227"/>
      <c r="N44" s="228"/>
      <c r="O44" s="228"/>
      <c r="P44" s="229"/>
      <c r="Q44" s="229"/>
      <c r="R44" s="229"/>
      <c r="S44" s="230"/>
      <c r="T44" s="231"/>
      <c r="U44" s="231"/>
      <c r="V44" s="231"/>
      <c r="W44" s="232"/>
      <c r="X44" s="82"/>
    </row>
    <row r="45" spans="2:24" ht="14.25" customHeight="1" x14ac:dyDescent="0.25">
      <c r="B45" s="82"/>
      <c r="C45" s="242"/>
      <c r="D45" s="83"/>
      <c r="E45" s="83"/>
      <c r="F45" s="83"/>
      <c r="G45" s="83"/>
      <c r="H45" s="227"/>
      <c r="I45" s="225"/>
      <c r="J45" s="225"/>
      <c r="K45" s="226"/>
      <c r="L45" s="227"/>
      <c r="M45" s="227"/>
      <c r="N45" s="228"/>
      <c r="O45" s="228"/>
      <c r="P45" s="229"/>
      <c r="Q45" s="229"/>
      <c r="R45" s="229"/>
      <c r="S45" s="230"/>
      <c r="T45" s="231"/>
      <c r="U45" s="231"/>
      <c r="V45" s="231"/>
      <c r="W45" s="232"/>
      <c r="X45" s="82"/>
    </row>
    <row r="46" spans="2:24" ht="14.25" customHeight="1" x14ac:dyDescent="0.25">
      <c r="B46" s="82"/>
      <c r="C46" s="242"/>
      <c r="D46" s="83"/>
      <c r="E46" s="83"/>
      <c r="F46" s="83"/>
      <c r="G46" s="83"/>
      <c r="H46" s="227"/>
      <c r="I46" s="225"/>
      <c r="J46" s="225"/>
      <c r="K46" s="226"/>
      <c r="L46" s="227"/>
      <c r="M46" s="227"/>
      <c r="N46" s="228"/>
      <c r="O46" s="228"/>
      <c r="P46" s="229"/>
      <c r="Q46" s="229"/>
      <c r="R46" s="229"/>
      <c r="S46" s="230"/>
      <c r="T46" s="231"/>
      <c r="U46" s="231"/>
      <c r="V46" s="231"/>
      <c r="W46" s="232"/>
      <c r="X46" s="82"/>
    </row>
    <row r="47" spans="2:24" ht="14.25" customHeight="1" x14ac:dyDescent="0.25">
      <c r="B47" s="82"/>
      <c r="C47" s="242"/>
      <c r="D47" s="83"/>
      <c r="E47" s="83"/>
      <c r="F47" s="83"/>
      <c r="G47" s="83"/>
      <c r="H47" s="227"/>
      <c r="I47" s="225"/>
      <c r="J47" s="225"/>
      <c r="K47" s="226"/>
      <c r="L47" s="227"/>
      <c r="M47" s="227"/>
      <c r="N47" s="228"/>
      <c r="O47" s="228"/>
      <c r="P47" s="229"/>
      <c r="Q47" s="229"/>
      <c r="R47" s="229"/>
      <c r="S47" s="230"/>
      <c r="T47" s="231"/>
      <c r="U47" s="231"/>
      <c r="V47" s="231"/>
      <c r="W47" s="232"/>
      <c r="X47" s="82"/>
    </row>
    <row r="48" spans="2:24" ht="14.25" customHeight="1" x14ac:dyDescent="0.25">
      <c r="B48" s="82"/>
      <c r="C48" s="242"/>
      <c r="D48" s="83"/>
      <c r="E48" s="83"/>
      <c r="F48" s="83"/>
      <c r="G48" s="83"/>
      <c r="H48" s="227"/>
      <c r="I48" s="225"/>
      <c r="J48" s="225"/>
      <c r="K48" s="226"/>
      <c r="L48" s="227"/>
      <c r="M48" s="227"/>
      <c r="N48" s="228"/>
      <c r="O48" s="228"/>
      <c r="P48" s="229"/>
      <c r="Q48" s="229"/>
      <c r="R48" s="229"/>
      <c r="S48" s="230"/>
      <c r="T48" s="231"/>
      <c r="U48" s="231"/>
      <c r="V48" s="231"/>
      <c r="W48" s="232"/>
      <c r="X48" s="82"/>
    </row>
    <row r="49" spans="2:24" ht="14.25" customHeight="1" x14ac:dyDescent="0.25">
      <c r="B49" s="82"/>
      <c r="C49" s="242"/>
      <c r="D49" s="83"/>
      <c r="E49" s="83"/>
      <c r="F49" s="83"/>
      <c r="G49" s="83"/>
      <c r="H49" s="227"/>
      <c r="I49" s="225"/>
      <c r="J49" s="225"/>
      <c r="K49" s="226"/>
      <c r="L49" s="227"/>
      <c r="M49" s="227"/>
      <c r="N49" s="228"/>
      <c r="O49" s="228"/>
      <c r="P49" s="229"/>
      <c r="Q49" s="229"/>
      <c r="R49" s="229"/>
      <c r="S49" s="230"/>
      <c r="T49" s="231"/>
      <c r="U49" s="231"/>
      <c r="V49" s="231"/>
      <c r="W49" s="232"/>
      <c r="X49" s="82"/>
    </row>
    <row r="50" spans="2:24" ht="14.25" customHeight="1" x14ac:dyDescent="0.25">
      <c r="B50" s="82"/>
      <c r="C50" s="242"/>
      <c r="D50" s="83"/>
      <c r="E50" s="83"/>
      <c r="F50" s="83"/>
      <c r="G50" s="83"/>
      <c r="H50" s="227"/>
      <c r="I50" s="225"/>
      <c r="J50" s="225"/>
      <c r="K50" s="226"/>
      <c r="L50" s="227"/>
      <c r="M50" s="227"/>
      <c r="N50" s="228"/>
      <c r="O50" s="228"/>
      <c r="P50" s="229"/>
      <c r="Q50" s="229"/>
      <c r="R50" s="229"/>
      <c r="S50" s="230"/>
      <c r="T50" s="231"/>
      <c r="U50" s="231"/>
      <c r="V50" s="231"/>
      <c r="W50" s="232"/>
      <c r="X50" s="82"/>
    </row>
    <row r="51" spans="2:24" ht="14.25" customHeight="1" x14ac:dyDescent="0.25">
      <c r="B51" s="82"/>
      <c r="C51" s="242"/>
      <c r="D51" s="83"/>
      <c r="E51" s="83"/>
      <c r="F51" s="83"/>
      <c r="G51" s="83"/>
      <c r="H51" s="227"/>
      <c r="I51" s="225"/>
      <c r="J51" s="225"/>
      <c r="K51" s="226"/>
      <c r="L51" s="227"/>
      <c r="M51" s="227"/>
      <c r="N51" s="228"/>
      <c r="O51" s="228"/>
      <c r="P51" s="229"/>
      <c r="Q51" s="229"/>
      <c r="R51" s="229"/>
      <c r="S51" s="230"/>
      <c r="T51" s="231"/>
      <c r="U51" s="231"/>
      <c r="V51" s="231"/>
      <c r="W51" s="232"/>
      <c r="X51" s="82"/>
    </row>
    <row r="52" spans="2:24" ht="14.25" customHeight="1" x14ac:dyDescent="0.25">
      <c r="B52" s="82"/>
      <c r="C52" s="242"/>
      <c r="D52" s="83"/>
      <c r="E52" s="83"/>
      <c r="F52" s="83"/>
      <c r="G52" s="83"/>
      <c r="H52" s="227"/>
      <c r="I52" s="225"/>
      <c r="J52" s="225"/>
      <c r="K52" s="226"/>
      <c r="L52" s="227"/>
      <c r="M52" s="227"/>
      <c r="N52" s="228"/>
      <c r="O52" s="228"/>
      <c r="P52" s="229"/>
      <c r="Q52" s="229"/>
      <c r="R52" s="229"/>
      <c r="S52" s="230"/>
      <c r="T52" s="231"/>
      <c r="U52" s="231"/>
      <c r="V52" s="231"/>
      <c r="W52" s="232"/>
      <c r="X52" s="82"/>
    </row>
    <row r="53" spans="2:24" ht="14.25" customHeight="1" x14ac:dyDescent="0.25">
      <c r="B53" s="82"/>
      <c r="C53" s="242"/>
      <c r="D53" s="83"/>
      <c r="E53" s="83"/>
      <c r="F53" s="83"/>
      <c r="G53" s="83"/>
      <c r="H53" s="227"/>
      <c r="I53" s="225"/>
      <c r="J53" s="225"/>
      <c r="K53" s="226"/>
      <c r="L53" s="227"/>
      <c r="M53" s="227"/>
      <c r="N53" s="228"/>
      <c r="O53" s="228"/>
      <c r="P53" s="229"/>
      <c r="Q53" s="229"/>
      <c r="R53" s="229"/>
      <c r="S53" s="230"/>
      <c r="T53" s="231"/>
      <c r="U53" s="231"/>
      <c r="V53" s="231"/>
      <c r="W53" s="232"/>
      <c r="X53" s="82"/>
    </row>
    <row r="54" spans="2:24" ht="14.25" customHeight="1" x14ac:dyDescent="0.25">
      <c r="B54" s="82"/>
      <c r="C54" s="242"/>
      <c r="D54" s="83"/>
      <c r="E54" s="83"/>
      <c r="F54" s="83"/>
      <c r="G54" s="83"/>
      <c r="H54" s="227"/>
      <c r="I54" s="225"/>
      <c r="J54" s="225"/>
      <c r="K54" s="226"/>
      <c r="L54" s="227"/>
      <c r="M54" s="227"/>
      <c r="N54" s="228"/>
      <c r="O54" s="228"/>
      <c r="P54" s="229"/>
      <c r="Q54" s="229"/>
      <c r="R54" s="229"/>
      <c r="S54" s="230"/>
      <c r="T54" s="231"/>
      <c r="U54" s="231"/>
      <c r="V54" s="231"/>
      <c r="W54" s="232"/>
      <c r="X54" s="82"/>
    </row>
    <row r="55" spans="2:24" ht="14.25" customHeight="1" x14ac:dyDescent="0.25">
      <c r="B55" s="82"/>
      <c r="C55" s="242"/>
      <c r="D55" s="83"/>
      <c r="E55" s="83"/>
      <c r="F55" s="83"/>
      <c r="G55" s="83"/>
      <c r="H55" s="227"/>
      <c r="I55" s="225"/>
      <c r="J55" s="225"/>
      <c r="K55" s="226"/>
      <c r="L55" s="227"/>
      <c r="M55" s="227"/>
      <c r="N55" s="228"/>
      <c r="O55" s="228"/>
      <c r="P55" s="229"/>
      <c r="Q55" s="229"/>
      <c r="R55" s="229"/>
      <c r="S55" s="230"/>
      <c r="T55" s="231"/>
      <c r="U55" s="231"/>
      <c r="V55" s="231"/>
      <c r="W55" s="232"/>
      <c r="X55" s="82"/>
    </row>
    <row r="56" spans="2:24" ht="14.25" customHeight="1" x14ac:dyDescent="0.25">
      <c r="B56" s="82"/>
      <c r="C56" s="242"/>
      <c r="D56" s="83"/>
      <c r="E56" s="83"/>
      <c r="F56" s="83"/>
      <c r="G56" s="83"/>
      <c r="H56" s="227"/>
      <c r="I56" s="225"/>
      <c r="J56" s="225"/>
      <c r="K56" s="226"/>
      <c r="L56" s="227"/>
      <c r="M56" s="227"/>
      <c r="N56" s="228"/>
      <c r="O56" s="228"/>
      <c r="P56" s="229"/>
      <c r="Q56" s="229"/>
      <c r="R56" s="229"/>
      <c r="S56" s="230"/>
      <c r="T56" s="231"/>
      <c r="U56" s="231"/>
      <c r="V56" s="231"/>
      <c r="W56" s="232"/>
      <c r="X56" s="82"/>
    </row>
    <row r="57" spans="2:24" ht="14.25" customHeight="1" x14ac:dyDescent="0.25">
      <c r="B57" s="82"/>
      <c r="C57" s="242"/>
      <c r="D57" s="83"/>
      <c r="E57" s="83"/>
      <c r="F57" s="83"/>
      <c r="G57" s="83"/>
      <c r="H57" s="227"/>
      <c r="I57" s="225"/>
      <c r="J57" s="225"/>
      <c r="K57" s="226"/>
      <c r="L57" s="227"/>
      <c r="M57" s="227"/>
      <c r="N57" s="228"/>
      <c r="O57" s="228"/>
      <c r="P57" s="229"/>
      <c r="Q57" s="229"/>
      <c r="R57" s="229"/>
      <c r="S57" s="230"/>
      <c r="T57" s="231"/>
      <c r="U57" s="231"/>
      <c r="V57" s="231"/>
      <c r="W57" s="232"/>
      <c r="X57" s="82"/>
    </row>
    <row r="58" spans="2:24" ht="14.25" customHeight="1" x14ac:dyDescent="0.25">
      <c r="B58" s="82"/>
      <c r="C58" s="242"/>
      <c r="D58" s="83"/>
      <c r="E58" s="83"/>
      <c r="F58" s="83"/>
      <c r="G58" s="83"/>
      <c r="H58" s="227"/>
      <c r="I58" s="225"/>
      <c r="J58" s="225"/>
      <c r="K58" s="226"/>
      <c r="L58" s="227"/>
      <c r="M58" s="227"/>
      <c r="N58" s="228"/>
      <c r="O58" s="228"/>
      <c r="P58" s="229"/>
      <c r="Q58" s="229"/>
      <c r="R58" s="229"/>
      <c r="S58" s="230"/>
      <c r="T58" s="231"/>
      <c r="U58" s="231"/>
      <c r="V58" s="231"/>
      <c r="W58" s="232"/>
      <c r="X58" s="82"/>
    </row>
    <row r="59" spans="2:24" ht="14.25" customHeight="1" x14ac:dyDescent="0.25">
      <c r="B59" s="82"/>
      <c r="C59" s="242"/>
      <c r="D59" s="83"/>
      <c r="E59" s="83"/>
      <c r="F59" s="83"/>
      <c r="G59" s="83"/>
      <c r="H59" s="227"/>
      <c r="I59" s="225"/>
      <c r="J59" s="225"/>
      <c r="K59" s="226"/>
      <c r="L59" s="227"/>
      <c r="M59" s="227"/>
      <c r="N59" s="228"/>
      <c r="O59" s="228"/>
      <c r="P59" s="229"/>
      <c r="Q59" s="229"/>
      <c r="R59" s="229"/>
      <c r="S59" s="230"/>
      <c r="T59" s="231"/>
      <c r="U59" s="231"/>
      <c r="V59" s="231"/>
      <c r="W59" s="232"/>
      <c r="X59" s="82"/>
    </row>
    <row r="60" spans="2:24" ht="14.25" customHeight="1" x14ac:dyDescent="0.25">
      <c r="B60" s="82"/>
      <c r="C60" s="242"/>
      <c r="D60" s="83"/>
      <c r="E60" s="83"/>
      <c r="F60" s="83"/>
      <c r="G60" s="83"/>
      <c r="H60" s="227"/>
      <c r="I60" s="225"/>
      <c r="J60" s="225"/>
      <c r="K60" s="226"/>
      <c r="L60" s="227"/>
      <c r="M60" s="227"/>
      <c r="N60" s="228"/>
      <c r="O60" s="228"/>
      <c r="P60" s="229"/>
      <c r="Q60" s="229"/>
      <c r="R60" s="229"/>
      <c r="S60" s="230"/>
      <c r="T60" s="231"/>
      <c r="U60" s="231"/>
      <c r="V60" s="231"/>
      <c r="W60" s="232"/>
      <c r="X60" s="82"/>
    </row>
    <row r="61" spans="2:24" ht="14.25" customHeight="1" x14ac:dyDescent="0.25">
      <c r="B61" s="82"/>
      <c r="C61" s="242"/>
      <c r="D61" s="83"/>
      <c r="E61" s="83"/>
      <c r="F61" s="83"/>
      <c r="G61" s="83"/>
      <c r="H61" s="227"/>
      <c r="I61" s="225"/>
      <c r="J61" s="225"/>
      <c r="K61" s="226"/>
      <c r="L61" s="227"/>
      <c r="M61" s="227"/>
      <c r="N61" s="228"/>
      <c r="O61" s="228"/>
      <c r="P61" s="229"/>
      <c r="Q61" s="229"/>
      <c r="R61" s="229"/>
      <c r="S61" s="230"/>
      <c r="T61" s="231"/>
      <c r="U61" s="231"/>
      <c r="V61" s="231"/>
      <c r="W61" s="232"/>
      <c r="X61" s="82"/>
    </row>
    <row r="62" spans="2:24" ht="14.25" customHeight="1" x14ac:dyDescent="0.25">
      <c r="B62" s="82"/>
      <c r="C62" s="242"/>
      <c r="D62" s="83"/>
      <c r="E62" s="83"/>
      <c r="F62" s="83"/>
      <c r="G62" s="83"/>
      <c r="H62" s="227"/>
      <c r="I62" s="225"/>
      <c r="J62" s="225"/>
      <c r="K62" s="226"/>
      <c r="L62" s="227"/>
      <c r="M62" s="227"/>
      <c r="N62" s="228"/>
      <c r="O62" s="228"/>
      <c r="P62" s="229"/>
      <c r="Q62" s="229"/>
      <c r="R62" s="229"/>
      <c r="S62" s="230"/>
      <c r="T62" s="231"/>
      <c r="U62" s="231"/>
      <c r="V62" s="231"/>
      <c r="W62" s="232"/>
      <c r="X62" s="82"/>
    </row>
    <row r="63" spans="2:24" ht="14.25" customHeight="1" x14ac:dyDescent="0.25">
      <c r="B63" s="82"/>
      <c r="C63" s="242"/>
      <c r="D63" s="83"/>
      <c r="E63" s="83"/>
      <c r="F63" s="83"/>
      <c r="G63" s="83"/>
      <c r="H63" s="227"/>
      <c r="I63" s="225"/>
      <c r="J63" s="225"/>
      <c r="K63" s="226"/>
      <c r="L63" s="227"/>
      <c r="M63" s="227"/>
      <c r="N63" s="228"/>
      <c r="O63" s="228"/>
      <c r="P63" s="229"/>
      <c r="Q63" s="229"/>
      <c r="R63" s="229"/>
      <c r="S63" s="230"/>
      <c r="T63" s="231"/>
      <c r="U63" s="231"/>
      <c r="V63" s="231"/>
      <c r="W63" s="232"/>
      <c r="X63" s="82"/>
    </row>
    <row r="64" spans="2:24" ht="14.25" customHeight="1" x14ac:dyDescent="0.25">
      <c r="B64" s="82"/>
      <c r="C64" s="242"/>
      <c r="D64" s="83"/>
      <c r="E64" s="83"/>
      <c r="F64" s="83"/>
      <c r="G64" s="83"/>
      <c r="H64" s="227"/>
      <c r="I64" s="225"/>
      <c r="J64" s="225"/>
      <c r="K64" s="226"/>
      <c r="L64" s="227"/>
      <c r="M64" s="227"/>
      <c r="N64" s="228"/>
      <c r="O64" s="228"/>
      <c r="P64" s="229"/>
      <c r="Q64" s="229"/>
      <c r="R64" s="229"/>
      <c r="S64" s="230"/>
      <c r="T64" s="231"/>
      <c r="U64" s="231"/>
      <c r="V64" s="231"/>
      <c r="W64" s="232"/>
      <c r="X64" s="82"/>
    </row>
    <row r="65" spans="2:24" ht="14.25" customHeight="1" x14ac:dyDescent="0.25">
      <c r="B65" s="82"/>
      <c r="C65" s="242"/>
      <c r="D65" s="83"/>
      <c r="E65" s="83"/>
      <c r="F65" s="83"/>
      <c r="G65" s="83"/>
      <c r="H65" s="227"/>
      <c r="I65" s="225"/>
      <c r="J65" s="225"/>
      <c r="K65" s="226"/>
      <c r="L65" s="227"/>
      <c r="M65" s="227"/>
      <c r="N65" s="228"/>
      <c r="O65" s="228"/>
      <c r="P65" s="229"/>
      <c r="Q65" s="229"/>
      <c r="R65" s="229"/>
      <c r="S65" s="230"/>
      <c r="T65" s="231"/>
      <c r="U65" s="231"/>
      <c r="V65" s="231"/>
      <c r="W65" s="232"/>
      <c r="X65" s="82"/>
    </row>
    <row r="66" spans="2:24" ht="14.25" customHeight="1" x14ac:dyDescent="0.25">
      <c r="B66" s="82"/>
      <c r="C66" s="242"/>
      <c r="D66" s="83"/>
      <c r="E66" s="83"/>
      <c r="F66" s="83"/>
      <c r="G66" s="83"/>
      <c r="H66" s="227"/>
      <c r="I66" s="225"/>
      <c r="J66" s="225"/>
      <c r="K66" s="226"/>
      <c r="L66" s="227"/>
      <c r="M66" s="227"/>
      <c r="N66" s="228"/>
      <c r="O66" s="228"/>
      <c r="P66" s="229"/>
      <c r="Q66" s="229"/>
      <c r="R66" s="229"/>
      <c r="S66" s="230"/>
      <c r="T66" s="231"/>
      <c r="U66" s="231"/>
      <c r="V66" s="231"/>
      <c r="W66" s="232"/>
      <c r="X66" s="82"/>
    </row>
    <row r="67" spans="2:24" ht="14.25" customHeight="1" x14ac:dyDescent="0.25">
      <c r="B67" s="82"/>
      <c r="C67" s="242"/>
      <c r="D67" s="83"/>
      <c r="E67" s="83"/>
      <c r="F67" s="83"/>
      <c r="G67" s="83"/>
      <c r="H67" s="227"/>
      <c r="I67" s="225"/>
      <c r="J67" s="225"/>
      <c r="K67" s="226"/>
      <c r="L67" s="227"/>
      <c r="M67" s="227"/>
      <c r="N67" s="228"/>
      <c r="O67" s="228"/>
      <c r="P67" s="229"/>
      <c r="Q67" s="229"/>
      <c r="R67" s="229"/>
      <c r="S67" s="230"/>
      <c r="T67" s="231"/>
      <c r="U67" s="231"/>
      <c r="V67" s="231"/>
      <c r="W67" s="232"/>
      <c r="X67" s="82"/>
    </row>
    <row r="68" spans="2:24" ht="14.25" customHeight="1" x14ac:dyDescent="0.25">
      <c r="B68" s="82"/>
      <c r="C68" s="242"/>
      <c r="D68" s="83"/>
      <c r="E68" s="83"/>
      <c r="F68" s="83"/>
      <c r="G68" s="83"/>
      <c r="H68" s="227"/>
      <c r="I68" s="225"/>
      <c r="J68" s="225"/>
      <c r="K68" s="226"/>
      <c r="L68" s="227"/>
      <c r="M68" s="227"/>
      <c r="N68" s="228"/>
      <c r="O68" s="228"/>
      <c r="P68" s="229"/>
      <c r="Q68" s="229"/>
      <c r="R68" s="229"/>
      <c r="S68" s="230"/>
      <c r="T68" s="231"/>
      <c r="U68" s="231"/>
      <c r="V68" s="231"/>
      <c r="W68" s="232"/>
      <c r="X68" s="82"/>
    </row>
    <row r="69" spans="2:24" ht="14.25" customHeight="1" x14ac:dyDescent="0.25">
      <c r="B69" s="82"/>
      <c r="C69" s="242"/>
      <c r="D69" s="83"/>
      <c r="E69" s="83"/>
      <c r="F69" s="83"/>
      <c r="G69" s="83"/>
      <c r="H69" s="227"/>
      <c r="I69" s="225"/>
      <c r="J69" s="225"/>
      <c r="K69" s="226"/>
      <c r="L69" s="227"/>
      <c r="M69" s="227"/>
      <c r="N69" s="228"/>
      <c r="O69" s="228"/>
      <c r="P69" s="229"/>
      <c r="Q69" s="229"/>
      <c r="R69" s="229"/>
      <c r="S69" s="230"/>
      <c r="T69" s="231"/>
      <c r="U69" s="231"/>
      <c r="V69" s="231"/>
      <c r="W69" s="232"/>
      <c r="X69" s="82"/>
    </row>
    <row r="70" spans="2:24" ht="14.25" customHeight="1" x14ac:dyDescent="0.25">
      <c r="B70" s="82"/>
      <c r="C70" s="242"/>
      <c r="D70" s="83"/>
      <c r="E70" s="83"/>
      <c r="F70" s="83"/>
      <c r="G70" s="83"/>
      <c r="H70" s="227"/>
      <c r="I70" s="225"/>
      <c r="J70" s="225"/>
      <c r="K70" s="226"/>
      <c r="L70" s="227"/>
      <c r="M70" s="227"/>
      <c r="N70" s="228"/>
      <c r="O70" s="228"/>
      <c r="P70" s="229"/>
      <c r="Q70" s="229"/>
      <c r="R70" s="229"/>
      <c r="S70" s="230"/>
      <c r="T70" s="231"/>
      <c r="U70" s="231"/>
      <c r="V70" s="231"/>
      <c r="W70" s="232"/>
      <c r="X70" s="82"/>
    </row>
    <row r="71" spans="2:24" ht="14.25" customHeight="1" x14ac:dyDescent="0.25">
      <c r="B71" s="82"/>
      <c r="C71" s="242"/>
      <c r="D71" s="83"/>
      <c r="E71" s="83"/>
      <c r="F71" s="83"/>
      <c r="G71" s="83"/>
      <c r="H71" s="227"/>
      <c r="I71" s="225"/>
      <c r="J71" s="225"/>
      <c r="K71" s="226"/>
      <c r="L71" s="227"/>
      <c r="M71" s="227"/>
      <c r="N71" s="228"/>
      <c r="O71" s="228"/>
      <c r="P71" s="229"/>
      <c r="Q71" s="229"/>
      <c r="R71" s="229"/>
      <c r="S71" s="230"/>
      <c r="T71" s="231"/>
      <c r="U71" s="231"/>
      <c r="V71" s="231"/>
      <c r="W71" s="232"/>
      <c r="X71" s="82"/>
    </row>
    <row r="72" spans="2:24" ht="14.25" customHeight="1" x14ac:dyDescent="0.25">
      <c r="B72" s="82"/>
      <c r="C72" s="242"/>
      <c r="D72" s="83"/>
      <c r="E72" s="83"/>
      <c r="F72" s="83"/>
      <c r="G72" s="83"/>
      <c r="H72" s="227"/>
      <c r="I72" s="225"/>
      <c r="J72" s="225"/>
      <c r="K72" s="226"/>
      <c r="L72" s="227"/>
      <c r="M72" s="227"/>
      <c r="N72" s="228"/>
      <c r="O72" s="228"/>
      <c r="P72" s="229"/>
      <c r="Q72" s="229"/>
      <c r="R72" s="229"/>
      <c r="S72" s="230"/>
      <c r="T72" s="231"/>
      <c r="U72" s="231"/>
      <c r="V72" s="231"/>
      <c r="W72" s="232"/>
      <c r="X72" s="82"/>
    </row>
    <row r="73" spans="2:24" ht="14.25" customHeight="1" x14ac:dyDescent="0.25">
      <c r="B73" s="82"/>
      <c r="C73" s="242"/>
      <c r="D73" s="83"/>
      <c r="E73" s="83"/>
      <c r="F73" s="83"/>
      <c r="G73" s="83"/>
      <c r="H73" s="227"/>
      <c r="I73" s="225"/>
      <c r="J73" s="225"/>
      <c r="K73" s="226"/>
      <c r="L73" s="227"/>
      <c r="M73" s="227"/>
      <c r="N73" s="228"/>
      <c r="O73" s="228"/>
      <c r="P73" s="229"/>
      <c r="Q73" s="229"/>
      <c r="R73" s="229"/>
      <c r="S73" s="230"/>
      <c r="T73" s="231"/>
      <c r="U73" s="231"/>
      <c r="V73" s="231"/>
      <c r="W73" s="232"/>
      <c r="X73" s="82"/>
    </row>
    <row r="74" spans="2:24" ht="14.25" customHeight="1" x14ac:dyDescent="0.25">
      <c r="B74" s="82"/>
      <c r="C74" s="242"/>
      <c r="D74" s="83"/>
      <c r="E74" s="83"/>
      <c r="F74" s="83"/>
      <c r="G74" s="83"/>
      <c r="H74" s="227"/>
      <c r="I74" s="225"/>
      <c r="J74" s="225"/>
      <c r="K74" s="226"/>
      <c r="L74" s="227"/>
      <c r="M74" s="227"/>
      <c r="N74" s="228"/>
      <c r="O74" s="228"/>
      <c r="P74" s="229"/>
      <c r="Q74" s="229"/>
      <c r="R74" s="229"/>
      <c r="S74" s="230"/>
      <c r="T74" s="231"/>
      <c r="U74" s="231"/>
      <c r="V74" s="231"/>
      <c r="W74" s="232"/>
      <c r="X74" s="82"/>
    </row>
    <row r="75" spans="2:24" ht="14.25" customHeight="1" x14ac:dyDescent="0.25">
      <c r="B75" s="82"/>
      <c r="C75" s="242"/>
      <c r="D75" s="83"/>
      <c r="E75" s="83"/>
      <c r="F75" s="83"/>
      <c r="G75" s="83"/>
      <c r="H75" s="227"/>
      <c r="I75" s="225"/>
      <c r="J75" s="225"/>
      <c r="K75" s="226"/>
      <c r="L75" s="227"/>
      <c r="M75" s="227"/>
      <c r="N75" s="228"/>
      <c r="O75" s="228"/>
      <c r="P75" s="229"/>
      <c r="Q75" s="229"/>
      <c r="R75" s="229"/>
      <c r="S75" s="230"/>
      <c r="T75" s="231"/>
      <c r="U75" s="231"/>
      <c r="V75" s="231"/>
      <c r="W75" s="232"/>
      <c r="X75" s="82"/>
    </row>
    <row r="76" spans="2:24" ht="14.25" customHeight="1" x14ac:dyDescent="0.25">
      <c r="B76" s="82"/>
      <c r="C76" s="242"/>
      <c r="D76" s="83"/>
      <c r="E76" s="83"/>
      <c r="F76" s="83"/>
      <c r="G76" s="83"/>
      <c r="H76" s="227"/>
      <c r="I76" s="225"/>
      <c r="J76" s="225"/>
      <c r="K76" s="226"/>
      <c r="L76" s="227"/>
      <c r="M76" s="227"/>
      <c r="N76" s="228"/>
      <c r="O76" s="228"/>
      <c r="P76" s="229"/>
      <c r="Q76" s="229"/>
      <c r="R76" s="229"/>
      <c r="S76" s="230"/>
      <c r="T76" s="231"/>
      <c r="U76" s="231"/>
      <c r="V76" s="231"/>
      <c r="W76" s="232"/>
      <c r="X76" s="82"/>
    </row>
    <row r="77" spans="2:24" ht="14.25" customHeight="1" x14ac:dyDescent="0.25">
      <c r="B77" s="82"/>
      <c r="C77" s="242"/>
      <c r="D77" s="83"/>
      <c r="E77" s="83"/>
      <c r="F77" s="83"/>
      <c r="G77" s="83"/>
      <c r="H77" s="227"/>
      <c r="I77" s="225"/>
      <c r="J77" s="225"/>
      <c r="K77" s="226"/>
      <c r="L77" s="227"/>
      <c r="M77" s="227"/>
      <c r="N77" s="228"/>
      <c r="O77" s="228"/>
      <c r="P77" s="229"/>
      <c r="Q77" s="229"/>
      <c r="R77" s="229"/>
      <c r="S77" s="230"/>
      <c r="T77" s="231"/>
      <c r="U77" s="231"/>
      <c r="V77" s="231"/>
      <c r="W77" s="232"/>
      <c r="X77" s="82"/>
    </row>
    <row r="78" spans="2:24" ht="14.25" customHeight="1" x14ac:dyDescent="0.25">
      <c r="B78" s="82"/>
      <c r="C78" s="242"/>
      <c r="D78" s="83"/>
      <c r="E78" s="83"/>
      <c r="F78" s="83"/>
      <c r="G78" s="83"/>
      <c r="H78" s="227"/>
      <c r="I78" s="225"/>
      <c r="J78" s="225"/>
      <c r="K78" s="226"/>
      <c r="L78" s="227"/>
      <c r="M78" s="227"/>
      <c r="N78" s="228"/>
      <c r="O78" s="228"/>
      <c r="P78" s="229"/>
      <c r="Q78" s="229"/>
      <c r="R78" s="229"/>
      <c r="S78" s="230"/>
      <c r="T78" s="231"/>
      <c r="U78" s="231"/>
      <c r="V78" s="231"/>
      <c r="W78" s="232"/>
      <c r="X78" s="82"/>
    </row>
    <row r="79" spans="2:24" ht="14.25" customHeight="1" x14ac:dyDescent="0.25">
      <c r="B79" s="82"/>
      <c r="C79" s="242"/>
      <c r="D79" s="83"/>
      <c r="E79" s="83"/>
      <c r="F79" s="83"/>
      <c r="G79" s="83"/>
      <c r="H79" s="227"/>
      <c r="I79" s="225"/>
      <c r="J79" s="225"/>
      <c r="K79" s="226"/>
      <c r="L79" s="227"/>
      <c r="M79" s="227"/>
      <c r="N79" s="228"/>
      <c r="O79" s="228"/>
      <c r="P79" s="229"/>
      <c r="Q79" s="229"/>
      <c r="R79" s="229"/>
      <c r="S79" s="230"/>
      <c r="T79" s="231"/>
      <c r="U79" s="231"/>
      <c r="V79" s="231"/>
      <c r="W79" s="232"/>
      <c r="X79" s="82"/>
    </row>
    <row r="80" spans="2:24" ht="14.25" customHeight="1" x14ac:dyDescent="0.25">
      <c r="B80" s="82"/>
      <c r="C80" s="242"/>
      <c r="D80" s="83"/>
      <c r="E80" s="83"/>
      <c r="F80" s="83"/>
      <c r="G80" s="83"/>
      <c r="H80" s="227"/>
      <c r="I80" s="225"/>
      <c r="J80" s="225"/>
      <c r="K80" s="226"/>
      <c r="L80" s="227"/>
      <c r="M80" s="227"/>
      <c r="N80" s="228"/>
      <c r="O80" s="228"/>
      <c r="P80" s="229"/>
      <c r="Q80" s="229"/>
      <c r="R80" s="229"/>
      <c r="S80" s="230"/>
      <c r="T80" s="231"/>
      <c r="U80" s="231"/>
      <c r="V80" s="231"/>
      <c r="W80" s="232"/>
      <c r="X80" s="82"/>
    </row>
    <row r="81" spans="2:24" ht="14.25" customHeight="1" x14ac:dyDescent="0.25">
      <c r="B81" s="82"/>
      <c r="C81" s="242"/>
      <c r="D81" s="83"/>
      <c r="E81" s="83"/>
      <c r="F81" s="83"/>
      <c r="G81" s="83"/>
      <c r="H81" s="227"/>
      <c r="I81" s="225"/>
      <c r="J81" s="225"/>
      <c r="K81" s="226"/>
      <c r="L81" s="227"/>
      <c r="M81" s="227"/>
      <c r="N81" s="228"/>
      <c r="O81" s="228"/>
      <c r="P81" s="229"/>
      <c r="Q81" s="229"/>
      <c r="R81" s="229"/>
      <c r="S81" s="230"/>
      <c r="T81" s="231"/>
      <c r="U81" s="231"/>
      <c r="V81" s="231"/>
      <c r="W81" s="232"/>
      <c r="X81" s="82"/>
    </row>
    <row r="82" spans="2:24" ht="14.25" customHeight="1" x14ac:dyDescent="0.25">
      <c r="B82" s="82"/>
      <c r="C82" s="242"/>
      <c r="D82" s="83"/>
      <c r="E82" s="83"/>
      <c r="F82" s="83"/>
      <c r="G82" s="83"/>
      <c r="H82" s="227"/>
      <c r="I82" s="225"/>
      <c r="J82" s="225"/>
      <c r="K82" s="226"/>
      <c r="L82" s="227"/>
      <c r="M82" s="227"/>
      <c r="N82" s="228"/>
      <c r="O82" s="228"/>
      <c r="P82" s="229"/>
      <c r="Q82" s="229"/>
      <c r="R82" s="229"/>
      <c r="S82" s="230"/>
      <c r="T82" s="231"/>
      <c r="U82" s="231"/>
      <c r="V82" s="231"/>
      <c r="W82" s="232"/>
      <c r="X82" s="82"/>
    </row>
    <row r="83" spans="2:24" ht="14.25" customHeight="1" x14ac:dyDescent="0.25">
      <c r="B83" s="82"/>
      <c r="C83" s="242"/>
      <c r="D83" s="83"/>
      <c r="E83" s="83"/>
      <c r="F83" s="83"/>
      <c r="G83" s="83"/>
      <c r="H83" s="227"/>
      <c r="I83" s="225"/>
      <c r="J83" s="225"/>
      <c r="K83" s="226"/>
      <c r="L83" s="227"/>
      <c r="M83" s="227"/>
      <c r="N83" s="228"/>
      <c r="O83" s="228"/>
      <c r="P83" s="229"/>
      <c r="Q83" s="229"/>
      <c r="R83" s="229"/>
      <c r="S83" s="230"/>
      <c r="T83" s="231"/>
      <c r="U83" s="231"/>
      <c r="V83" s="231"/>
      <c r="W83" s="232"/>
      <c r="X83" s="82"/>
    </row>
    <row r="84" spans="2:24" ht="14.25" customHeight="1" x14ac:dyDescent="0.25">
      <c r="B84" s="82"/>
      <c r="C84" s="242"/>
      <c r="D84" s="83"/>
      <c r="E84" s="83"/>
      <c r="F84" s="83"/>
      <c r="G84" s="83"/>
      <c r="H84" s="227"/>
      <c r="I84" s="225"/>
      <c r="J84" s="225"/>
      <c r="K84" s="226"/>
      <c r="L84" s="227"/>
      <c r="M84" s="227"/>
      <c r="N84" s="228"/>
      <c r="O84" s="228"/>
      <c r="P84" s="229"/>
      <c r="Q84" s="229"/>
      <c r="R84" s="229"/>
      <c r="S84" s="230"/>
      <c r="T84" s="231"/>
      <c r="U84" s="231"/>
      <c r="V84" s="231"/>
      <c r="W84" s="232"/>
      <c r="X84" s="82"/>
    </row>
    <row r="85" spans="2:24" ht="14.25" customHeight="1" x14ac:dyDescent="0.25">
      <c r="B85" s="82"/>
      <c r="C85" s="242"/>
      <c r="D85" s="83"/>
      <c r="E85" s="83"/>
      <c r="F85" s="83"/>
      <c r="G85" s="83"/>
      <c r="H85" s="227"/>
      <c r="I85" s="225"/>
      <c r="J85" s="225"/>
      <c r="K85" s="226"/>
      <c r="L85" s="227"/>
      <c r="M85" s="227"/>
      <c r="N85" s="228"/>
      <c r="O85" s="228"/>
      <c r="P85" s="229"/>
      <c r="Q85" s="229"/>
      <c r="R85" s="229"/>
      <c r="S85" s="230"/>
      <c r="T85" s="231"/>
      <c r="U85" s="231"/>
      <c r="V85" s="231"/>
      <c r="W85" s="232"/>
      <c r="X85" s="82"/>
    </row>
    <row r="86" spans="2:24" ht="14.25" customHeight="1" x14ac:dyDescent="0.25">
      <c r="B86" s="82"/>
      <c r="C86" s="242"/>
      <c r="D86" s="83"/>
      <c r="E86" s="83"/>
      <c r="F86" s="83"/>
      <c r="G86" s="83"/>
      <c r="H86" s="227"/>
      <c r="I86" s="225"/>
      <c r="J86" s="225"/>
      <c r="K86" s="226"/>
      <c r="L86" s="227"/>
      <c r="M86" s="227"/>
      <c r="N86" s="228"/>
      <c r="O86" s="228"/>
      <c r="P86" s="229"/>
      <c r="Q86" s="229"/>
      <c r="R86" s="229"/>
      <c r="S86" s="230"/>
      <c r="T86" s="231"/>
      <c r="U86" s="231"/>
      <c r="V86" s="231"/>
      <c r="W86" s="232"/>
      <c r="X86" s="82"/>
    </row>
    <row r="87" spans="2:24" ht="14.25" customHeight="1" x14ac:dyDescent="0.25">
      <c r="B87" s="82"/>
      <c r="C87" s="242"/>
      <c r="D87" s="83"/>
      <c r="E87" s="83"/>
      <c r="F87" s="83"/>
      <c r="G87" s="83"/>
      <c r="H87" s="227"/>
      <c r="I87" s="225"/>
      <c r="J87" s="225"/>
      <c r="K87" s="226"/>
      <c r="L87" s="227"/>
      <c r="M87" s="227"/>
      <c r="N87" s="228"/>
      <c r="O87" s="228"/>
      <c r="P87" s="229"/>
      <c r="Q87" s="229"/>
      <c r="R87" s="229"/>
      <c r="S87" s="230"/>
      <c r="T87" s="231"/>
      <c r="U87" s="231"/>
      <c r="V87" s="231"/>
      <c r="W87" s="232"/>
      <c r="X87" s="82"/>
    </row>
    <row r="88" spans="2:24" ht="14.25" customHeight="1" x14ac:dyDescent="0.25">
      <c r="B88" s="82"/>
      <c r="C88" s="242"/>
      <c r="D88" s="83"/>
      <c r="E88" s="83"/>
      <c r="F88" s="83"/>
      <c r="G88" s="83"/>
      <c r="H88" s="227"/>
      <c r="I88" s="225"/>
      <c r="J88" s="225"/>
      <c r="K88" s="226"/>
      <c r="L88" s="227"/>
      <c r="M88" s="227"/>
      <c r="N88" s="228"/>
      <c r="O88" s="228"/>
      <c r="P88" s="229"/>
      <c r="Q88" s="229"/>
      <c r="R88" s="229"/>
      <c r="S88" s="230"/>
      <c r="T88" s="231"/>
      <c r="U88" s="231"/>
      <c r="V88" s="231"/>
      <c r="W88" s="232"/>
      <c r="X88" s="82"/>
    </row>
    <row r="89" spans="2:24" ht="14.25" customHeight="1" x14ac:dyDescent="0.25">
      <c r="B89" s="82"/>
      <c r="C89" s="242"/>
      <c r="D89" s="83"/>
      <c r="E89" s="83"/>
      <c r="F89" s="83"/>
      <c r="G89" s="83"/>
      <c r="H89" s="227"/>
      <c r="I89" s="225"/>
      <c r="J89" s="225"/>
      <c r="K89" s="226"/>
      <c r="L89" s="227"/>
      <c r="M89" s="227"/>
      <c r="N89" s="228"/>
      <c r="O89" s="228"/>
      <c r="P89" s="229"/>
      <c r="Q89" s="229"/>
      <c r="R89" s="229"/>
      <c r="S89" s="230"/>
      <c r="T89" s="231"/>
      <c r="U89" s="231"/>
      <c r="V89" s="231"/>
      <c r="W89" s="232"/>
      <c r="X89" s="82"/>
    </row>
    <row r="90" spans="2:24" ht="14.25" customHeight="1" x14ac:dyDescent="0.25">
      <c r="B90" s="82"/>
      <c r="C90" s="242"/>
      <c r="D90" s="83"/>
      <c r="E90" s="83"/>
      <c r="F90" s="83"/>
      <c r="G90" s="83"/>
      <c r="H90" s="227"/>
      <c r="I90" s="225"/>
      <c r="J90" s="225"/>
      <c r="K90" s="226"/>
      <c r="L90" s="227"/>
      <c r="M90" s="227"/>
      <c r="N90" s="228"/>
      <c r="O90" s="228"/>
      <c r="P90" s="229"/>
      <c r="Q90" s="229"/>
      <c r="R90" s="229"/>
      <c r="S90" s="230"/>
      <c r="T90" s="231"/>
      <c r="U90" s="231"/>
      <c r="V90" s="231"/>
      <c r="W90" s="232"/>
      <c r="X90" s="82"/>
    </row>
    <row r="91" spans="2:24" ht="14.25" customHeight="1" x14ac:dyDescent="0.25">
      <c r="B91" s="82"/>
      <c r="C91" s="242"/>
      <c r="D91" s="83"/>
      <c r="E91" s="83"/>
      <c r="F91" s="83"/>
      <c r="G91" s="83"/>
      <c r="H91" s="227"/>
      <c r="I91" s="225"/>
      <c r="J91" s="225"/>
      <c r="K91" s="226"/>
      <c r="L91" s="227"/>
      <c r="M91" s="227"/>
      <c r="N91" s="228"/>
      <c r="O91" s="228"/>
      <c r="P91" s="229"/>
      <c r="Q91" s="229"/>
      <c r="R91" s="229"/>
      <c r="S91" s="230"/>
      <c r="T91" s="231"/>
      <c r="U91" s="231"/>
      <c r="V91" s="231"/>
      <c r="W91" s="232"/>
      <c r="X91" s="82"/>
    </row>
    <row r="92" spans="2:24" ht="14.25" customHeight="1" x14ac:dyDescent="0.25">
      <c r="B92" s="82"/>
      <c r="C92" s="242"/>
      <c r="D92" s="83"/>
      <c r="E92" s="83"/>
      <c r="F92" s="83"/>
      <c r="G92" s="83"/>
      <c r="H92" s="227"/>
      <c r="I92" s="225"/>
      <c r="J92" s="225"/>
      <c r="K92" s="226"/>
      <c r="L92" s="227"/>
      <c r="M92" s="227"/>
      <c r="N92" s="228"/>
      <c r="O92" s="228"/>
      <c r="P92" s="229"/>
      <c r="Q92" s="229"/>
      <c r="R92" s="229"/>
      <c r="S92" s="230"/>
      <c r="T92" s="231"/>
      <c r="U92" s="231"/>
      <c r="V92" s="231"/>
      <c r="W92" s="232"/>
      <c r="X92" s="82"/>
    </row>
    <row r="93" spans="2:24" ht="14.25" customHeight="1" x14ac:dyDescent="0.25">
      <c r="B93" s="82"/>
      <c r="C93" s="242"/>
      <c r="D93" s="83"/>
      <c r="E93" s="83"/>
      <c r="F93" s="83"/>
      <c r="G93" s="83"/>
      <c r="H93" s="227"/>
      <c r="I93" s="225"/>
      <c r="J93" s="225"/>
      <c r="K93" s="226"/>
      <c r="L93" s="227"/>
      <c r="M93" s="227"/>
      <c r="N93" s="228"/>
      <c r="O93" s="228"/>
      <c r="P93" s="229"/>
      <c r="Q93" s="229"/>
      <c r="R93" s="229"/>
      <c r="S93" s="230"/>
      <c r="T93" s="231"/>
      <c r="U93" s="231"/>
      <c r="V93" s="231"/>
      <c r="W93" s="232"/>
      <c r="X93" s="82"/>
    </row>
    <row r="94" spans="2:24" ht="14.25" customHeight="1" x14ac:dyDescent="0.25">
      <c r="B94" s="82"/>
      <c r="C94" s="242"/>
      <c r="D94" s="83"/>
      <c r="E94" s="83"/>
      <c r="F94" s="83"/>
      <c r="G94" s="83"/>
      <c r="H94" s="227"/>
      <c r="I94" s="225"/>
      <c r="J94" s="225"/>
      <c r="K94" s="226"/>
      <c r="L94" s="227"/>
      <c r="M94" s="227"/>
      <c r="N94" s="228"/>
      <c r="O94" s="228"/>
      <c r="P94" s="229"/>
      <c r="Q94" s="229"/>
      <c r="R94" s="229"/>
      <c r="S94" s="230"/>
      <c r="T94" s="231"/>
      <c r="U94" s="231"/>
      <c r="V94" s="231"/>
      <c r="W94" s="232"/>
      <c r="X94" s="82"/>
    </row>
    <row r="95" spans="2:24" ht="14.25" customHeight="1" x14ac:dyDescent="0.25">
      <c r="B95" s="82"/>
      <c r="C95" s="242"/>
      <c r="D95" s="83"/>
      <c r="E95" s="83"/>
      <c r="F95" s="83"/>
      <c r="G95" s="83"/>
      <c r="H95" s="227"/>
      <c r="I95" s="225"/>
      <c r="J95" s="225"/>
      <c r="K95" s="226"/>
      <c r="L95" s="227"/>
      <c r="M95" s="227"/>
      <c r="N95" s="228"/>
      <c r="O95" s="228"/>
      <c r="P95" s="229"/>
      <c r="Q95" s="229"/>
      <c r="R95" s="229"/>
      <c r="S95" s="230"/>
      <c r="T95" s="231"/>
      <c r="U95" s="231"/>
      <c r="V95" s="231"/>
      <c r="W95" s="232"/>
      <c r="X95" s="82"/>
    </row>
    <row r="96" spans="2:24" ht="14.25" customHeight="1" x14ac:dyDescent="0.25">
      <c r="B96" s="82"/>
      <c r="C96" s="242"/>
      <c r="D96" s="83"/>
      <c r="E96" s="83"/>
      <c r="F96" s="83"/>
      <c r="G96" s="83"/>
      <c r="H96" s="227"/>
      <c r="I96" s="225"/>
      <c r="J96" s="225"/>
      <c r="K96" s="226"/>
      <c r="L96" s="227"/>
      <c r="M96" s="227"/>
      <c r="N96" s="228"/>
      <c r="O96" s="228"/>
      <c r="P96" s="229"/>
      <c r="Q96" s="229"/>
      <c r="R96" s="229"/>
      <c r="S96" s="230"/>
      <c r="T96" s="231"/>
      <c r="U96" s="231"/>
      <c r="V96" s="231"/>
      <c r="W96" s="232"/>
      <c r="X96" s="82"/>
    </row>
    <row r="97" spans="2:24" ht="14.25" customHeight="1" x14ac:dyDescent="0.25">
      <c r="B97" s="82"/>
      <c r="C97" s="242"/>
      <c r="D97" s="83"/>
      <c r="E97" s="83"/>
      <c r="F97" s="83"/>
      <c r="G97" s="83"/>
      <c r="H97" s="227"/>
      <c r="I97" s="225"/>
      <c r="J97" s="225"/>
      <c r="K97" s="226"/>
      <c r="L97" s="227"/>
      <c r="M97" s="227"/>
      <c r="N97" s="228"/>
      <c r="O97" s="228"/>
      <c r="P97" s="229"/>
      <c r="Q97" s="229"/>
      <c r="R97" s="229"/>
      <c r="S97" s="230"/>
      <c r="T97" s="231"/>
      <c r="U97" s="231"/>
      <c r="V97" s="231"/>
      <c r="W97" s="232"/>
      <c r="X97" s="82"/>
    </row>
    <row r="98" spans="2:24" ht="14.25" customHeight="1" x14ac:dyDescent="0.25">
      <c r="B98" s="82"/>
      <c r="C98" s="242"/>
      <c r="D98" s="83"/>
      <c r="E98" s="83"/>
      <c r="F98" s="83"/>
      <c r="G98" s="83"/>
      <c r="H98" s="227"/>
      <c r="I98" s="225"/>
      <c r="J98" s="225"/>
      <c r="K98" s="226"/>
      <c r="L98" s="227"/>
      <c r="M98" s="227"/>
      <c r="N98" s="228"/>
      <c r="O98" s="228"/>
      <c r="P98" s="229"/>
      <c r="Q98" s="229"/>
      <c r="R98" s="229"/>
      <c r="S98" s="230"/>
      <c r="T98" s="231"/>
      <c r="U98" s="231"/>
      <c r="V98" s="231"/>
      <c r="W98" s="232"/>
      <c r="X98" s="82"/>
    </row>
    <row r="99" spans="2:24" ht="14.25" customHeight="1" x14ac:dyDescent="0.25">
      <c r="B99" s="82"/>
      <c r="C99" s="242"/>
      <c r="D99" s="83"/>
      <c r="E99" s="83"/>
      <c r="F99" s="83"/>
      <c r="G99" s="83"/>
      <c r="H99" s="227"/>
      <c r="I99" s="225"/>
      <c r="J99" s="225"/>
      <c r="K99" s="226"/>
      <c r="L99" s="227"/>
      <c r="M99" s="227"/>
      <c r="N99" s="228"/>
      <c r="O99" s="228"/>
      <c r="P99" s="229"/>
      <c r="Q99" s="229"/>
      <c r="R99" s="229"/>
      <c r="S99" s="230"/>
      <c r="T99" s="231"/>
      <c r="U99" s="231"/>
      <c r="V99" s="231"/>
      <c r="W99" s="232"/>
      <c r="X99" s="82"/>
    </row>
    <row r="100" spans="2:24" ht="14.25" customHeight="1" x14ac:dyDescent="0.25">
      <c r="B100" s="82"/>
      <c r="C100" s="242"/>
      <c r="D100" s="83"/>
      <c r="E100" s="83"/>
      <c r="F100" s="83"/>
      <c r="G100" s="83"/>
      <c r="H100" s="227"/>
      <c r="I100" s="225"/>
      <c r="J100" s="225"/>
      <c r="K100" s="226"/>
      <c r="L100" s="227"/>
      <c r="M100" s="227"/>
      <c r="N100" s="228"/>
      <c r="O100" s="228"/>
      <c r="P100" s="229"/>
      <c r="Q100" s="229"/>
      <c r="R100" s="229"/>
      <c r="S100" s="230"/>
      <c r="T100" s="231"/>
      <c r="U100" s="231"/>
      <c r="V100" s="231"/>
      <c r="W100" s="232"/>
      <c r="X100" s="82"/>
    </row>
    <row r="101" spans="2:24" ht="14.25" customHeight="1" x14ac:dyDescent="0.25">
      <c r="B101" s="82"/>
      <c r="C101" s="242"/>
      <c r="D101" s="83"/>
      <c r="E101" s="83"/>
      <c r="F101" s="83"/>
      <c r="G101" s="83"/>
      <c r="H101" s="227"/>
      <c r="I101" s="225"/>
      <c r="J101" s="225"/>
      <c r="K101" s="226"/>
      <c r="L101" s="227"/>
      <c r="M101" s="227"/>
      <c r="N101" s="228"/>
      <c r="O101" s="228"/>
      <c r="P101" s="229"/>
      <c r="Q101" s="229"/>
      <c r="R101" s="229"/>
      <c r="S101" s="230"/>
      <c r="T101" s="231"/>
      <c r="U101" s="231"/>
      <c r="V101" s="231"/>
      <c r="W101" s="232"/>
      <c r="X101" s="82"/>
    </row>
    <row r="102" spans="2:24" ht="14.25" customHeight="1" x14ac:dyDescent="0.25">
      <c r="B102" s="82"/>
      <c r="C102" s="242"/>
      <c r="D102" s="83"/>
      <c r="E102" s="83"/>
      <c r="F102" s="83"/>
      <c r="G102" s="83"/>
      <c r="H102" s="227"/>
      <c r="I102" s="225"/>
      <c r="J102" s="225"/>
      <c r="K102" s="226"/>
      <c r="L102" s="227"/>
      <c r="M102" s="227"/>
      <c r="N102" s="228"/>
      <c r="O102" s="228"/>
      <c r="P102" s="229"/>
      <c r="Q102" s="229"/>
      <c r="R102" s="229"/>
      <c r="S102" s="230"/>
      <c r="T102" s="231"/>
      <c r="U102" s="231"/>
      <c r="V102" s="231"/>
      <c r="W102" s="232"/>
      <c r="X102" s="82"/>
    </row>
    <row r="103" spans="2:24" ht="14.25" customHeight="1" x14ac:dyDescent="0.25">
      <c r="B103" s="82"/>
      <c r="C103" s="242"/>
      <c r="D103" s="83"/>
      <c r="E103" s="83"/>
      <c r="F103" s="83"/>
      <c r="G103" s="83"/>
      <c r="H103" s="227"/>
      <c r="I103" s="225"/>
      <c r="J103" s="225"/>
      <c r="K103" s="226"/>
      <c r="L103" s="227"/>
      <c r="M103" s="227"/>
      <c r="N103" s="228"/>
      <c r="O103" s="228"/>
      <c r="P103" s="229"/>
      <c r="Q103" s="229"/>
      <c r="R103" s="229"/>
      <c r="S103" s="230"/>
      <c r="T103" s="231"/>
      <c r="U103" s="231"/>
      <c r="V103" s="231"/>
      <c r="W103" s="232"/>
      <c r="X103" s="82"/>
    </row>
    <row r="104" spans="2:24" ht="14.25" customHeight="1" x14ac:dyDescent="0.25">
      <c r="B104" s="82"/>
      <c r="C104" s="242"/>
      <c r="D104" s="83"/>
      <c r="E104" s="83"/>
      <c r="F104" s="83"/>
      <c r="G104" s="83"/>
      <c r="H104" s="227"/>
      <c r="I104" s="225"/>
      <c r="J104" s="225"/>
      <c r="K104" s="226"/>
      <c r="L104" s="227"/>
      <c r="M104" s="227"/>
      <c r="N104" s="228"/>
      <c r="O104" s="228"/>
      <c r="P104" s="229"/>
      <c r="Q104" s="229"/>
      <c r="R104" s="229"/>
      <c r="S104" s="230"/>
      <c r="T104" s="231"/>
      <c r="U104" s="231"/>
      <c r="V104" s="231"/>
      <c r="W104" s="232"/>
      <c r="X104" s="82"/>
    </row>
    <row r="105" spans="2:24" ht="14.25" customHeight="1" x14ac:dyDescent="0.25">
      <c r="B105" s="82"/>
      <c r="C105" s="242"/>
      <c r="D105" s="83"/>
      <c r="E105" s="83"/>
      <c r="F105" s="83"/>
      <c r="G105" s="83"/>
      <c r="H105" s="227"/>
      <c r="I105" s="225"/>
      <c r="J105" s="225"/>
      <c r="K105" s="226"/>
      <c r="L105" s="227"/>
      <c r="M105" s="227"/>
      <c r="N105" s="228"/>
      <c r="O105" s="228"/>
      <c r="P105" s="229"/>
      <c r="Q105" s="229"/>
      <c r="R105" s="229"/>
      <c r="S105" s="230"/>
      <c r="T105" s="231"/>
      <c r="U105" s="231"/>
      <c r="V105" s="231"/>
      <c r="W105" s="232"/>
      <c r="X105" s="82"/>
    </row>
    <row r="106" spans="2:24" ht="14.25" customHeight="1" x14ac:dyDescent="0.25">
      <c r="B106" s="82"/>
      <c r="C106" s="242"/>
      <c r="D106" s="83"/>
      <c r="E106" s="83"/>
      <c r="F106" s="83"/>
      <c r="G106" s="83"/>
      <c r="H106" s="227"/>
      <c r="I106" s="225"/>
      <c r="J106" s="225"/>
      <c r="K106" s="226"/>
      <c r="L106" s="227"/>
      <c r="M106" s="227"/>
      <c r="N106" s="228"/>
      <c r="O106" s="228"/>
      <c r="P106" s="229"/>
      <c r="Q106" s="229"/>
      <c r="R106" s="229"/>
      <c r="S106" s="230"/>
      <c r="T106" s="231"/>
      <c r="U106" s="231"/>
      <c r="V106" s="231"/>
      <c r="W106" s="232"/>
      <c r="X106" s="82"/>
    </row>
    <row r="107" spans="2:24" ht="14.25" customHeight="1" x14ac:dyDescent="0.25">
      <c r="B107" s="82"/>
      <c r="C107" s="242"/>
      <c r="D107" s="83"/>
      <c r="E107" s="83"/>
      <c r="F107" s="83"/>
      <c r="G107" s="83"/>
      <c r="H107" s="227"/>
      <c r="I107" s="225"/>
      <c r="J107" s="225"/>
      <c r="K107" s="226"/>
      <c r="L107" s="227"/>
      <c r="M107" s="227"/>
      <c r="N107" s="228"/>
      <c r="O107" s="228"/>
      <c r="P107" s="229"/>
      <c r="Q107" s="229"/>
      <c r="R107" s="229"/>
      <c r="S107" s="230"/>
      <c r="T107" s="231"/>
      <c r="U107" s="231"/>
      <c r="V107" s="231"/>
      <c r="W107" s="232"/>
      <c r="X107" s="82"/>
    </row>
    <row r="108" spans="2:24" ht="14.25" customHeight="1" x14ac:dyDescent="0.25">
      <c r="B108" s="82"/>
      <c r="C108" s="242"/>
      <c r="D108" s="83"/>
      <c r="E108" s="83"/>
      <c r="F108" s="83"/>
      <c r="G108" s="83"/>
      <c r="H108" s="227"/>
      <c r="I108" s="225"/>
      <c r="J108" s="225"/>
      <c r="K108" s="226"/>
      <c r="L108" s="227"/>
      <c r="M108" s="227"/>
      <c r="N108" s="228"/>
      <c r="O108" s="228"/>
      <c r="P108" s="229"/>
      <c r="Q108" s="229"/>
      <c r="R108" s="229"/>
      <c r="S108" s="230"/>
      <c r="T108" s="231"/>
      <c r="U108" s="231"/>
      <c r="V108" s="231"/>
      <c r="W108" s="232"/>
      <c r="X108" s="82"/>
    </row>
    <row r="109" spans="2:24" ht="14.25" customHeight="1" x14ac:dyDescent="0.25">
      <c r="B109" s="82"/>
      <c r="C109" s="242"/>
      <c r="D109" s="83"/>
      <c r="E109" s="83"/>
      <c r="F109" s="83"/>
      <c r="G109" s="83"/>
      <c r="H109" s="227"/>
      <c r="I109" s="225"/>
      <c r="J109" s="225"/>
      <c r="K109" s="226"/>
      <c r="L109" s="227"/>
      <c r="M109" s="227"/>
      <c r="N109" s="228"/>
      <c r="O109" s="228"/>
      <c r="P109" s="229"/>
      <c r="Q109" s="229"/>
      <c r="R109" s="229"/>
      <c r="S109" s="230"/>
      <c r="T109" s="231"/>
      <c r="U109" s="231"/>
      <c r="V109" s="231"/>
      <c r="W109" s="232"/>
      <c r="X109" s="82"/>
    </row>
    <row r="110" spans="2:24" ht="14.25" customHeight="1" x14ac:dyDescent="0.25">
      <c r="B110" s="82"/>
      <c r="C110" s="242"/>
      <c r="D110" s="83"/>
      <c r="E110" s="83"/>
      <c r="F110" s="83"/>
      <c r="G110" s="83"/>
      <c r="H110" s="227"/>
      <c r="I110" s="225"/>
      <c r="J110" s="225"/>
      <c r="K110" s="226"/>
      <c r="L110" s="227"/>
      <c r="M110" s="227"/>
      <c r="N110" s="228"/>
      <c r="O110" s="228"/>
      <c r="P110" s="229"/>
      <c r="Q110" s="229"/>
      <c r="R110" s="229"/>
      <c r="S110" s="230"/>
      <c r="T110" s="231"/>
      <c r="U110" s="231"/>
      <c r="V110" s="231"/>
      <c r="W110" s="232"/>
      <c r="X110" s="82"/>
    </row>
    <row r="111" spans="2:24" ht="14.25" customHeight="1" x14ac:dyDescent="0.25">
      <c r="B111" s="82"/>
      <c r="C111" s="242"/>
      <c r="D111" s="83"/>
      <c r="E111" s="83"/>
      <c r="F111" s="83"/>
      <c r="G111" s="83"/>
      <c r="H111" s="227"/>
      <c r="I111" s="225"/>
      <c r="J111" s="225"/>
      <c r="K111" s="226"/>
      <c r="L111" s="227"/>
      <c r="M111" s="227"/>
      <c r="N111" s="228"/>
      <c r="O111" s="228"/>
      <c r="P111" s="229"/>
      <c r="Q111" s="229"/>
      <c r="R111" s="229"/>
      <c r="S111" s="230"/>
      <c r="T111" s="231"/>
      <c r="U111" s="231"/>
      <c r="V111" s="231"/>
      <c r="W111" s="232"/>
      <c r="X111" s="82"/>
    </row>
    <row r="112" spans="2:24" ht="14.25" customHeight="1" x14ac:dyDescent="0.25">
      <c r="B112" s="82"/>
      <c r="C112" s="242"/>
      <c r="D112" s="83"/>
      <c r="E112" s="83"/>
      <c r="F112" s="83"/>
      <c r="G112" s="83"/>
      <c r="H112" s="227"/>
      <c r="I112" s="225"/>
      <c r="J112" s="225"/>
      <c r="K112" s="226"/>
      <c r="L112" s="227"/>
      <c r="M112" s="227"/>
      <c r="N112" s="228"/>
      <c r="O112" s="228"/>
      <c r="P112" s="229"/>
      <c r="Q112" s="229"/>
      <c r="R112" s="229"/>
      <c r="S112" s="230"/>
      <c r="T112" s="231"/>
      <c r="U112" s="231"/>
      <c r="V112" s="231"/>
      <c r="W112" s="232"/>
      <c r="X112" s="82"/>
    </row>
    <row r="113" spans="2:24" ht="14.25" customHeight="1" x14ac:dyDescent="0.25">
      <c r="B113" s="82"/>
      <c r="C113" s="242"/>
      <c r="D113" s="83"/>
      <c r="E113" s="83"/>
      <c r="F113" s="83"/>
      <c r="G113" s="83"/>
      <c r="H113" s="227"/>
      <c r="I113" s="225"/>
      <c r="J113" s="225"/>
      <c r="K113" s="226"/>
      <c r="L113" s="227"/>
      <c r="M113" s="227"/>
      <c r="N113" s="228"/>
      <c r="O113" s="228"/>
      <c r="P113" s="229"/>
      <c r="Q113" s="229"/>
      <c r="R113" s="229"/>
      <c r="S113" s="230"/>
      <c r="T113" s="231"/>
      <c r="U113" s="231"/>
      <c r="V113" s="231"/>
      <c r="W113" s="232"/>
      <c r="X113" s="82"/>
    </row>
    <row r="114" spans="2:24" ht="14.25" customHeight="1" x14ac:dyDescent="0.25">
      <c r="B114" s="82"/>
      <c r="C114" s="242"/>
      <c r="D114" s="83"/>
      <c r="E114" s="83"/>
      <c r="F114" s="83"/>
      <c r="G114" s="83"/>
      <c r="H114" s="227"/>
      <c r="I114" s="225"/>
      <c r="J114" s="225"/>
      <c r="K114" s="226"/>
      <c r="L114" s="227"/>
      <c r="M114" s="227"/>
      <c r="N114" s="228"/>
      <c r="O114" s="228"/>
      <c r="P114" s="229"/>
      <c r="Q114" s="229"/>
      <c r="R114" s="229"/>
      <c r="S114" s="230"/>
      <c r="T114" s="231"/>
      <c r="U114" s="231"/>
      <c r="V114" s="231"/>
      <c r="W114" s="232"/>
      <c r="X114" s="82"/>
    </row>
    <row r="115" spans="2:24" ht="14.25" customHeight="1" x14ac:dyDescent="0.25">
      <c r="B115" s="82"/>
      <c r="C115" s="242"/>
      <c r="D115" s="83"/>
      <c r="E115" s="83"/>
      <c r="F115" s="83"/>
      <c r="G115" s="83"/>
      <c r="H115" s="227"/>
      <c r="I115" s="225"/>
      <c r="J115" s="225"/>
      <c r="K115" s="226"/>
      <c r="L115" s="227"/>
      <c r="M115" s="227"/>
      <c r="N115" s="228"/>
      <c r="O115" s="228"/>
      <c r="P115" s="229"/>
      <c r="Q115" s="229"/>
      <c r="R115" s="229"/>
      <c r="S115" s="230"/>
      <c r="T115" s="231"/>
      <c r="U115" s="231"/>
      <c r="V115" s="231"/>
      <c r="W115" s="232"/>
      <c r="X115" s="82"/>
    </row>
    <row r="116" spans="2:24" ht="14.25" customHeight="1" x14ac:dyDescent="0.25">
      <c r="B116" s="82"/>
      <c r="C116" s="242"/>
      <c r="D116" s="83"/>
      <c r="E116" s="83"/>
      <c r="F116" s="83"/>
      <c r="G116" s="83"/>
      <c r="H116" s="227"/>
      <c r="I116" s="225"/>
      <c r="J116" s="225"/>
      <c r="K116" s="226"/>
      <c r="L116" s="227"/>
      <c r="M116" s="227"/>
      <c r="N116" s="228"/>
      <c r="O116" s="228"/>
      <c r="P116" s="229"/>
      <c r="Q116" s="229"/>
      <c r="R116" s="229"/>
      <c r="S116" s="230"/>
      <c r="T116" s="231"/>
      <c r="U116" s="231"/>
      <c r="V116" s="231"/>
      <c r="W116" s="232"/>
      <c r="X116" s="82"/>
    </row>
    <row r="117" spans="2:24" ht="14.25" customHeight="1" x14ac:dyDescent="0.25">
      <c r="B117" s="82"/>
      <c r="C117" s="242"/>
      <c r="D117" s="83"/>
      <c r="E117" s="83"/>
      <c r="F117" s="83"/>
      <c r="G117" s="83"/>
      <c r="H117" s="227"/>
      <c r="I117" s="225"/>
      <c r="J117" s="225"/>
      <c r="K117" s="226"/>
      <c r="L117" s="227"/>
      <c r="M117" s="227"/>
      <c r="N117" s="228"/>
      <c r="O117" s="228"/>
      <c r="P117" s="229"/>
      <c r="Q117" s="229"/>
      <c r="R117" s="229"/>
      <c r="S117" s="230"/>
      <c r="T117" s="231"/>
      <c r="U117" s="231"/>
      <c r="V117" s="231"/>
      <c r="W117" s="232"/>
      <c r="X117" s="82"/>
    </row>
    <row r="118" spans="2:24" ht="14.25" customHeight="1" x14ac:dyDescent="0.25">
      <c r="B118" s="82"/>
      <c r="C118" s="242"/>
      <c r="D118" s="83"/>
      <c r="E118" s="83"/>
      <c r="F118" s="83"/>
      <c r="G118" s="83"/>
      <c r="H118" s="227"/>
      <c r="I118" s="225"/>
      <c r="J118" s="225"/>
      <c r="K118" s="226"/>
      <c r="L118" s="227"/>
      <c r="M118" s="227"/>
      <c r="N118" s="228"/>
      <c r="O118" s="228"/>
      <c r="P118" s="229"/>
      <c r="Q118" s="229"/>
      <c r="R118" s="229"/>
      <c r="S118" s="230"/>
      <c r="T118" s="231"/>
      <c r="U118" s="231"/>
      <c r="V118" s="231"/>
      <c r="W118" s="232"/>
      <c r="X118" s="82"/>
    </row>
    <row r="119" spans="2:24" ht="14.25" customHeight="1" x14ac:dyDescent="0.25">
      <c r="B119" s="82"/>
      <c r="C119" s="242"/>
      <c r="D119" s="83"/>
      <c r="E119" s="83"/>
      <c r="F119" s="83"/>
      <c r="G119" s="83"/>
      <c r="H119" s="227"/>
      <c r="I119" s="225"/>
      <c r="J119" s="225"/>
      <c r="K119" s="226"/>
      <c r="L119" s="227"/>
      <c r="M119" s="227"/>
      <c r="N119" s="228"/>
      <c r="O119" s="228"/>
      <c r="P119" s="229"/>
      <c r="Q119" s="229"/>
      <c r="R119" s="229"/>
      <c r="S119" s="230"/>
      <c r="T119" s="231"/>
      <c r="U119" s="231"/>
      <c r="V119" s="231"/>
      <c r="W119" s="232"/>
      <c r="X119" s="82"/>
    </row>
    <row r="120" spans="2:24" ht="14.25" customHeight="1" x14ac:dyDescent="0.25">
      <c r="B120" s="82"/>
      <c r="C120" s="242"/>
      <c r="D120" s="83"/>
      <c r="E120" s="83"/>
      <c r="F120" s="83"/>
      <c r="G120" s="83"/>
      <c r="H120" s="227"/>
      <c r="I120" s="225"/>
      <c r="J120" s="225"/>
      <c r="K120" s="226"/>
      <c r="L120" s="227"/>
      <c r="M120" s="227"/>
      <c r="N120" s="228"/>
      <c r="O120" s="228"/>
      <c r="P120" s="229"/>
      <c r="Q120" s="229"/>
      <c r="R120" s="229"/>
      <c r="S120" s="230"/>
      <c r="T120" s="231"/>
      <c r="U120" s="231"/>
      <c r="V120" s="231"/>
      <c r="W120" s="232"/>
      <c r="X120" s="82"/>
    </row>
    <row r="121" spans="2:24" ht="14.25" customHeight="1" x14ac:dyDescent="0.25">
      <c r="B121" s="82"/>
      <c r="C121" s="242"/>
      <c r="D121" s="83"/>
      <c r="E121" s="83"/>
      <c r="F121" s="83"/>
      <c r="G121" s="83"/>
      <c r="H121" s="227"/>
      <c r="I121" s="225"/>
      <c r="J121" s="225"/>
      <c r="K121" s="226"/>
      <c r="L121" s="227"/>
      <c r="M121" s="227"/>
      <c r="N121" s="228"/>
      <c r="O121" s="228"/>
      <c r="P121" s="229"/>
      <c r="Q121" s="229"/>
      <c r="R121" s="229"/>
      <c r="S121" s="230"/>
      <c r="T121" s="231"/>
      <c r="U121" s="231"/>
      <c r="V121" s="231"/>
      <c r="W121" s="232"/>
      <c r="X121" s="82"/>
    </row>
    <row r="122" spans="2:24" ht="14.25" customHeight="1" x14ac:dyDescent="0.25">
      <c r="B122" s="82"/>
      <c r="C122" s="242"/>
      <c r="D122" s="83"/>
      <c r="E122" s="83"/>
      <c r="F122" s="83"/>
      <c r="G122" s="83"/>
      <c r="H122" s="227"/>
      <c r="I122" s="225"/>
      <c r="J122" s="225"/>
      <c r="K122" s="226"/>
      <c r="L122" s="227"/>
      <c r="M122" s="227"/>
      <c r="N122" s="228"/>
      <c r="O122" s="228"/>
      <c r="P122" s="229"/>
      <c r="Q122" s="229"/>
      <c r="R122" s="229"/>
      <c r="S122" s="230"/>
      <c r="T122" s="231"/>
      <c r="U122" s="231"/>
      <c r="V122" s="231"/>
      <c r="W122" s="232"/>
      <c r="X122" s="82"/>
    </row>
    <row r="123" spans="2:24" ht="14.25" customHeight="1" x14ac:dyDescent="0.25">
      <c r="B123" s="82"/>
      <c r="C123" s="242"/>
      <c r="D123" s="83"/>
      <c r="E123" s="83"/>
      <c r="F123" s="83"/>
      <c r="G123" s="83"/>
      <c r="H123" s="227"/>
      <c r="I123" s="225"/>
      <c r="J123" s="225"/>
      <c r="K123" s="226"/>
      <c r="L123" s="227"/>
      <c r="M123" s="227"/>
      <c r="N123" s="228"/>
      <c r="O123" s="228"/>
      <c r="P123" s="229"/>
      <c r="Q123" s="229"/>
      <c r="R123" s="229"/>
      <c r="S123" s="230"/>
      <c r="T123" s="231"/>
      <c r="U123" s="231"/>
      <c r="V123" s="231"/>
      <c r="W123" s="232"/>
      <c r="X123" s="82"/>
    </row>
    <row r="124" spans="2:24" ht="14.25" customHeight="1" x14ac:dyDescent="0.25">
      <c r="B124" s="82"/>
      <c r="C124" s="242"/>
      <c r="D124" s="83"/>
      <c r="E124" s="83"/>
      <c r="F124" s="83"/>
      <c r="G124" s="83"/>
      <c r="H124" s="227"/>
      <c r="I124" s="225"/>
      <c r="J124" s="225"/>
      <c r="K124" s="226"/>
      <c r="L124" s="227"/>
      <c r="M124" s="227"/>
      <c r="N124" s="228"/>
      <c r="O124" s="228"/>
      <c r="P124" s="229"/>
      <c r="Q124" s="229"/>
      <c r="R124" s="229"/>
      <c r="S124" s="230"/>
      <c r="T124" s="231"/>
      <c r="U124" s="231"/>
      <c r="V124" s="231"/>
      <c r="W124" s="232"/>
      <c r="X124" s="82"/>
    </row>
    <row r="125" spans="2:24" ht="14.25" customHeight="1" x14ac:dyDescent="0.25">
      <c r="B125" s="82"/>
      <c r="C125" s="242"/>
      <c r="D125" s="83"/>
      <c r="E125" s="83"/>
      <c r="F125" s="83"/>
      <c r="G125" s="83"/>
      <c r="H125" s="227"/>
      <c r="I125" s="225"/>
      <c r="J125" s="225"/>
      <c r="K125" s="226"/>
      <c r="L125" s="227"/>
      <c r="M125" s="227"/>
      <c r="N125" s="228"/>
      <c r="O125" s="228"/>
      <c r="P125" s="229"/>
      <c r="Q125" s="229"/>
      <c r="R125" s="229"/>
      <c r="S125" s="230"/>
      <c r="T125" s="231"/>
      <c r="U125" s="231"/>
      <c r="V125" s="231"/>
      <c r="W125" s="232"/>
      <c r="X125" s="82"/>
    </row>
    <row r="126" spans="2:24" ht="14.25" customHeight="1" x14ac:dyDescent="0.25">
      <c r="B126" s="82"/>
      <c r="C126" s="242"/>
      <c r="D126" s="83"/>
      <c r="E126" s="83"/>
      <c r="F126" s="83"/>
      <c r="G126" s="83"/>
      <c r="H126" s="227"/>
      <c r="I126" s="225"/>
      <c r="J126" s="225"/>
      <c r="K126" s="226"/>
      <c r="L126" s="227"/>
      <c r="M126" s="227"/>
      <c r="N126" s="228"/>
      <c r="O126" s="228"/>
      <c r="P126" s="229"/>
      <c r="Q126" s="229"/>
      <c r="R126" s="229"/>
      <c r="S126" s="230"/>
      <c r="T126" s="231"/>
      <c r="U126" s="231"/>
      <c r="V126" s="231"/>
      <c r="W126" s="232"/>
      <c r="X126" s="82"/>
    </row>
    <row r="127" spans="2:24" ht="14.25" customHeight="1" x14ac:dyDescent="0.25">
      <c r="B127" s="82"/>
      <c r="C127" s="242"/>
      <c r="D127" s="83"/>
      <c r="E127" s="83"/>
      <c r="F127" s="83"/>
      <c r="G127" s="83"/>
      <c r="H127" s="227"/>
      <c r="I127" s="225"/>
      <c r="J127" s="225"/>
      <c r="K127" s="226"/>
      <c r="L127" s="227"/>
      <c r="M127" s="227"/>
      <c r="N127" s="228"/>
      <c r="O127" s="228"/>
      <c r="P127" s="229"/>
      <c r="Q127" s="229"/>
      <c r="R127" s="229"/>
      <c r="S127" s="230"/>
      <c r="T127" s="231"/>
      <c r="U127" s="231"/>
      <c r="V127" s="231"/>
      <c r="W127" s="232"/>
      <c r="X127" s="82"/>
    </row>
    <row r="128" spans="2:24" ht="14.25" customHeight="1" x14ac:dyDescent="0.25">
      <c r="B128" s="82"/>
      <c r="C128" s="242"/>
      <c r="D128" s="83"/>
      <c r="E128" s="83"/>
      <c r="F128" s="83"/>
      <c r="G128" s="83"/>
      <c r="H128" s="227"/>
      <c r="I128" s="225"/>
      <c r="J128" s="225"/>
      <c r="K128" s="226"/>
      <c r="L128" s="227"/>
      <c r="M128" s="227"/>
      <c r="N128" s="228"/>
      <c r="O128" s="228"/>
      <c r="P128" s="229"/>
      <c r="Q128" s="229"/>
      <c r="R128" s="229"/>
      <c r="S128" s="230"/>
      <c r="T128" s="231"/>
      <c r="U128" s="231"/>
      <c r="V128" s="231"/>
      <c r="W128" s="232"/>
      <c r="X128" s="82"/>
    </row>
    <row r="129" spans="2:24" ht="14.25" customHeight="1" x14ac:dyDescent="0.25">
      <c r="B129" s="82"/>
      <c r="C129" s="242"/>
      <c r="D129" s="83"/>
      <c r="E129" s="83"/>
      <c r="F129" s="83"/>
      <c r="G129" s="83"/>
      <c r="H129" s="227"/>
      <c r="I129" s="225"/>
      <c r="J129" s="225"/>
      <c r="K129" s="226"/>
      <c r="L129" s="227"/>
      <c r="M129" s="227"/>
      <c r="N129" s="228"/>
      <c r="O129" s="228"/>
      <c r="P129" s="229"/>
      <c r="Q129" s="229"/>
      <c r="R129" s="229"/>
      <c r="S129" s="230"/>
      <c r="T129" s="231"/>
      <c r="U129" s="231"/>
      <c r="V129" s="231"/>
      <c r="W129" s="232"/>
      <c r="X129" s="82"/>
    </row>
    <row r="130" spans="2:24" ht="14.25" customHeight="1" x14ac:dyDescent="0.25">
      <c r="B130" s="82"/>
      <c r="C130" s="242"/>
      <c r="D130" s="83"/>
      <c r="E130" s="83"/>
      <c r="F130" s="83"/>
      <c r="G130" s="83"/>
      <c r="H130" s="227"/>
      <c r="I130" s="225"/>
      <c r="J130" s="225"/>
      <c r="K130" s="226"/>
      <c r="L130" s="227"/>
      <c r="M130" s="227"/>
      <c r="N130" s="228"/>
      <c r="O130" s="228"/>
      <c r="P130" s="229"/>
      <c r="Q130" s="229"/>
      <c r="R130" s="229"/>
      <c r="S130" s="230"/>
      <c r="T130" s="231"/>
      <c r="U130" s="231"/>
      <c r="V130" s="231"/>
      <c r="W130" s="232"/>
      <c r="X130" s="82"/>
    </row>
    <row r="131" spans="2:24" ht="14.25" customHeight="1" x14ac:dyDescent="0.25">
      <c r="B131" s="82"/>
      <c r="C131" s="242"/>
      <c r="D131" s="83"/>
      <c r="E131" s="83"/>
      <c r="F131" s="83"/>
      <c r="G131" s="83"/>
      <c r="H131" s="227"/>
      <c r="I131" s="225"/>
      <c r="J131" s="225"/>
      <c r="K131" s="226"/>
      <c r="L131" s="227"/>
      <c r="M131" s="227"/>
      <c r="N131" s="228"/>
      <c r="O131" s="228"/>
      <c r="P131" s="229"/>
      <c r="Q131" s="229"/>
      <c r="R131" s="229"/>
      <c r="S131" s="230"/>
      <c r="T131" s="231"/>
      <c r="U131" s="231"/>
      <c r="V131" s="231"/>
      <c r="W131" s="232"/>
      <c r="X131" s="82"/>
    </row>
    <row r="132" spans="2:24" ht="14.25" customHeight="1" x14ac:dyDescent="0.25">
      <c r="B132" s="82"/>
      <c r="C132" s="242"/>
      <c r="D132" s="83"/>
      <c r="E132" s="83"/>
      <c r="F132" s="83"/>
      <c r="G132" s="83"/>
      <c r="H132" s="227"/>
      <c r="I132" s="225"/>
      <c r="J132" s="225"/>
      <c r="K132" s="226"/>
      <c r="L132" s="227"/>
      <c r="M132" s="227"/>
      <c r="N132" s="228"/>
      <c r="O132" s="228"/>
      <c r="P132" s="229"/>
      <c r="Q132" s="229"/>
      <c r="R132" s="229"/>
      <c r="S132" s="230"/>
      <c r="T132" s="231"/>
      <c r="U132" s="231"/>
      <c r="V132" s="231"/>
      <c r="W132" s="232"/>
      <c r="X132" s="82"/>
    </row>
    <row r="133" spans="2:24" ht="14.25" customHeight="1" x14ac:dyDescent="0.25">
      <c r="B133" s="82"/>
      <c r="C133" s="242"/>
      <c r="D133" s="83"/>
      <c r="E133" s="83"/>
      <c r="F133" s="83"/>
      <c r="G133" s="83"/>
      <c r="H133" s="227"/>
      <c r="I133" s="225"/>
      <c r="J133" s="225"/>
      <c r="K133" s="226"/>
      <c r="L133" s="227"/>
      <c r="M133" s="227"/>
      <c r="N133" s="228"/>
      <c r="O133" s="228"/>
      <c r="P133" s="229"/>
      <c r="Q133" s="229"/>
      <c r="R133" s="229"/>
      <c r="S133" s="230"/>
      <c r="T133" s="231"/>
      <c r="U133" s="231"/>
      <c r="V133" s="231"/>
      <c r="W133" s="232"/>
      <c r="X133" s="82"/>
    </row>
    <row r="134" spans="2:24" ht="14.25" customHeight="1" x14ac:dyDescent="0.25">
      <c r="B134" s="82"/>
      <c r="C134" s="242"/>
      <c r="D134" s="83"/>
      <c r="E134" s="83"/>
      <c r="F134" s="83"/>
      <c r="G134" s="83"/>
      <c r="H134" s="227"/>
      <c r="I134" s="225"/>
      <c r="J134" s="225"/>
      <c r="K134" s="226"/>
      <c r="L134" s="227"/>
      <c r="M134" s="227"/>
      <c r="N134" s="228"/>
      <c r="O134" s="228"/>
      <c r="P134" s="229"/>
      <c r="Q134" s="229"/>
      <c r="R134" s="229"/>
      <c r="S134" s="230"/>
      <c r="T134" s="231"/>
      <c r="U134" s="231"/>
      <c r="V134" s="231"/>
      <c r="W134" s="232"/>
      <c r="X134" s="82"/>
    </row>
    <row r="135" spans="2:24" ht="14.25" customHeight="1" x14ac:dyDescent="0.25">
      <c r="B135" s="82"/>
      <c r="C135" s="242"/>
      <c r="D135" s="83"/>
      <c r="E135" s="83"/>
      <c r="F135" s="83"/>
      <c r="G135" s="83"/>
      <c r="H135" s="227"/>
      <c r="I135" s="225"/>
      <c r="J135" s="225"/>
      <c r="K135" s="226"/>
      <c r="L135" s="227"/>
      <c r="M135" s="227"/>
      <c r="N135" s="228"/>
      <c r="O135" s="228"/>
      <c r="P135" s="229"/>
      <c r="Q135" s="229"/>
      <c r="R135" s="229"/>
      <c r="S135" s="230"/>
      <c r="T135" s="231"/>
      <c r="U135" s="231"/>
      <c r="V135" s="231"/>
      <c r="W135" s="232"/>
      <c r="X135" s="82"/>
    </row>
    <row r="136" spans="2:24" ht="14.25" customHeight="1" x14ac:dyDescent="0.25">
      <c r="B136" s="82"/>
      <c r="C136" s="242"/>
      <c r="D136" s="83"/>
      <c r="E136" s="83"/>
      <c r="F136" s="83"/>
      <c r="G136" s="83"/>
      <c r="H136" s="227"/>
      <c r="I136" s="225"/>
      <c r="J136" s="225"/>
      <c r="K136" s="226"/>
      <c r="L136" s="227"/>
      <c r="M136" s="227"/>
      <c r="N136" s="228"/>
      <c r="O136" s="228"/>
      <c r="P136" s="229"/>
      <c r="Q136" s="229"/>
      <c r="R136" s="229"/>
      <c r="S136" s="230"/>
      <c r="T136" s="231"/>
      <c r="U136" s="231"/>
      <c r="V136" s="231"/>
      <c r="W136" s="232"/>
      <c r="X136" s="82"/>
    </row>
    <row r="137" spans="2:24" ht="14.25" customHeight="1" x14ac:dyDescent="0.25">
      <c r="B137" s="82"/>
      <c r="C137" s="242"/>
      <c r="D137" s="83"/>
      <c r="E137" s="83"/>
      <c r="F137" s="83"/>
      <c r="G137" s="83"/>
      <c r="H137" s="227"/>
      <c r="I137" s="225"/>
      <c r="J137" s="225"/>
      <c r="K137" s="226"/>
      <c r="L137" s="227"/>
      <c r="M137" s="227"/>
      <c r="N137" s="228"/>
      <c r="O137" s="228"/>
      <c r="P137" s="229"/>
      <c r="Q137" s="229"/>
      <c r="R137" s="229"/>
      <c r="S137" s="230"/>
      <c r="T137" s="231"/>
      <c r="U137" s="231"/>
      <c r="V137" s="231"/>
      <c r="W137" s="232"/>
      <c r="X137" s="82"/>
    </row>
    <row r="138" spans="2:24" ht="14.25" customHeight="1" x14ac:dyDescent="0.25">
      <c r="B138" s="82"/>
      <c r="C138" s="242"/>
      <c r="D138" s="83"/>
      <c r="E138" s="83"/>
      <c r="F138" s="83"/>
      <c r="G138" s="83"/>
      <c r="H138" s="227"/>
      <c r="I138" s="225"/>
      <c r="J138" s="225"/>
      <c r="K138" s="226"/>
      <c r="L138" s="227"/>
      <c r="M138" s="227"/>
      <c r="N138" s="228"/>
      <c r="O138" s="228"/>
      <c r="P138" s="229"/>
      <c r="Q138" s="229"/>
      <c r="R138" s="229"/>
      <c r="S138" s="230"/>
      <c r="T138" s="231"/>
      <c r="U138" s="231"/>
      <c r="V138" s="231"/>
      <c r="W138" s="232"/>
      <c r="X138" s="82"/>
    </row>
    <row r="139" spans="2:24" ht="14.25" customHeight="1" x14ac:dyDescent="0.25">
      <c r="B139" s="82"/>
      <c r="C139" s="242"/>
      <c r="D139" s="83"/>
      <c r="E139" s="83"/>
      <c r="F139" s="83"/>
      <c r="G139" s="83"/>
      <c r="H139" s="227"/>
      <c r="I139" s="225"/>
      <c r="J139" s="225"/>
      <c r="K139" s="226"/>
      <c r="L139" s="227"/>
      <c r="M139" s="227"/>
      <c r="N139" s="228"/>
      <c r="O139" s="228"/>
      <c r="P139" s="229"/>
      <c r="Q139" s="229"/>
      <c r="R139" s="229"/>
      <c r="S139" s="230"/>
      <c r="T139" s="231"/>
      <c r="U139" s="231"/>
      <c r="V139" s="231"/>
      <c r="W139" s="232"/>
      <c r="X139" s="82"/>
    </row>
    <row r="140" spans="2:24" ht="14.25" customHeight="1" x14ac:dyDescent="0.25">
      <c r="B140" s="82"/>
      <c r="C140" s="242"/>
      <c r="D140" s="83"/>
      <c r="E140" s="83"/>
      <c r="F140" s="83"/>
      <c r="G140" s="83"/>
      <c r="H140" s="227"/>
      <c r="I140" s="225"/>
      <c r="J140" s="225"/>
      <c r="K140" s="226"/>
      <c r="L140" s="227"/>
      <c r="M140" s="227"/>
      <c r="N140" s="228"/>
      <c r="O140" s="228"/>
      <c r="P140" s="229"/>
      <c r="Q140" s="229"/>
      <c r="R140" s="229"/>
      <c r="S140" s="230"/>
      <c r="T140" s="231"/>
      <c r="U140" s="231"/>
      <c r="V140" s="231"/>
      <c r="W140" s="232"/>
      <c r="X140" s="82"/>
    </row>
    <row r="141" spans="2:24" ht="14.25" customHeight="1" x14ac:dyDescent="0.25">
      <c r="B141" s="82"/>
      <c r="C141" s="242"/>
      <c r="D141" s="83"/>
      <c r="E141" s="83"/>
      <c r="F141" s="83"/>
      <c r="G141" s="83"/>
      <c r="H141" s="227"/>
      <c r="I141" s="225"/>
      <c r="J141" s="225"/>
      <c r="K141" s="226"/>
      <c r="L141" s="227"/>
      <c r="M141" s="227"/>
      <c r="N141" s="228"/>
      <c r="O141" s="228"/>
      <c r="P141" s="229"/>
      <c r="Q141" s="229"/>
      <c r="R141" s="229"/>
      <c r="S141" s="230"/>
      <c r="T141" s="231"/>
      <c r="U141" s="231"/>
      <c r="V141" s="231"/>
      <c r="W141" s="232"/>
      <c r="X141" s="82"/>
    </row>
    <row r="142" spans="2:24" ht="14.25" customHeight="1" x14ac:dyDescent="0.25">
      <c r="B142" s="82"/>
      <c r="C142" s="242"/>
      <c r="D142" s="83"/>
      <c r="E142" s="83"/>
      <c r="F142" s="83"/>
      <c r="G142" s="83"/>
      <c r="H142" s="227"/>
      <c r="I142" s="225"/>
      <c r="J142" s="225"/>
      <c r="K142" s="226"/>
      <c r="L142" s="227"/>
      <c r="M142" s="227"/>
      <c r="N142" s="228"/>
      <c r="O142" s="228"/>
      <c r="P142" s="229"/>
      <c r="Q142" s="229"/>
      <c r="R142" s="229"/>
      <c r="S142" s="230"/>
      <c r="T142" s="231"/>
      <c r="U142" s="231"/>
      <c r="V142" s="231"/>
      <c r="W142" s="232"/>
      <c r="X142" s="82"/>
    </row>
    <row r="143" spans="2:24" ht="14.25" customHeight="1" x14ac:dyDescent="0.25">
      <c r="B143" s="82"/>
      <c r="C143" s="242"/>
      <c r="D143" s="83"/>
      <c r="E143" s="83"/>
      <c r="F143" s="83"/>
      <c r="G143" s="83"/>
      <c r="H143" s="227"/>
      <c r="I143" s="225"/>
      <c r="J143" s="225"/>
      <c r="K143" s="226"/>
      <c r="L143" s="227"/>
      <c r="M143" s="227"/>
      <c r="N143" s="228"/>
      <c r="O143" s="228"/>
      <c r="P143" s="229"/>
      <c r="Q143" s="229"/>
      <c r="R143" s="229"/>
      <c r="S143" s="230"/>
      <c r="T143" s="231"/>
      <c r="U143" s="231"/>
      <c r="V143" s="231"/>
      <c r="W143" s="232"/>
      <c r="X143" s="82"/>
    </row>
    <row r="144" spans="2:24" ht="14.25" customHeight="1" x14ac:dyDescent="0.25">
      <c r="B144" s="82"/>
      <c r="C144" s="242"/>
      <c r="D144" s="83"/>
      <c r="E144" s="83"/>
      <c r="F144" s="83"/>
      <c r="G144" s="83"/>
      <c r="H144" s="227"/>
      <c r="I144" s="225"/>
      <c r="J144" s="225"/>
      <c r="K144" s="226"/>
      <c r="L144" s="227"/>
      <c r="M144" s="227"/>
      <c r="N144" s="228"/>
      <c r="O144" s="228"/>
      <c r="P144" s="229"/>
      <c r="Q144" s="229"/>
      <c r="R144" s="229"/>
      <c r="S144" s="230"/>
      <c r="T144" s="231"/>
      <c r="U144" s="231"/>
      <c r="V144" s="231"/>
      <c r="W144" s="232"/>
      <c r="X144" s="82"/>
    </row>
    <row r="145" spans="2:24" ht="14.25" customHeight="1" x14ac:dyDescent="0.25">
      <c r="B145" s="82"/>
      <c r="C145" s="242"/>
      <c r="D145" s="83"/>
      <c r="E145" s="83"/>
      <c r="F145" s="83"/>
      <c r="G145" s="83"/>
      <c r="H145" s="227"/>
      <c r="I145" s="225"/>
      <c r="J145" s="225"/>
      <c r="K145" s="226"/>
      <c r="L145" s="227"/>
      <c r="M145" s="227"/>
      <c r="N145" s="228"/>
      <c r="O145" s="228"/>
      <c r="P145" s="229"/>
      <c r="Q145" s="229"/>
      <c r="R145" s="229"/>
      <c r="S145" s="230"/>
      <c r="T145" s="231"/>
      <c r="U145" s="231"/>
      <c r="V145" s="231"/>
      <c r="W145" s="232"/>
      <c r="X145" s="82"/>
    </row>
    <row r="146" spans="2:24" ht="14.25" customHeight="1" x14ac:dyDescent="0.25">
      <c r="B146" s="82"/>
      <c r="C146" s="242"/>
      <c r="D146" s="83"/>
      <c r="E146" s="83"/>
      <c r="F146" s="83"/>
      <c r="G146" s="83"/>
      <c r="H146" s="227"/>
      <c r="I146" s="225"/>
      <c r="J146" s="225"/>
      <c r="K146" s="226"/>
      <c r="L146" s="227"/>
      <c r="M146" s="227"/>
      <c r="N146" s="228"/>
      <c r="O146" s="228"/>
      <c r="P146" s="229"/>
      <c r="Q146" s="229"/>
      <c r="R146" s="229"/>
      <c r="S146" s="230"/>
      <c r="T146" s="231"/>
      <c r="U146" s="231"/>
      <c r="V146" s="231"/>
      <c r="W146" s="232"/>
      <c r="X146" s="82"/>
    </row>
    <row r="147" spans="2:24" ht="14.25" customHeight="1" x14ac:dyDescent="0.25">
      <c r="B147" s="82"/>
      <c r="C147" s="242"/>
      <c r="D147" s="83"/>
      <c r="E147" s="83"/>
      <c r="F147" s="83"/>
      <c r="G147" s="83"/>
      <c r="H147" s="227"/>
      <c r="I147" s="225"/>
      <c r="J147" s="225"/>
      <c r="K147" s="226"/>
      <c r="L147" s="227"/>
      <c r="M147" s="227"/>
      <c r="N147" s="228"/>
      <c r="O147" s="228"/>
      <c r="P147" s="229"/>
      <c r="Q147" s="229"/>
      <c r="R147" s="229"/>
      <c r="S147" s="230"/>
      <c r="T147" s="231"/>
      <c r="U147" s="231"/>
      <c r="V147" s="231"/>
      <c r="W147" s="232"/>
      <c r="X147" s="82"/>
    </row>
    <row r="148" spans="2:24" ht="14.25" customHeight="1" x14ac:dyDescent="0.25">
      <c r="B148" s="82"/>
      <c r="C148" s="242"/>
      <c r="D148" s="83"/>
      <c r="E148" s="83"/>
      <c r="F148" s="83"/>
      <c r="G148" s="83"/>
      <c r="H148" s="227"/>
      <c r="I148" s="225"/>
      <c r="J148" s="225"/>
      <c r="K148" s="226"/>
      <c r="L148" s="227"/>
      <c r="M148" s="227"/>
      <c r="N148" s="228"/>
      <c r="O148" s="228"/>
      <c r="P148" s="229"/>
      <c r="Q148" s="229"/>
      <c r="R148" s="229"/>
      <c r="S148" s="230"/>
      <c r="T148" s="231"/>
      <c r="U148" s="231"/>
      <c r="V148" s="231"/>
      <c r="W148" s="232"/>
      <c r="X148" s="82"/>
    </row>
    <row r="149" spans="2:24" ht="14.25" customHeight="1" x14ac:dyDescent="0.25">
      <c r="B149" s="82"/>
      <c r="C149" s="242"/>
      <c r="D149" s="83"/>
      <c r="E149" s="83"/>
      <c r="F149" s="83"/>
      <c r="G149" s="83"/>
      <c r="H149" s="227"/>
      <c r="I149" s="225"/>
      <c r="J149" s="225"/>
      <c r="K149" s="226"/>
      <c r="L149" s="227"/>
      <c r="M149" s="227"/>
      <c r="N149" s="228"/>
      <c r="O149" s="228"/>
      <c r="P149" s="229"/>
      <c r="Q149" s="229"/>
      <c r="R149" s="229"/>
      <c r="S149" s="230"/>
      <c r="T149" s="231"/>
      <c r="U149" s="231"/>
      <c r="V149" s="231"/>
      <c r="W149" s="232"/>
      <c r="X149" s="82"/>
    </row>
    <row r="150" spans="2:24" ht="14.25" customHeight="1" x14ac:dyDescent="0.25">
      <c r="B150" s="82"/>
      <c r="C150" s="242"/>
      <c r="D150" s="83"/>
      <c r="E150" s="83"/>
      <c r="F150" s="83"/>
      <c r="G150" s="83"/>
      <c r="H150" s="227"/>
      <c r="I150" s="225"/>
      <c r="J150" s="225"/>
      <c r="K150" s="226"/>
      <c r="L150" s="227"/>
      <c r="M150" s="227"/>
      <c r="N150" s="228"/>
      <c r="O150" s="228"/>
      <c r="P150" s="229"/>
      <c r="Q150" s="229"/>
      <c r="R150" s="229"/>
      <c r="S150" s="230"/>
      <c r="T150" s="231"/>
      <c r="U150" s="231"/>
      <c r="V150" s="231"/>
      <c r="W150" s="232"/>
      <c r="X150" s="82"/>
    </row>
    <row r="151" spans="2:24" ht="14.25" customHeight="1" x14ac:dyDescent="0.25">
      <c r="B151" s="82"/>
      <c r="C151" s="242"/>
      <c r="D151" s="83"/>
      <c r="E151" s="83"/>
      <c r="F151" s="83"/>
      <c r="G151" s="83"/>
      <c r="H151" s="227"/>
      <c r="I151" s="225"/>
      <c r="J151" s="225"/>
      <c r="K151" s="226"/>
      <c r="L151" s="227"/>
      <c r="M151" s="227"/>
      <c r="N151" s="228"/>
      <c r="O151" s="228"/>
      <c r="P151" s="229"/>
      <c r="Q151" s="229"/>
      <c r="R151" s="229"/>
      <c r="S151" s="230"/>
      <c r="T151" s="231"/>
      <c r="U151" s="231"/>
      <c r="V151" s="231"/>
      <c r="W151" s="232"/>
      <c r="X151" s="82"/>
    </row>
    <row r="152" spans="2:24" ht="14.25" customHeight="1" x14ac:dyDescent="0.25">
      <c r="B152" s="82"/>
      <c r="C152" s="242"/>
      <c r="D152" s="83"/>
      <c r="E152" s="83"/>
      <c r="F152" s="83"/>
      <c r="G152" s="83"/>
      <c r="H152" s="227"/>
      <c r="I152" s="225"/>
      <c r="J152" s="225"/>
      <c r="K152" s="226"/>
      <c r="L152" s="227"/>
      <c r="M152" s="227"/>
      <c r="N152" s="228"/>
      <c r="O152" s="228"/>
      <c r="P152" s="229"/>
      <c r="Q152" s="229"/>
      <c r="R152" s="229"/>
      <c r="S152" s="230"/>
      <c r="T152" s="231"/>
      <c r="U152" s="231"/>
      <c r="V152" s="231"/>
      <c r="W152" s="232"/>
      <c r="X152" s="82"/>
    </row>
    <row r="153" spans="2:24" ht="14.25" customHeight="1" x14ac:dyDescent="0.25">
      <c r="B153" s="82"/>
      <c r="C153" s="242"/>
      <c r="D153" s="83"/>
      <c r="E153" s="83"/>
      <c r="F153" s="83"/>
      <c r="G153" s="83"/>
      <c r="H153" s="227"/>
      <c r="I153" s="225"/>
      <c r="J153" s="225"/>
      <c r="K153" s="226"/>
      <c r="L153" s="227"/>
      <c r="M153" s="227"/>
      <c r="N153" s="228"/>
      <c r="O153" s="228"/>
      <c r="P153" s="229"/>
      <c r="Q153" s="229"/>
      <c r="R153" s="229"/>
      <c r="S153" s="230"/>
      <c r="T153" s="231"/>
      <c r="U153" s="231"/>
      <c r="V153" s="231"/>
      <c r="W153" s="232"/>
      <c r="X153" s="82"/>
    </row>
    <row r="154" spans="2:24" ht="14.25" customHeight="1" x14ac:dyDescent="0.25">
      <c r="B154" s="82"/>
      <c r="C154" s="242"/>
      <c r="D154" s="83"/>
      <c r="E154" s="83"/>
      <c r="F154" s="83"/>
      <c r="G154" s="83"/>
      <c r="H154" s="227"/>
      <c r="I154" s="225"/>
      <c r="J154" s="225"/>
      <c r="K154" s="226"/>
      <c r="L154" s="227"/>
      <c r="M154" s="227"/>
      <c r="N154" s="228"/>
      <c r="O154" s="228"/>
      <c r="P154" s="229"/>
      <c r="Q154" s="229"/>
      <c r="R154" s="229"/>
      <c r="S154" s="230"/>
      <c r="T154" s="231"/>
      <c r="U154" s="231"/>
      <c r="V154" s="231"/>
      <c r="W154" s="232"/>
      <c r="X154" s="82"/>
    </row>
    <row r="155" spans="2:24" ht="14.25" customHeight="1" x14ac:dyDescent="0.25">
      <c r="B155" s="82"/>
      <c r="C155" s="242"/>
      <c r="D155" s="83"/>
      <c r="E155" s="83"/>
      <c r="F155" s="83"/>
      <c r="G155" s="83"/>
      <c r="H155" s="227"/>
      <c r="I155" s="225"/>
      <c r="J155" s="225"/>
      <c r="K155" s="226"/>
      <c r="L155" s="227"/>
      <c r="M155" s="227"/>
      <c r="N155" s="228"/>
      <c r="O155" s="228"/>
      <c r="P155" s="229"/>
      <c r="Q155" s="229"/>
      <c r="R155" s="229"/>
      <c r="S155" s="230"/>
      <c r="T155" s="231"/>
      <c r="U155" s="231"/>
      <c r="V155" s="231"/>
      <c r="W155" s="232"/>
      <c r="X155" s="82"/>
    </row>
    <row r="156" spans="2:24" ht="14.25" customHeight="1" x14ac:dyDescent="0.25">
      <c r="B156" s="82"/>
      <c r="C156" s="242"/>
      <c r="D156" s="83"/>
      <c r="E156" s="83"/>
      <c r="F156" s="83"/>
      <c r="G156" s="83"/>
      <c r="H156" s="227"/>
      <c r="I156" s="225"/>
      <c r="J156" s="225"/>
      <c r="K156" s="226"/>
      <c r="L156" s="227"/>
      <c r="M156" s="227"/>
      <c r="N156" s="228"/>
      <c r="O156" s="228"/>
      <c r="P156" s="229"/>
      <c r="Q156" s="229"/>
      <c r="R156" s="229"/>
      <c r="S156" s="230"/>
      <c r="T156" s="231"/>
      <c r="U156" s="231"/>
      <c r="V156" s="231"/>
      <c r="W156" s="232"/>
      <c r="X156" s="82"/>
    </row>
    <row r="157" spans="2:24" ht="14.25" customHeight="1" x14ac:dyDescent="0.25">
      <c r="B157" s="82"/>
      <c r="C157" s="242"/>
      <c r="D157" s="83"/>
      <c r="E157" s="83"/>
      <c r="F157" s="83"/>
      <c r="G157" s="83"/>
      <c r="H157" s="227"/>
      <c r="I157" s="225"/>
      <c r="J157" s="225"/>
      <c r="K157" s="226"/>
      <c r="L157" s="227"/>
      <c r="M157" s="227"/>
      <c r="N157" s="228"/>
      <c r="O157" s="228"/>
      <c r="P157" s="229"/>
      <c r="Q157" s="229"/>
      <c r="R157" s="229"/>
      <c r="S157" s="230"/>
      <c r="T157" s="231"/>
      <c r="U157" s="231"/>
      <c r="V157" s="231"/>
      <c r="W157" s="232"/>
      <c r="X157" s="82"/>
    </row>
    <row r="158" spans="2:24" ht="14.25" customHeight="1" x14ac:dyDescent="0.25">
      <c r="B158" s="82"/>
      <c r="C158" s="242"/>
      <c r="D158" s="83"/>
      <c r="E158" s="83"/>
      <c r="F158" s="83"/>
      <c r="G158" s="83"/>
      <c r="H158" s="227"/>
      <c r="I158" s="225"/>
      <c r="J158" s="225"/>
      <c r="K158" s="226"/>
      <c r="L158" s="227"/>
      <c r="M158" s="227"/>
      <c r="N158" s="228"/>
      <c r="O158" s="228"/>
      <c r="P158" s="229"/>
      <c r="Q158" s="229"/>
      <c r="R158" s="229"/>
      <c r="S158" s="230"/>
      <c r="T158" s="231"/>
      <c r="U158" s="231"/>
      <c r="V158" s="231"/>
      <c r="W158" s="232"/>
      <c r="X158" s="82"/>
    </row>
    <row r="159" spans="2:24" ht="14.25" customHeight="1" x14ac:dyDescent="0.25">
      <c r="B159" s="82"/>
      <c r="C159" s="242"/>
      <c r="D159" s="83"/>
      <c r="E159" s="83"/>
      <c r="F159" s="83"/>
      <c r="G159" s="83"/>
      <c r="H159" s="227"/>
      <c r="I159" s="225"/>
      <c r="J159" s="225"/>
      <c r="K159" s="226"/>
      <c r="L159" s="227"/>
      <c r="M159" s="227"/>
      <c r="N159" s="228"/>
      <c r="O159" s="228"/>
      <c r="P159" s="229"/>
      <c r="Q159" s="229"/>
      <c r="R159" s="229"/>
      <c r="S159" s="230"/>
      <c r="T159" s="231"/>
      <c r="U159" s="231"/>
      <c r="V159" s="231"/>
      <c r="W159" s="232"/>
      <c r="X159" s="82"/>
    </row>
    <row r="160" spans="2:24" ht="14.25" customHeight="1" x14ac:dyDescent="0.25">
      <c r="B160" s="82"/>
      <c r="C160" s="242"/>
      <c r="D160" s="83"/>
      <c r="E160" s="83"/>
      <c r="F160" s="83"/>
      <c r="G160" s="83"/>
      <c r="H160" s="227"/>
      <c r="I160" s="225"/>
      <c r="J160" s="225"/>
      <c r="K160" s="226"/>
      <c r="L160" s="227"/>
      <c r="M160" s="227"/>
      <c r="N160" s="228"/>
      <c r="O160" s="228"/>
      <c r="P160" s="229"/>
      <c r="Q160" s="229"/>
      <c r="R160" s="229"/>
      <c r="S160" s="230"/>
      <c r="T160" s="231"/>
      <c r="U160" s="231"/>
      <c r="V160" s="231"/>
      <c r="W160" s="232"/>
      <c r="X160" s="82"/>
    </row>
    <row r="161" spans="2:24" ht="14.25" customHeight="1" x14ac:dyDescent="0.25">
      <c r="B161" s="82"/>
      <c r="C161" s="242"/>
      <c r="D161" s="83"/>
      <c r="E161" s="83"/>
      <c r="F161" s="83"/>
      <c r="G161" s="83"/>
      <c r="H161" s="227"/>
      <c r="I161" s="225"/>
      <c r="J161" s="225"/>
      <c r="K161" s="226"/>
      <c r="L161" s="227"/>
      <c r="M161" s="227"/>
      <c r="N161" s="228"/>
      <c r="O161" s="228"/>
      <c r="P161" s="229"/>
      <c r="Q161" s="229"/>
      <c r="R161" s="229"/>
      <c r="S161" s="230"/>
      <c r="T161" s="231"/>
      <c r="U161" s="231"/>
      <c r="V161" s="231"/>
      <c r="W161" s="232"/>
      <c r="X161" s="82"/>
    </row>
    <row r="162" spans="2:24" ht="14.25" customHeight="1" x14ac:dyDescent="0.25">
      <c r="B162" s="82"/>
      <c r="C162" s="242"/>
      <c r="D162" s="83"/>
      <c r="E162" s="83"/>
      <c r="F162" s="83"/>
      <c r="G162" s="83"/>
      <c r="H162" s="227"/>
      <c r="I162" s="225"/>
      <c r="J162" s="225"/>
      <c r="K162" s="226"/>
      <c r="L162" s="227"/>
      <c r="M162" s="227"/>
      <c r="N162" s="228"/>
      <c r="O162" s="228"/>
      <c r="P162" s="229"/>
      <c r="Q162" s="229"/>
      <c r="R162" s="229"/>
      <c r="S162" s="230"/>
      <c r="T162" s="231"/>
      <c r="U162" s="231"/>
      <c r="V162" s="231"/>
      <c r="W162" s="232"/>
      <c r="X162" s="82"/>
    </row>
    <row r="163" spans="2:24" ht="14.25" customHeight="1" x14ac:dyDescent="0.25">
      <c r="B163" s="82"/>
      <c r="C163" s="242"/>
      <c r="D163" s="83"/>
      <c r="E163" s="83"/>
      <c r="F163" s="83"/>
      <c r="G163" s="83"/>
      <c r="H163" s="227"/>
      <c r="I163" s="225"/>
      <c r="J163" s="225"/>
      <c r="K163" s="226"/>
      <c r="L163" s="227"/>
      <c r="M163" s="227"/>
      <c r="N163" s="228"/>
      <c r="O163" s="228"/>
      <c r="P163" s="229"/>
      <c r="Q163" s="229"/>
      <c r="R163" s="229"/>
      <c r="S163" s="230"/>
      <c r="T163" s="231"/>
      <c r="U163" s="231"/>
      <c r="V163" s="231"/>
      <c r="W163" s="232"/>
      <c r="X163" s="82"/>
    </row>
    <row r="164" spans="2:24" ht="14.25" customHeight="1" x14ac:dyDescent="0.25">
      <c r="B164" s="82"/>
      <c r="C164" s="242"/>
      <c r="D164" s="83"/>
      <c r="E164" s="83"/>
      <c r="F164" s="83"/>
      <c r="G164" s="83"/>
      <c r="H164" s="227"/>
      <c r="I164" s="225"/>
      <c r="J164" s="225"/>
      <c r="K164" s="226"/>
      <c r="L164" s="227"/>
      <c r="M164" s="227"/>
      <c r="N164" s="228"/>
      <c r="O164" s="228"/>
      <c r="P164" s="229"/>
      <c r="Q164" s="229"/>
      <c r="R164" s="229"/>
      <c r="S164" s="230"/>
      <c r="T164" s="231"/>
      <c r="U164" s="231"/>
      <c r="V164" s="231"/>
      <c r="W164" s="232"/>
      <c r="X164" s="82"/>
    </row>
    <row r="165" spans="2:24" ht="14.25" customHeight="1" x14ac:dyDescent="0.25">
      <c r="B165" s="82"/>
      <c r="C165" s="242"/>
      <c r="D165" s="83"/>
      <c r="E165" s="83"/>
      <c r="F165" s="83"/>
      <c r="G165" s="83"/>
      <c r="H165" s="227"/>
      <c r="I165" s="225"/>
      <c r="J165" s="225"/>
      <c r="K165" s="226"/>
      <c r="L165" s="227"/>
      <c r="M165" s="227"/>
      <c r="N165" s="228"/>
      <c r="O165" s="228"/>
      <c r="P165" s="229"/>
      <c r="Q165" s="229"/>
      <c r="R165" s="229"/>
      <c r="S165" s="230"/>
      <c r="T165" s="231"/>
      <c r="U165" s="231"/>
      <c r="V165" s="231"/>
      <c r="W165" s="232"/>
      <c r="X165" s="82"/>
    </row>
    <row r="166" spans="2:24" ht="14.25" customHeight="1" x14ac:dyDescent="0.25">
      <c r="B166" s="82"/>
      <c r="C166" s="242"/>
      <c r="D166" s="83"/>
      <c r="E166" s="83"/>
      <c r="F166" s="83"/>
      <c r="G166" s="83"/>
      <c r="H166" s="227"/>
      <c r="I166" s="225"/>
      <c r="J166" s="225"/>
      <c r="K166" s="226"/>
      <c r="L166" s="227"/>
      <c r="M166" s="227"/>
      <c r="N166" s="228"/>
      <c r="O166" s="228"/>
      <c r="P166" s="229"/>
      <c r="Q166" s="229"/>
      <c r="R166" s="229"/>
      <c r="S166" s="230"/>
      <c r="T166" s="231"/>
      <c r="U166" s="231"/>
      <c r="V166" s="231"/>
      <c r="W166" s="232"/>
      <c r="X166" s="82"/>
    </row>
    <row r="167" spans="2:24" ht="14.25" customHeight="1" x14ac:dyDescent="0.25">
      <c r="B167" s="82"/>
      <c r="C167" s="242"/>
      <c r="D167" s="83"/>
      <c r="E167" s="83"/>
      <c r="F167" s="83"/>
      <c r="G167" s="83"/>
      <c r="H167" s="227"/>
      <c r="I167" s="225"/>
      <c r="J167" s="225"/>
      <c r="K167" s="226"/>
      <c r="L167" s="227"/>
      <c r="M167" s="227"/>
      <c r="N167" s="228"/>
      <c r="O167" s="228"/>
      <c r="P167" s="229"/>
      <c r="Q167" s="229"/>
      <c r="R167" s="229"/>
      <c r="S167" s="230"/>
      <c r="T167" s="231"/>
      <c r="U167" s="231"/>
      <c r="V167" s="231"/>
      <c r="W167" s="232"/>
      <c r="X167" s="82"/>
    </row>
    <row r="168" spans="2:24" ht="14.25" customHeight="1" x14ac:dyDescent="0.25">
      <c r="B168" s="82"/>
      <c r="C168" s="242"/>
      <c r="D168" s="83"/>
      <c r="E168" s="83"/>
      <c r="F168" s="83"/>
      <c r="G168" s="83"/>
      <c r="H168" s="227"/>
      <c r="I168" s="225"/>
      <c r="J168" s="225"/>
      <c r="K168" s="226"/>
      <c r="L168" s="227"/>
      <c r="M168" s="227"/>
      <c r="N168" s="228"/>
      <c r="O168" s="228"/>
      <c r="P168" s="229"/>
      <c r="Q168" s="229"/>
      <c r="R168" s="229"/>
      <c r="S168" s="230"/>
      <c r="T168" s="231"/>
      <c r="U168" s="231"/>
      <c r="V168" s="231"/>
      <c r="W168" s="232"/>
      <c r="X168" s="82"/>
    </row>
    <row r="169" spans="2:24" ht="14.25" customHeight="1" x14ac:dyDescent="0.25">
      <c r="B169" s="82"/>
      <c r="C169" s="242"/>
      <c r="D169" s="83"/>
      <c r="E169" s="83"/>
      <c r="F169" s="83"/>
      <c r="G169" s="83"/>
      <c r="H169" s="227"/>
      <c r="I169" s="225"/>
      <c r="J169" s="225"/>
      <c r="K169" s="226"/>
      <c r="L169" s="227"/>
      <c r="M169" s="227"/>
      <c r="N169" s="228"/>
      <c r="O169" s="228"/>
      <c r="P169" s="229"/>
      <c r="Q169" s="229"/>
      <c r="R169" s="229"/>
      <c r="S169" s="230"/>
      <c r="T169" s="231"/>
      <c r="U169" s="231"/>
      <c r="V169" s="231"/>
      <c r="W169" s="232"/>
      <c r="X169" s="82"/>
    </row>
    <row r="170" spans="2:24" ht="14.25" customHeight="1" x14ac:dyDescent="0.25">
      <c r="B170" s="82"/>
      <c r="C170" s="242"/>
      <c r="D170" s="83"/>
      <c r="E170" s="83"/>
      <c r="F170" s="83"/>
      <c r="G170" s="83"/>
      <c r="H170" s="227"/>
      <c r="I170" s="225"/>
      <c r="J170" s="225"/>
      <c r="K170" s="226"/>
      <c r="L170" s="227"/>
      <c r="M170" s="227"/>
      <c r="N170" s="228"/>
      <c r="O170" s="228"/>
      <c r="P170" s="229"/>
      <c r="Q170" s="229"/>
      <c r="R170" s="229"/>
      <c r="S170" s="230"/>
      <c r="T170" s="231"/>
      <c r="U170" s="231"/>
      <c r="V170" s="231"/>
      <c r="W170" s="232"/>
      <c r="X170" s="82"/>
    </row>
    <row r="171" spans="2:24" ht="14.25" customHeight="1" x14ac:dyDescent="0.25">
      <c r="B171" s="82"/>
      <c r="C171" s="242"/>
      <c r="D171" s="83"/>
      <c r="E171" s="83"/>
      <c r="F171" s="83"/>
      <c r="G171" s="83"/>
      <c r="H171" s="227"/>
      <c r="I171" s="225"/>
      <c r="J171" s="225"/>
      <c r="K171" s="226"/>
      <c r="L171" s="227"/>
      <c r="M171" s="227"/>
      <c r="N171" s="228"/>
      <c r="O171" s="228"/>
      <c r="P171" s="229"/>
      <c r="Q171" s="229"/>
      <c r="R171" s="229"/>
      <c r="S171" s="230"/>
      <c r="T171" s="231"/>
      <c r="U171" s="231"/>
      <c r="V171" s="231"/>
      <c r="W171" s="232"/>
      <c r="X171" s="82"/>
    </row>
    <row r="172" spans="2:24" ht="14.25" customHeight="1" x14ac:dyDescent="0.25">
      <c r="B172" s="82"/>
      <c r="C172" s="242"/>
      <c r="D172" s="83"/>
      <c r="E172" s="83"/>
      <c r="F172" s="83"/>
      <c r="G172" s="83"/>
      <c r="H172" s="227"/>
      <c r="I172" s="225"/>
      <c r="J172" s="225"/>
      <c r="K172" s="226"/>
      <c r="L172" s="227"/>
      <c r="M172" s="227"/>
      <c r="N172" s="228"/>
      <c r="O172" s="228"/>
      <c r="P172" s="229"/>
      <c r="Q172" s="229"/>
      <c r="R172" s="229"/>
      <c r="S172" s="230"/>
      <c r="T172" s="231"/>
      <c r="U172" s="231"/>
      <c r="V172" s="231"/>
      <c r="W172" s="232"/>
      <c r="X172" s="82"/>
    </row>
    <row r="173" spans="2:24" ht="14.25" customHeight="1" x14ac:dyDescent="0.25">
      <c r="B173" s="82"/>
      <c r="C173" s="242"/>
      <c r="D173" s="83"/>
      <c r="E173" s="83"/>
      <c r="F173" s="83"/>
      <c r="G173" s="83"/>
      <c r="H173" s="227"/>
      <c r="I173" s="225"/>
      <c r="J173" s="225"/>
      <c r="K173" s="226"/>
      <c r="L173" s="227"/>
      <c r="M173" s="227"/>
      <c r="N173" s="228"/>
      <c r="O173" s="228"/>
      <c r="P173" s="229"/>
      <c r="Q173" s="229"/>
      <c r="R173" s="229"/>
      <c r="S173" s="230"/>
      <c r="T173" s="231"/>
      <c r="U173" s="231"/>
      <c r="V173" s="231"/>
      <c r="W173" s="232"/>
      <c r="X173" s="82"/>
    </row>
    <row r="174" spans="2:24" ht="14.25" customHeight="1" x14ac:dyDescent="0.25">
      <c r="B174" s="82"/>
      <c r="C174" s="242"/>
      <c r="D174" s="83"/>
      <c r="E174" s="83"/>
      <c r="F174" s="83"/>
      <c r="G174" s="83"/>
      <c r="H174" s="227"/>
      <c r="I174" s="225"/>
      <c r="J174" s="225"/>
      <c r="K174" s="226"/>
      <c r="L174" s="227"/>
      <c r="M174" s="227"/>
      <c r="N174" s="228"/>
      <c r="O174" s="228"/>
      <c r="P174" s="229"/>
      <c r="Q174" s="229"/>
      <c r="R174" s="229"/>
      <c r="S174" s="230"/>
      <c r="T174" s="231"/>
      <c r="U174" s="231"/>
      <c r="V174" s="231"/>
      <c r="W174" s="232"/>
      <c r="X174" s="82"/>
    </row>
    <row r="175" spans="2:24" ht="14.25" customHeight="1" x14ac:dyDescent="0.25">
      <c r="B175" s="82"/>
      <c r="C175" s="242"/>
      <c r="D175" s="83"/>
      <c r="E175" s="83"/>
      <c r="F175" s="83"/>
      <c r="G175" s="83"/>
      <c r="H175" s="227"/>
      <c r="I175" s="225"/>
      <c r="J175" s="225"/>
      <c r="K175" s="226"/>
      <c r="L175" s="227"/>
      <c r="M175" s="227"/>
      <c r="N175" s="228"/>
      <c r="O175" s="228"/>
      <c r="P175" s="229"/>
      <c r="Q175" s="229"/>
      <c r="R175" s="229"/>
      <c r="S175" s="230"/>
      <c r="T175" s="231"/>
      <c r="U175" s="231"/>
      <c r="V175" s="231"/>
      <c r="W175" s="232"/>
      <c r="X175" s="82"/>
    </row>
    <row r="176" spans="2:24" ht="14.25" customHeight="1" x14ac:dyDescent="0.25">
      <c r="B176" s="82"/>
      <c r="C176" s="242"/>
      <c r="D176" s="83"/>
      <c r="E176" s="83"/>
      <c r="F176" s="83"/>
      <c r="G176" s="83"/>
      <c r="H176" s="227"/>
      <c r="I176" s="225"/>
      <c r="J176" s="225"/>
      <c r="K176" s="226"/>
      <c r="L176" s="227"/>
      <c r="M176" s="227"/>
      <c r="N176" s="228"/>
      <c r="O176" s="228"/>
      <c r="P176" s="229"/>
      <c r="Q176" s="229"/>
      <c r="R176" s="229"/>
      <c r="S176" s="230"/>
      <c r="T176" s="231"/>
      <c r="U176" s="231"/>
      <c r="V176" s="231"/>
      <c r="W176" s="232"/>
      <c r="X176" s="82"/>
    </row>
    <row r="177" spans="2:24" ht="14.25" customHeight="1" x14ac:dyDescent="0.25">
      <c r="B177" s="82"/>
      <c r="C177" s="242"/>
      <c r="D177" s="83"/>
      <c r="E177" s="83"/>
      <c r="F177" s="83"/>
      <c r="G177" s="83"/>
      <c r="H177" s="227"/>
      <c r="I177" s="225"/>
      <c r="J177" s="225"/>
      <c r="K177" s="226"/>
      <c r="L177" s="227"/>
      <c r="M177" s="227"/>
      <c r="N177" s="228"/>
      <c r="O177" s="228"/>
      <c r="P177" s="229"/>
      <c r="Q177" s="229"/>
      <c r="R177" s="229"/>
      <c r="S177" s="230"/>
      <c r="T177" s="231"/>
      <c r="U177" s="231"/>
      <c r="V177" s="231"/>
      <c r="W177" s="232"/>
      <c r="X177" s="82"/>
    </row>
    <row r="178" spans="2:24" ht="14.25" customHeight="1" x14ac:dyDescent="0.25">
      <c r="B178" s="82"/>
      <c r="C178" s="242"/>
      <c r="D178" s="83"/>
      <c r="E178" s="83"/>
      <c r="F178" s="83"/>
      <c r="G178" s="83"/>
      <c r="H178" s="227"/>
      <c r="I178" s="225"/>
      <c r="J178" s="225"/>
      <c r="K178" s="226"/>
      <c r="L178" s="227"/>
      <c r="M178" s="227"/>
      <c r="N178" s="228"/>
      <c r="O178" s="228"/>
      <c r="P178" s="229"/>
      <c r="Q178" s="229"/>
      <c r="R178" s="229"/>
      <c r="S178" s="230"/>
      <c r="T178" s="231"/>
      <c r="U178" s="231"/>
      <c r="V178" s="231"/>
      <c r="W178" s="232"/>
      <c r="X178" s="82"/>
    </row>
    <row r="179" spans="2:24" ht="14.25" customHeight="1" x14ac:dyDescent="0.25">
      <c r="B179" s="82"/>
      <c r="C179" s="242"/>
      <c r="D179" s="83"/>
      <c r="E179" s="83"/>
      <c r="F179" s="83"/>
      <c r="G179" s="83"/>
      <c r="H179" s="227"/>
      <c r="I179" s="225"/>
      <c r="J179" s="225"/>
      <c r="K179" s="226"/>
      <c r="L179" s="227"/>
      <c r="M179" s="227"/>
      <c r="N179" s="228"/>
      <c r="O179" s="228"/>
      <c r="P179" s="229"/>
      <c r="Q179" s="229"/>
      <c r="R179" s="229"/>
      <c r="S179" s="230"/>
      <c r="T179" s="231"/>
      <c r="U179" s="231"/>
      <c r="V179" s="231"/>
      <c r="W179" s="232"/>
      <c r="X179" s="82"/>
    </row>
    <row r="180" spans="2:24" ht="14.25" customHeight="1" x14ac:dyDescent="0.25">
      <c r="B180" s="82"/>
      <c r="C180" s="242"/>
      <c r="D180" s="83"/>
      <c r="E180" s="83"/>
      <c r="F180" s="83"/>
      <c r="G180" s="83"/>
      <c r="H180" s="227"/>
      <c r="I180" s="225"/>
      <c r="J180" s="225"/>
      <c r="K180" s="226"/>
      <c r="L180" s="227"/>
      <c r="M180" s="227"/>
      <c r="N180" s="228"/>
      <c r="O180" s="228"/>
      <c r="P180" s="229"/>
      <c r="Q180" s="229"/>
      <c r="R180" s="229"/>
      <c r="S180" s="230"/>
      <c r="T180" s="231"/>
      <c r="U180" s="231"/>
      <c r="V180" s="231"/>
      <c r="W180" s="232"/>
      <c r="X180" s="82"/>
    </row>
    <row r="181" spans="2:24" ht="14.25" customHeight="1" x14ac:dyDescent="0.25">
      <c r="B181" s="82"/>
      <c r="C181" s="242"/>
      <c r="D181" s="83"/>
      <c r="E181" s="83"/>
      <c r="F181" s="83"/>
      <c r="G181" s="83"/>
      <c r="H181" s="227"/>
      <c r="I181" s="225"/>
      <c r="J181" s="225"/>
      <c r="K181" s="226"/>
      <c r="L181" s="227"/>
      <c r="M181" s="227"/>
      <c r="N181" s="228"/>
      <c r="O181" s="228"/>
      <c r="P181" s="229"/>
      <c r="Q181" s="229"/>
      <c r="R181" s="229"/>
      <c r="S181" s="230"/>
      <c r="T181" s="231"/>
      <c r="U181" s="231"/>
      <c r="V181" s="231"/>
      <c r="W181" s="232"/>
      <c r="X181" s="82"/>
    </row>
    <row r="182" spans="2:24" ht="14.25" customHeight="1" x14ac:dyDescent="0.25">
      <c r="B182" s="82"/>
      <c r="C182" s="242"/>
      <c r="D182" s="83"/>
      <c r="E182" s="83"/>
      <c r="F182" s="83"/>
      <c r="G182" s="83"/>
      <c r="H182" s="227"/>
      <c r="I182" s="225"/>
      <c r="J182" s="225"/>
      <c r="K182" s="226"/>
      <c r="L182" s="227"/>
      <c r="M182" s="227"/>
      <c r="N182" s="228"/>
      <c r="O182" s="228"/>
      <c r="P182" s="229"/>
      <c r="Q182" s="229"/>
      <c r="R182" s="229"/>
      <c r="S182" s="230"/>
      <c r="T182" s="231"/>
      <c r="U182" s="231"/>
      <c r="V182" s="231"/>
      <c r="W182" s="232"/>
      <c r="X182" s="82"/>
    </row>
    <row r="183" spans="2:24" ht="14.25" customHeight="1" x14ac:dyDescent="0.25">
      <c r="B183" s="82"/>
      <c r="C183" s="242"/>
      <c r="D183" s="83"/>
      <c r="E183" s="83"/>
      <c r="F183" s="83"/>
      <c r="G183" s="83"/>
      <c r="H183" s="227"/>
      <c r="I183" s="225"/>
      <c r="J183" s="225"/>
      <c r="K183" s="226"/>
      <c r="L183" s="227"/>
      <c r="M183" s="227"/>
      <c r="N183" s="228"/>
      <c r="O183" s="228"/>
      <c r="P183" s="229"/>
      <c r="Q183" s="229"/>
      <c r="R183" s="229"/>
      <c r="S183" s="230"/>
      <c r="T183" s="231"/>
      <c r="U183" s="231"/>
      <c r="V183" s="231"/>
      <c r="W183" s="232"/>
      <c r="X183" s="82"/>
    </row>
    <row r="184" spans="2:24" ht="14.25" customHeight="1" x14ac:dyDescent="0.25">
      <c r="B184" s="82"/>
      <c r="C184" s="242"/>
      <c r="D184" s="83"/>
      <c r="E184" s="83"/>
      <c r="F184" s="83"/>
      <c r="G184" s="83"/>
      <c r="H184" s="227"/>
      <c r="I184" s="225"/>
      <c r="J184" s="225"/>
      <c r="K184" s="226"/>
      <c r="L184" s="227"/>
      <c r="M184" s="227"/>
      <c r="N184" s="228"/>
      <c r="O184" s="228"/>
      <c r="P184" s="229"/>
      <c r="Q184" s="229"/>
      <c r="R184" s="229"/>
      <c r="S184" s="230"/>
      <c r="T184" s="231"/>
      <c r="U184" s="231"/>
      <c r="V184" s="231"/>
      <c r="W184" s="232"/>
      <c r="X184" s="82"/>
    </row>
    <row r="185" spans="2:24" ht="14.25" customHeight="1" x14ac:dyDescent="0.25">
      <c r="B185" s="82"/>
      <c r="C185" s="242"/>
      <c r="D185" s="83"/>
      <c r="E185" s="83"/>
      <c r="F185" s="83"/>
      <c r="G185" s="83"/>
      <c r="H185" s="227"/>
      <c r="I185" s="225"/>
      <c r="J185" s="225"/>
      <c r="K185" s="226"/>
      <c r="L185" s="227"/>
      <c r="M185" s="227"/>
      <c r="N185" s="228"/>
      <c r="O185" s="228"/>
      <c r="P185" s="229"/>
      <c r="Q185" s="229"/>
      <c r="R185" s="229"/>
      <c r="S185" s="230"/>
      <c r="T185" s="231"/>
      <c r="U185" s="231"/>
      <c r="V185" s="231"/>
      <c r="W185" s="232"/>
      <c r="X185" s="82"/>
    </row>
    <row r="186" spans="2:24" ht="14.25" customHeight="1" x14ac:dyDescent="0.25">
      <c r="B186" s="82"/>
      <c r="C186" s="242"/>
      <c r="D186" s="83"/>
      <c r="E186" s="83"/>
      <c r="F186" s="83"/>
      <c r="G186" s="83"/>
      <c r="H186" s="227"/>
      <c r="I186" s="225"/>
      <c r="J186" s="225"/>
      <c r="K186" s="226"/>
      <c r="L186" s="227"/>
      <c r="M186" s="227"/>
      <c r="N186" s="228"/>
      <c r="O186" s="228"/>
      <c r="P186" s="229"/>
      <c r="Q186" s="229"/>
      <c r="R186" s="229"/>
      <c r="S186" s="230"/>
      <c r="T186" s="231"/>
      <c r="U186" s="231"/>
      <c r="V186" s="231"/>
      <c r="W186" s="232"/>
      <c r="X186" s="82"/>
    </row>
    <row r="187" spans="2:24" ht="14.25" customHeight="1" x14ac:dyDescent="0.25">
      <c r="B187" s="82"/>
      <c r="C187" s="242"/>
      <c r="D187" s="83"/>
      <c r="E187" s="83"/>
      <c r="F187" s="83"/>
      <c r="G187" s="83"/>
      <c r="H187" s="227"/>
      <c r="I187" s="225"/>
      <c r="J187" s="225"/>
      <c r="K187" s="226"/>
      <c r="L187" s="227"/>
      <c r="M187" s="227"/>
      <c r="N187" s="228"/>
      <c r="O187" s="228"/>
      <c r="P187" s="229"/>
      <c r="Q187" s="229"/>
      <c r="R187" s="229"/>
      <c r="S187" s="230"/>
      <c r="T187" s="231"/>
      <c r="U187" s="231"/>
      <c r="V187" s="231"/>
      <c r="W187" s="232"/>
      <c r="X187" s="82"/>
    </row>
    <row r="188" spans="2:24" ht="14.25" customHeight="1" x14ac:dyDescent="0.25">
      <c r="B188" s="82"/>
      <c r="C188" s="242"/>
      <c r="D188" s="83"/>
      <c r="E188" s="83"/>
      <c r="F188" s="83"/>
      <c r="G188" s="83"/>
      <c r="H188" s="227"/>
      <c r="I188" s="225"/>
      <c r="J188" s="225"/>
      <c r="K188" s="226"/>
      <c r="L188" s="227"/>
      <c r="M188" s="227"/>
      <c r="N188" s="228"/>
      <c r="O188" s="228"/>
      <c r="P188" s="229"/>
      <c r="Q188" s="229"/>
      <c r="R188" s="229"/>
      <c r="S188" s="230"/>
      <c r="T188" s="231"/>
      <c r="U188" s="231"/>
      <c r="V188" s="231"/>
      <c r="W188" s="232"/>
      <c r="X188" s="82"/>
    </row>
    <row r="189" spans="2:24" ht="14.25" customHeight="1" x14ac:dyDescent="0.25">
      <c r="B189" s="82"/>
      <c r="C189" s="242"/>
      <c r="D189" s="83"/>
      <c r="E189" s="83"/>
      <c r="F189" s="83"/>
      <c r="G189" s="83"/>
      <c r="H189" s="227"/>
      <c r="I189" s="225"/>
      <c r="J189" s="225"/>
      <c r="K189" s="226"/>
      <c r="L189" s="227"/>
      <c r="M189" s="227"/>
      <c r="N189" s="228"/>
      <c r="O189" s="228"/>
      <c r="P189" s="229"/>
      <c r="Q189" s="229"/>
      <c r="R189" s="229"/>
      <c r="S189" s="230"/>
      <c r="T189" s="231"/>
      <c r="U189" s="231"/>
      <c r="V189" s="231"/>
      <c r="W189" s="232"/>
      <c r="X189" s="82"/>
    </row>
    <row r="190" spans="2:24" ht="14.25" customHeight="1" x14ac:dyDescent="0.25">
      <c r="B190" s="82"/>
      <c r="C190" s="242"/>
      <c r="D190" s="83"/>
      <c r="E190" s="83"/>
      <c r="F190" s="83"/>
      <c r="G190" s="83"/>
      <c r="H190" s="227"/>
      <c r="I190" s="225"/>
      <c r="J190" s="225"/>
      <c r="K190" s="226"/>
      <c r="L190" s="227"/>
      <c r="M190" s="227"/>
      <c r="N190" s="228"/>
      <c r="O190" s="228"/>
      <c r="P190" s="229"/>
      <c r="Q190" s="229"/>
      <c r="R190" s="229"/>
      <c r="S190" s="230"/>
      <c r="T190" s="231"/>
      <c r="U190" s="231"/>
      <c r="V190" s="231"/>
      <c r="W190" s="232"/>
      <c r="X190" s="82"/>
    </row>
    <row r="191" spans="2:24" ht="14.25" customHeight="1" x14ac:dyDescent="0.25">
      <c r="B191" s="82"/>
      <c r="C191" s="242"/>
      <c r="D191" s="83"/>
      <c r="E191" s="83"/>
      <c r="F191" s="83"/>
      <c r="G191" s="83"/>
      <c r="H191" s="227"/>
      <c r="I191" s="225"/>
      <c r="J191" s="225"/>
      <c r="K191" s="226"/>
      <c r="L191" s="227"/>
      <c r="M191" s="227"/>
      <c r="N191" s="228"/>
      <c r="O191" s="228"/>
      <c r="P191" s="229"/>
      <c r="Q191" s="229"/>
      <c r="R191" s="229"/>
      <c r="S191" s="230"/>
      <c r="T191" s="231"/>
      <c r="U191" s="231"/>
      <c r="V191" s="231"/>
      <c r="W191" s="232"/>
      <c r="X191" s="82"/>
    </row>
    <row r="192" spans="2:24" ht="14.25" customHeight="1" x14ac:dyDescent="0.25">
      <c r="B192" s="82"/>
      <c r="C192" s="242"/>
      <c r="D192" s="83"/>
      <c r="E192" s="83"/>
      <c r="F192" s="83"/>
      <c r="G192" s="83"/>
      <c r="H192" s="227"/>
      <c r="I192" s="225"/>
      <c r="J192" s="225"/>
      <c r="K192" s="226"/>
      <c r="L192" s="227"/>
      <c r="M192" s="227"/>
      <c r="N192" s="228"/>
      <c r="O192" s="228"/>
      <c r="P192" s="229"/>
      <c r="Q192" s="229"/>
      <c r="R192" s="229"/>
      <c r="S192" s="230"/>
      <c r="T192" s="231"/>
      <c r="U192" s="231"/>
      <c r="V192" s="231"/>
      <c r="W192" s="232"/>
      <c r="X192" s="82"/>
    </row>
    <row r="193" spans="2:24" ht="14.25" customHeight="1" x14ac:dyDescent="0.25">
      <c r="B193" s="82"/>
      <c r="C193" s="242"/>
      <c r="D193" s="83"/>
      <c r="E193" s="83"/>
      <c r="F193" s="83"/>
      <c r="G193" s="83"/>
      <c r="H193" s="227"/>
      <c r="I193" s="225"/>
      <c r="J193" s="225"/>
      <c r="K193" s="226"/>
      <c r="L193" s="227"/>
      <c r="M193" s="227"/>
      <c r="N193" s="228"/>
      <c r="O193" s="228"/>
      <c r="P193" s="229"/>
      <c r="Q193" s="229"/>
      <c r="R193" s="229"/>
      <c r="S193" s="230"/>
      <c r="T193" s="231"/>
      <c r="U193" s="231"/>
      <c r="V193" s="231"/>
      <c r="W193" s="232"/>
      <c r="X193" s="82"/>
    </row>
    <row r="194" spans="2:24" ht="14.25" customHeight="1" x14ac:dyDescent="0.25">
      <c r="B194" s="82"/>
      <c r="C194" s="242"/>
      <c r="D194" s="83"/>
      <c r="E194" s="83"/>
      <c r="F194" s="83"/>
      <c r="G194" s="83"/>
      <c r="H194" s="227"/>
      <c r="I194" s="225"/>
      <c r="J194" s="225"/>
      <c r="K194" s="226"/>
      <c r="L194" s="227"/>
      <c r="M194" s="227"/>
      <c r="N194" s="228"/>
      <c r="O194" s="228"/>
      <c r="P194" s="229"/>
      <c r="Q194" s="229"/>
      <c r="R194" s="229"/>
      <c r="S194" s="230"/>
      <c r="T194" s="231"/>
      <c r="U194" s="231"/>
      <c r="V194" s="231"/>
      <c r="W194" s="232"/>
      <c r="X194" s="82"/>
    </row>
    <row r="195" spans="2:24" ht="14.25" customHeight="1" x14ac:dyDescent="0.25">
      <c r="B195" s="82"/>
      <c r="C195" s="242"/>
      <c r="D195" s="83"/>
      <c r="E195" s="83"/>
      <c r="F195" s="83"/>
      <c r="G195" s="83"/>
      <c r="H195" s="227"/>
      <c r="I195" s="225"/>
      <c r="J195" s="225"/>
      <c r="K195" s="226"/>
      <c r="L195" s="227"/>
      <c r="M195" s="227"/>
      <c r="N195" s="228"/>
      <c r="O195" s="228"/>
      <c r="P195" s="229"/>
      <c r="Q195" s="229"/>
      <c r="R195" s="229"/>
      <c r="S195" s="230"/>
      <c r="T195" s="231"/>
      <c r="U195" s="231"/>
      <c r="V195" s="231"/>
      <c r="W195" s="232"/>
      <c r="X195" s="82"/>
    </row>
    <row r="196" spans="2:24" ht="14.25" customHeight="1" x14ac:dyDescent="0.25">
      <c r="B196" s="82"/>
      <c r="C196" s="242"/>
      <c r="D196" s="83"/>
      <c r="E196" s="83"/>
      <c r="F196" s="83"/>
      <c r="G196" s="83"/>
      <c r="H196" s="227"/>
      <c r="I196" s="225"/>
      <c r="J196" s="225"/>
      <c r="K196" s="226"/>
      <c r="L196" s="227"/>
      <c r="M196" s="227"/>
      <c r="N196" s="228"/>
      <c r="O196" s="228"/>
      <c r="P196" s="229"/>
      <c r="Q196" s="229"/>
      <c r="R196" s="229"/>
      <c r="S196" s="230"/>
      <c r="T196" s="231"/>
      <c r="U196" s="231"/>
      <c r="V196" s="231"/>
      <c r="W196" s="232"/>
      <c r="X196" s="82"/>
    </row>
    <row r="197" spans="2:24" ht="14.25" customHeight="1" x14ac:dyDescent="0.25">
      <c r="B197" s="82"/>
      <c r="C197" s="242"/>
      <c r="D197" s="83"/>
      <c r="E197" s="83"/>
      <c r="F197" s="83"/>
      <c r="G197" s="83"/>
      <c r="H197" s="227"/>
      <c r="I197" s="225"/>
      <c r="J197" s="225"/>
      <c r="K197" s="226"/>
      <c r="L197" s="227"/>
      <c r="M197" s="227"/>
      <c r="N197" s="228"/>
      <c r="O197" s="228"/>
      <c r="P197" s="229"/>
      <c r="Q197" s="229"/>
      <c r="R197" s="229"/>
      <c r="S197" s="230"/>
      <c r="T197" s="231"/>
      <c r="U197" s="231"/>
      <c r="V197" s="231"/>
      <c r="W197" s="232"/>
      <c r="X197" s="82"/>
    </row>
    <row r="198" spans="2:24" ht="14.25" customHeight="1" x14ac:dyDescent="0.25">
      <c r="B198" s="82"/>
      <c r="C198" s="242"/>
      <c r="D198" s="83"/>
      <c r="E198" s="83"/>
      <c r="F198" s="83"/>
      <c r="G198" s="83"/>
      <c r="H198" s="227"/>
      <c r="I198" s="225"/>
      <c r="J198" s="225"/>
      <c r="K198" s="226"/>
      <c r="L198" s="227"/>
      <c r="M198" s="227"/>
      <c r="N198" s="228"/>
      <c r="O198" s="228"/>
      <c r="P198" s="229"/>
      <c r="Q198" s="229"/>
      <c r="R198" s="229"/>
      <c r="S198" s="230"/>
      <c r="T198" s="231"/>
      <c r="U198" s="231"/>
      <c r="V198" s="231"/>
      <c r="W198" s="232"/>
      <c r="X198" s="82"/>
    </row>
    <row r="199" spans="2:24" ht="14.25" customHeight="1" x14ac:dyDescent="0.25">
      <c r="B199" s="82"/>
      <c r="C199" s="242"/>
      <c r="D199" s="83"/>
      <c r="E199" s="83"/>
      <c r="F199" s="83"/>
      <c r="G199" s="83"/>
      <c r="H199" s="227"/>
      <c r="I199" s="225"/>
      <c r="J199" s="225"/>
      <c r="K199" s="226"/>
      <c r="L199" s="227"/>
      <c r="M199" s="227"/>
      <c r="N199" s="228"/>
      <c r="O199" s="228"/>
      <c r="P199" s="229"/>
      <c r="Q199" s="229"/>
      <c r="R199" s="229"/>
      <c r="S199" s="230"/>
      <c r="T199" s="231"/>
      <c r="U199" s="231"/>
      <c r="V199" s="231"/>
      <c r="W199" s="232"/>
      <c r="X199" s="82"/>
    </row>
    <row r="200" spans="2:24" ht="14.25" customHeight="1" x14ac:dyDescent="0.25">
      <c r="B200" s="82"/>
      <c r="C200" s="242"/>
      <c r="D200" s="83"/>
      <c r="E200" s="83"/>
      <c r="F200" s="83"/>
      <c r="G200" s="83"/>
      <c r="H200" s="227"/>
      <c r="I200" s="225"/>
      <c r="J200" s="225"/>
      <c r="K200" s="226"/>
      <c r="L200" s="227"/>
      <c r="M200" s="227"/>
      <c r="N200" s="228"/>
      <c r="O200" s="228"/>
      <c r="P200" s="229"/>
      <c r="Q200" s="229"/>
      <c r="R200" s="229"/>
      <c r="S200" s="230"/>
      <c r="T200" s="231"/>
      <c r="U200" s="231"/>
      <c r="V200" s="231"/>
      <c r="W200" s="232"/>
      <c r="X200" s="82"/>
    </row>
    <row r="201" spans="2:24" ht="14.25" customHeight="1" x14ac:dyDescent="0.25">
      <c r="B201" s="82"/>
      <c r="C201" s="242"/>
      <c r="D201" s="83"/>
      <c r="E201" s="83"/>
      <c r="F201" s="83"/>
      <c r="G201" s="83"/>
      <c r="H201" s="227"/>
      <c r="I201" s="225"/>
      <c r="J201" s="225"/>
      <c r="K201" s="226"/>
      <c r="L201" s="227"/>
      <c r="M201" s="227"/>
      <c r="N201" s="228"/>
      <c r="O201" s="228"/>
      <c r="P201" s="229"/>
      <c r="Q201" s="229"/>
      <c r="R201" s="229"/>
      <c r="S201" s="230"/>
      <c r="T201" s="231"/>
      <c r="U201" s="231"/>
      <c r="V201" s="231"/>
      <c r="W201" s="232"/>
      <c r="X201" s="82"/>
    </row>
    <row r="202" spans="2:24" ht="14.25" customHeight="1" x14ac:dyDescent="0.25">
      <c r="B202" s="82"/>
      <c r="C202" s="242"/>
      <c r="D202" s="83"/>
      <c r="E202" s="83"/>
      <c r="F202" s="83"/>
      <c r="G202" s="83"/>
      <c r="H202" s="227"/>
      <c r="I202" s="225"/>
      <c r="J202" s="225"/>
      <c r="K202" s="226"/>
      <c r="L202" s="227"/>
      <c r="M202" s="227"/>
      <c r="N202" s="228"/>
      <c r="O202" s="228"/>
      <c r="P202" s="229"/>
      <c r="Q202" s="229"/>
      <c r="R202" s="229"/>
      <c r="S202" s="230"/>
      <c r="T202" s="231"/>
      <c r="U202" s="231"/>
      <c r="V202" s="231"/>
      <c r="W202" s="232"/>
      <c r="X202" s="82"/>
    </row>
    <row r="203" spans="2:24" ht="14.25" customHeight="1" x14ac:dyDescent="0.25">
      <c r="B203" s="82"/>
      <c r="C203" s="242"/>
      <c r="D203" s="83"/>
      <c r="E203" s="83"/>
      <c r="F203" s="83"/>
      <c r="G203" s="83"/>
      <c r="H203" s="227"/>
      <c r="I203" s="225"/>
      <c r="J203" s="225"/>
      <c r="K203" s="226"/>
      <c r="L203" s="227"/>
      <c r="M203" s="227"/>
      <c r="N203" s="228"/>
      <c r="O203" s="228"/>
      <c r="P203" s="229"/>
      <c r="Q203" s="229"/>
      <c r="R203" s="229"/>
      <c r="S203" s="230"/>
      <c r="T203" s="231"/>
      <c r="U203" s="231"/>
      <c r="V203" s="231"/>
      <c r="W203" s="232"/>
      <c r="X203" s="82"/>
    </row>
    <row r="204" spans="2:24" ht="14.25" customHeight="1" x14ac:dyDescent="0.25">
      <c r="B204" s="82"/>
      <c r="C204" s="242"/>
      <c r="D204" s="83"/>
      <c r="E204" s="83"/>
      <c r="F204" s="83"/>
      <c r="G204" s="83"/>
      <c r="H204" s="227"/>
      <c r="I204" s="225"/>
      <c r="J204" s="225"/>
      <c r="K204" s="226"/>
      <c r="L204" s="227"/>
      <c r="M204" s="227"/>
      <c r="N204" s="228"/>
      <c r="O204" s="228"/>
      <c r="P204" s="229"/>
      <c r="Q204" s="229"/>
      <c r="R204" s="229"/>
      <c r="S204" s="230"/>
      <c r="T204" s="231"/>
      <c r="U204" s="231"/>
      <c r="V204" s="231"/>
      <c r="W204" s="232"/>
      <c r="X204" s="82"/>
    </row>
    <row r="205" spans="2:24" ht="14.25" customHeight="1" x14ac:dyDescent="0.25">
      <c r="B205" s="82"/>
      <c r="C205" s="242"/>
      <c r="D205" s="83"/>
      <c r="E205" s="83"/>
      <c r="F205" s="83"/>
      <c r="G205" s="83"/>
      <c r="H205" s="227"/>
      <c r="I205" s="225"/>
      <c r="J205" s="225"/>
      <c r="K205" s="226"/>
      <c r="L205" s="227"/>
      <c r="M205" s="227"/>
      <c r="N205" s="228"/>
      <c r="O205" s="228"/>
      <c r="P205" s="229"/>
      <c r="Q205" s="229"/>
      <c r="R205" s="229"/>
      <c r="S205" s="230"/>
      <c r="T205" s="231"/>
      <c r="U205" s="231"/>
      <c r="V205" s="231"/>
      <c r="W205" s="232"/>
      <c r="X205" s="82"/>
    </row>
    <row r="206" spans="2:24" ht="14.25" customHeight="1" x14ac:dyDescent="0.25">
      <c r="B206" s="82"/>
      <c r="C206" s="242"/>
      <c r="D206" s="83"/>
      <c r="E206" s="83"/>
      <c r="F206" s="83"/>
      <c r="G206" s="83"/>
      <c r="H206" s="227"/>
      <c r="I206" s="225"/>
      <c r="J206" s="225"/>
      <c r="K206" s="226"/>
      <c r="L206" s="227"/>
      <c r="M206" s="227"/>
      <c r="N206" s="228"/>
      <c r="O206" s="228"/>
      <c r="P206" s="229"/>
      <c r="Q206" s="229"/>
      <c r="R206" s="229"/>
      <c r="S206" s="230"/>
      <c r="T206" s="231"/>
      <c r="U206" s="231"/>
      <c r="V206" s="231"/>
      <c r="W206" s="232"/>
      <c r="X206" s="82"/>
    </row>
    <row r="207" spans="2:24" ht="14.25" customHeight="1" x14ac:dyDescent="0.25">
      <c r="B207" s="82"/>
      <c r="C207" s="242"/>
      <c r="D207" s="83"/>
      <c r="E207" s="83"/>
      <c r="F207" s="83"/>
      <c r="G207" s="83"/>
      <c r="H207" s="227"/>
      <c r="I207" s="225"/>
      <c r="J207" s="225"/>
      <c r="K207" s="226"/>
      <c r="L207" s="227"/>
      <c r="M207" s="227"/>
      <c r="N207" s="228"/>
      <c r="O207" s="228"/>
      <c r="P207" s="229"/>
      <c r="Q207" s="229"/>
      <c r="R207" s="229"/>
      <c r="S207" s="230"/>
      <c r="T207" s="231"/>
      <c r="U207" s="231"/>
      <c r="V207" s="231"/>
      <c r="W207" s="232"/>
      <c r="X207" s="82"/>
    </row>
    <row r="208" spans="2:24" ht="14.25" customHeight="1" x14ac:dyDescent="0.25">
      <c r="B208" s="82"/>
      <c r="C208" s="242"/>
      <c r="D208" s="83"/>
      <c r="E208" s="83"/>
      <c r="F208" s="83"/>
      <c r="G208" s="83"/>
      <c r="H208" s="227"/>
      <c r="I208" s="225"/>
      <c r="J208" s="225"/>
      <c r="K208" s="226"/>
      <c r="L208" s="227"/>
      <c r="M208" s="227"/>
      <c r="N208" s="228"/>
      <c r="O208" s="228"/>
      <c r="P208" s="229"/>
      <c r="Q208" s="229"/>
      <c r="R208" s="229"/>
      <c r="S208" s="230"/>
      <c r="T208" s="231"/>
      <c r="U208" s="231"/>
      <c r="V208" s="231"/>
      <c r="W208" s="232"/>
      <c r="X208" s="82"/>
    </row>
    <row r="209" spans="2:24" ht="14.25" customHeight="1" x14ac:dyDescent="0.25">
      <c r="B209" s="82"/>
      <c r="C209" s="242"/>
      <c r="D209" s="83"/>
      <c r="E209" s="83"/>
      <c r="F209" s="83"/>
      <c r="G209" s="83"/>
      <c r="H209" s="227"/>
      <c r="I209" s="225"/>
      <c r="J209" s="225"/>
      <c r="K209" s="226"/>
      <c r="L209" s="227"/>
      <c r="M209" s="227"/>
      <c r="N209" s="228"/>
      <c r="O209" s="228"/>
      <c r="P209" s="229"/>
      <c r="Q209" s="229"/>
      <c r="R209" s="229"/>
      <c r="S209" s="230"/>
      <c r="T209" s="231"/>
      <c r="U209" s="231"/>
      <c r="V209" s="231"/>
      <c r="W209" s="232"/>
      <c r="X209" s="82"/>
    </row>
    <row r="210" spans="2:24" ht="14.25" customHeight="1" x14ac:dyDescent="0.25">
      <c r="B210" s="82"/>
      <c r="C210" s="242"/>
      <c r="D210" s="83"/>
      <c r="E210" s="83"/>
      <c r="F210" s="83"/>
      <c r="G210" s="83"/>
      <c r="H210" s="227"/>
      <c r="I210" s="225"/>
      <c r="J210" s="225"/>
      <c r="K210" s="226"/>
      <c r="L210" s="227"/>
      <c r="M210" s="227"/>
      <c r="N210" s="228"/>
      <c r="O210" s="228"/>
      <c r="P210" s="229"/>
      <c r="Q210" s="229"/>
      <c r="R210" s="229"/>
      <c r="S210" s="230"/>
      <c r="T210" s="231"/>
      <c r="U210" s="231"/>
      <c r="V210" s="231"/>
      <c r="W210" s="232"/>
      <c r="X210" s="82"/>
    </row>
    <row r="211" spans="2:24" ht="14.25" customHeight="1" x14ac:dyDescent="0.25">
      <c r="B211" s="82"/>
      <c r="C211" s="242"/>
      <c r="D211" s="83"/>
      <c r="E211" s="83"/>
      <c r="F211" s="83"/>
      <c r="G211" s="83"/>
      <c r="H211" s="227"/>
      <c r="I211" s="225"/>
      <c r="J211" s="225"/>
      <c r="K211" s="226"/>
      <c r="L211" s="227"/>
      <c r="M211" s="227"/>
      <c r="N211" s="228"/>
      <c r="O211" s="228"/>
      <c r="P211" s="229"/>
      <c r="Q211" s="229"/>
      <c r="R211" s="229"/>
      <c r="S211" s="230"/>
      <c r="T211" s="231"/>
      <c r="U211" s="231"/>
      <c r="V211" s="231"/>
      <c r="W211" s="232"/>
      <c r="X211" s="82"/>
    </row>
    <row r="212" spans="2:24" ht="14.25" customHeight="1" x14ac:dyDescent="0.25">
      <c r="B212" s="82"/>
      <c r="C212" s="242"/>
      <c r="D212" s="83"/>
      <c r="E212" s="83"/>
      <c r="F212" s="83"/>
      <c r="G212" s="83"/>
      <c r="H212" s="227"/>
      <c r="I212" s="225"/>
      <c r="J212" s="225"/>
      <c r="K212" s="226"/>
      <c r="L212" s="227"/>
      <c r="M212" s="227"/>
      <c r="N212" s="228"/>
      <c r="O212" s="228"/>
      <c r="P212" s="229"/>
      <c r="Q212" s="229"/>
      <c r="R212" s="229"/>
      <c r="S212" s="230"/>
      <c r="T212" s="231"/>
      <c r="U212" s="231"/>
      <c r="V212" s="231"/>
      <c r="W212" s="232"/>
      <c r="X212" s="82"/>
    </row>
    <row r="213" spans="2:24" ht="14.25" customHeight="1" x14ac:dyDescent="0.25">
      <c r="B213" s="82"/>
      <c r="C213" s="242"/>
      <c r="D213" s="83"/>
      <c r="E213" s="83"/>
      <c r="F213" s="83"/>
      <c r="G213" s="83"/>
      <c r="H213" s="227"/>
      <c r="I213" s="225"/>
      <c r="J213" s="225"/>
      <c r="K213" s="226"/>
      <c r="L213" s="227"/>
      <c r="M213" s="227"/>
      <c r="N213" s="228"/>
      <c r="O213" s="228"/>
      <c r="P213" s="229"/>
      <c r="Q213" s="229"/>
      <c r="R213" s="229"/>
      <c r="S213" s="230"/>
      <c r="T213" s="231"/>
      <c r="U213" s="231"/>
      <c r="V213" s="231"/>
      <c r="W213" s="232"/>
      <c r="X213" s="82"/>
    </row>
    <row r="214" spans="2:24" ht="14.25" customHeight="1" x14ac:dyDescent="0.25">
      <c r="B214" s="82"/>
      <c r="C214" s="242"/>
      <c r="D214" s="83"/>
      <c r="E214" s="83"/>
      <c r="F214" s="83"/>
      <c r="G214" s="83"/>
      <c r="H214" s="227"/>
      <c r="I214" s="225"/>
      <c r="J214" s="225"/>
      <c r="K214" s="226"/>
      <c r="L214" s="227"/>
      <c r="M214" s="227"/>
      <c r="N214" s="228"/>
      <c r="O214" s="228"/>
      <c r="P214" s="229"/>
      <c r="Q214" s="229"/>
      <c r="R214" s="229"/>
      <c r="S214" s="230"/>
      <c r="T214" s="231"/>
      <c r="U214" s="231"/>
      <c r="V214" s="231"/>
      <c r="W214" s="232"/>
      <c r="X214" s="82"/>
    </row>
    <row r="215" spans="2:24" ht="14.25" customHeight="1" x14ac:dyDescent="0.25">
      <c r="B215" s="82"/>
      <c r="C215" s="242"/>
      <c r="D215" s="83"/>
      <c r="E215" s="83"/>
      <c r="F215" s="83"/>
      <c r="G215" s="83"/>
      <c r="H215" s="227"/>
      <c r="I215" s="225"/>
      <c r="J215" s="225"/>
      <c r="K215" s="226"/>
      <c r="L215" s="227"/>
      <c r="M215" s="227"/>
      <c r="N215" s="228"/>
      <c r="O215" s="228"/>
      <c r="P215" s="229"/>
      <c r="Q215" s="229"/>
      <c r="R215" s="229"/>
      <c r="S215" s="230"/>
      <c r="T215" s="231"/>
      <c r="U215" s="231"/>
      <c r="V215" s="231"/>
      <c r="W215" s="232"/>
      <c r="X215" s="82"/>
    </row>
    <row r="216" spans="2:24" ht="14.25" customHeight="1" x14ac:dyDescent="0.25">
      <c r="B216" s="82"/>
      <c r="C216" s="242"/>
      <c r="D216" s="83"/>
      <c r="E216" s="83"/>
      <c r="F216" s="83"/>
      <c r="G216" s="83"/>
      <c r="H216" s="227"/>
      <c r="I216" s="225"/>
      <c r="J216" s="225"/>
      <c r="K216" s="226"/>
      <c r="L216" s="227"/>
      <c r="M216" s="227"/>
      <c r="N216" s="228"/>
      <c r="O216" s="228"/>
      <c r="P216" s="229"/>
      <c r="Q216" s="229"/>
      <c r="R216" s="229"/>
      <c r="S216" s="230"/>
      <c r="T216" s="231"/>
      <c r="U216" s="231"/>
      <c r="V216" s="231"/>
      <c r="W216" s="232"/>
      <c r="X216" s="82"/>
    </row>
    <row r="217" spans="2:24" ht="14.25" customHeight="1" x14ac:dyDescent="0.25">
      <c r="B217" s="82"/>
      <c r="C217" s="242"/>
      <c r="D217" s="83"/>
      <c r="E217" s="83"/>
      <c r="F217" s="83"/>
      <c r="G217" s="83"/>
      <c r="H217" s="227"/>
      <c r="I217" s="225"/>
      <c r="J217" s="225"/>
      <c r="K217" s="226"/>
      <c r="L217" s="227"/>
      <c r="M217" s="227"/>
      <c r="N217" s="228"/>
      <c r="O217" s="228"/>
      <c r="P217" s="229"/>
      <c r="Q217" s="229"/>
      <c r="R217" s="229"/>
      <c r="S217" s="230"/>
      <c r="T217" s="231"/>
      <c r="U217" s="231"/>
      <c r="V217" s="231"/>
      <c r="W217" s="232"/>
      <c r="X217" s="82"/>
    </row>
    <row r="218" spans="2:24" ht="14.25" customHeight="1" x14ac:dyDescent="0.25">
      <c r="B218" s="82"/>
      <c r="C218" s="242"/>
      <c r="D218" s="83"/>
      <c r="E218" s="83"/>
      <c r="F218" s="83"/>
      <c r="G218" s="83"/>
      <c r="H218" s="227"/>
      <c r="I218" s="225"/>
      <c r="J218" s="225"/>
      <c r="K218" s="226"/>
      <c r="L218" s="227"/>
      <c r="M218" s="227"/>
      <c r="N218" s="228"/>
      <c r="O218" s="228"/>
      <c r="P218" s="229"/>
      <c r="Q218" s="229"/>
      <c r="R218" s="229"/>
      <c r="S218" s="230"/>
      <c r="T218" s="231"/>
      <c r="U218" s="231"/>
      <c r="V218" s="231"/>
      <c r="W218" s="232"/>
      <c r="X218" s="82"/>
    </row>
    <row r="219" spans="2:24" ht="14.25" customHeight="1" x14ac:dyDescent="0.25">
      <c r="B219" s="82"/>
      <c r="C219" s="242"/>
      <c r="D219" s="83"/>
      <c r="E219" s="83"/>
      <c r="F219" s="83"/>
      <c r="G219" s="83"/>
      <c r="H219" s="227"/>
      <c r="I219" s="225"/>
      <c r="J219" s="225"/>
      <c r="K219" s="226"/>
      <c r="L219" s="227"/>
      <c r="M219" s="227"/>
      <c r="N219" s="228"/>
      <c r="O219" s="228"/>
      <c r="P219" s="229"/>
      <c r="Q219" s="229"/>
      <c r="R219" s="229"/>
      <c r="S219" s="230"/>
      <c r="T219" s="231"/>
      <c r="U219" s="231"/>
      <c r="V219" s="231"/>
      <c r="W219" s="232"/>
      <c r="X219" s="82"/>
    </row>
    <row r="220" spans="2:24" ht="14.25" customHeight="1" x14ac:dyDescent="0.25">
      <c r="B220" s="82"/>
      <c r="C220" s="242"/>
      <c r="D220" s="83"/>
      <c r="E220" s="83"/>
      <c r="F220" s="83"/>
      <c r="G220" s="83"/>
      <c r="H220" s="227"/>
      <c r="I220" s="225"/>
      <c r="J220" s="225"/>
      <c r="K220" s="226"/>
      <c r="L220" s="227"/>
      <c r="M220" s="227"/>
      <c r="N220" s="228"/>
      <c r="O220" s="228"/>
      <c r="P220" s="229"/>
      <c r="Q220" s="229"/>
      <c r="R220" s="229"/>
      <c r="S220" s="230"/>
      <c r="T220" s="231"/>
      <c r="U220" s="231"/>
      <c r="V220" s="231"/>
      <c r="W220" s="232"/>
      <c r="X220" s="82"/>
    </row>
    <row r="221" spans="2:24" ht="14.25" customHeight="1" x14ac:dyDescent="0.25">
      <c r="B221" s="82"/>
      <c r="C221" s="242"/>
      <c r="D221" s="83"/>
      <c r="E221" s="83"/>
      <c r="F221" s="83"/>
      <c r="G221" s="83"/>
      <c r="H221" s="227"/>
      <c r="I221" s="225"/>
      <c r="J221" s="225"/>
      <c r="K221" s="226"/>
      <c r="L221" s="227"/>
      <c r="M221" s="227"/>
      <c r="N221" s="228"/>
      <c r="O221" s="228"/>
      <c r="P221" s="229"/>
      <c r="Q221" s="229"/>
      <c r="R221" s="229"/>
      <c r="S221" s="230"/>
      <c r="T221" s="231"/>
      <c r="U221" s="231"/>
      <c r="V221" s="231"/>
      <c r="W221" s="232"/>
      <c r="X221" s="82"/>
    </row>
    <row r="222" spans="2:24" ht="14.25" customHeight="1" x14ac:dyDescent="0.25">
      <c r="B222" s="82"/>
      <c r="C222" s="242"/>
      <c r="D222" s="83"/>
      <c r="E222" s="83"/>
      <c r="F222" s="83"/>
      <c r="G222" s="83"/>
      <c r="H222" s="227"/>
      <c r="I222" s="225"/>
      <c r="J222" s="225"/>
      <c r="K222" s="226"/>
      <c r="L222" s="227"/>
      <c r="M222" s="227"/>
      <c r="N222" s="228"/>
      <c r="O222" s="228"/>
      <c r="P222" s="229"/>
      <c r="Q222" s="229"/>
      <c r="R222" s="229"/>
      <c r="S222" s="230"/>
      <c r="T222" s="231"/>
      <c r="U222" s="231"/>
      <c r="V222" s="231"/>
      <c r="W222" s="232"/>
      <c r="X222" s="82"/>
    </row>
    <row r="223" spans="2:24" ht="14.25" customHeight="1" x14ac:dyDescent="0.25">
      <c r="B223" s="82"/>
      <c r="C223" s="242"/>
      <c r="D223" s="83"/>
      <c r="E223" s="83"/>
      <c r="F223" s="83"/>
      <c r="G223" s="83"/>
      <c r="H223" s="227"/>
      <c r="I223" s="225"/>
      <c r="J223" s="225"/>
      <c r="K223" s="226"/>
      <c r="L223" s="227"/>
      <c r="M223" s="227"/>
      <c r="N223" s="228"/>
      <c r="O223" s="228"/>
      <c r="P223" s="229"/>
      <c r="Q223" s="229"/>
      <c r="R223" s="229"/>
      <c r="S223" s="230"/>
      <c r="T223" s="231"/>
      <c r="U223" s="231"/>
      <c r="V223" s="231"/>
      <c r="W223" s="232"/>
      <c r="X223" s="82"/>
    </row>
    <row r="224" spans="2:24" ht="14.25" customHeight="1" x14ac:dyDescent="0.25">
      <c r="B224" s="82"/>
      <c r="C224" s="242"/>
      <c r="D224" s="83"/>
      <c r="E224" s="83"/>
      <c r="F224" s="83"/>
      <c r="G224" s="83"/>
      <c r="H224" s="227"/>
      <c r="I224" s="225"/>
      <c r="J224" s="225"/>
      <c r="K224" s="226"/>
      <c r="L224" s="227"/>
      <c r="M224" s="227"/>
      <c r="N224" s="228"/>
      <c r="O224" s="228"/>
      <c r="P224" s="229"/>
      <c r="Q224" s="229"/>
      <c r="R224" s="229"/>
      <c r="S224" s="230"/>
      <c r="T224" s="231"/>
      <c r="U224" s="231"/>
      <c r="V224" s="231"/>
      <c r="W224" s="232"/>
      <c r="X224" s="82"/>
    </row>
    <row r="225" spans="2:24" ht="14.25" customHeight="1" x14ac:dyDescent="0.25">
      <c r="B225" s="82"/>
      <c r="C225" s="242"/>
      <c r="D225" s="83"/>
      <c r="E225" s="83"/>
      <c r="F225" s="83"/>
      <c r="G225" s="83"/>
      <c r="H225" s="227"/>
      <c r="I225" s="225"/>
      <c r="J225" s="225"/>
      <c r="K225" s="226"/>
      <c r="L225" s="227"/>
      <c r="M225" s="227"/>
      <c r="N225" s="228"/>
      <c r="O225" s="228"/>
      <c r="P225" s="229"/>
      <c r="Q225" s="229"/>
      <c r="R225" s="229"/>
      <c r="S225" s="230"/>
      <c r="T225" s="231"/>
      <c r="U225" s="231"/>
      <c r="V225" s="231"/>
      <c r="W225" s="232"/>
      <c r="X225" s="82"/>
    </row>
    <row r="226" spans="2:24" ht="14.25" customHeight="1" x14ac:dyDescent="0.25">
      <c r="B226" s="82"/>
      <c r="C226" s="242"/>
      <c r="D226" s="83"/>
      <c r="E226" s="83"/>
      <c r="F226" s="83"/>
      <c r="G226" s="83"/>
      <c r="H226" s="227"/>
      <c r="I226" s="225"/>
      <c r="J226" s="225"/>
      <c r="K226" s="226"/>
      <c r="L226" s="227"/>
      <c r="M226" s="227"/>
      <c r="N226" s="228"/>
      <c r="O226" s="228"/>
      <c r="P226" s="229"/>
      <c r="Q226" s="229"/>
      <c r="R226" s="229"/>
      <c r="S226" s="230"/>
      <c r="T226" s="231"/>
      <c r="U226" s="231"/>
      <c r="V226" s="231"/>
      <c r="W226" s="232"/>
      <c r="X226" s="82"/>
    </row>
    <row r="227" spans="2:24" ht="14.25" customHeight="1" x14ac:dyDescent="0.25">
      <c r="B227" s="82"/>
      <c r="C227" s="242"/>
      <c r="D227" s="83"/>
      <c r="E227" s="83"/>
      <c r="F227" s="83"/>
      <c r="G227" s="83"/>
      <c r="H227" s="227"/>
      <c r="I227" s="225"/>
      <c r="J227" s="225"/>
      <c r="K227" s="226"/>
      <c r="L227" s="227"/>
      <c r="M227" s="227"/>
      <c r="N227" s="228"/>
      <c r="O227" s="228"/>
      <c r="P227" s="229"/>
      <c r="Q227" s="229"/>
      <c r="R227" s="229"/>
      <c r="S227" s="230"/>
      <c r="T227" s="231"/>
      <c r="U227" s="231"/>
      <c r="V227" s="231"/>
      <c r="W227" s="232"/>
      <c r="X227" s="82"/>
    </row>
    <row r="228" spans="2:24" ht="14.25" customHeight="1" x14ac:dyDescent="0.25">
      <c r="B228" s="82"/>
      <c r="C228" s="242"/>
      <c r="D228" s="83"/>
      <c r="E228" s="83"/>
      <c r="F228" s="83"/>
      <c r="G228" s="83"/>
      <c r="H228" s="227"/>
      <c r="I228" s="225"/>
      <c r="J228" s="225"/>
      <c r="K228" s="226"/>
      <c r="L228" s="227"/>
      <c r="M228" s="227"/>
      <c r="N228" s="228"/>
      <c r="O228" s="228"/>
      <c r="P228" s="229"/>
      <c r="Q228" s="229"/>
      <c r="R228" s="229"/>
      <c r="S228" s="230"/>
      <c r="T228" s="231"/>
      <c r="U228" s="231"/>
      <c r="V228" s="231"/>
      <c r="W228" s="232"/>
      <c r="X228" s="82"/>
    </row>
    <row r="229" spans="2:24" ht="14.25" customHeight="1" x14ac:dyDescent="0.25">
      <c r="B229" s="82"/>
      <c r="C229" s="242"/>
      <c r="D229" s="83"/>
      <c r="E229" s="83"/>
      <c r="F229" s="83"/>
      <c r="G229" s="83"/>
      <c r="H229" s="227"/>
      <c r="I229" s="225"/>
      <c r="J229" s="225"/>
      <c r="K229" s="226"/>
      <c r="L229" s="227"/>
      <c r="M229" s="227"/>
      <c r="N229" s="228"/>
      <c r="O229" s="228"/>
      <c r="P229" s="229"/>
      <c r="Q229" s="229"/>
      <c r="R229" s="229"/>
      <c r="S229" s="230"/>
      <c r="T229" s="231"/>
      <c r="U229" s="231"/>
      <c r="V229" s="231"/>
      <c r="W229" s="232"/>
      <c r="X229" s="82"/>
    </row>
    <row r="230" spans="2:24" ht="14.25" customHeight="1" x14ac:dyDescent="0.25">
      <c r="B230" s="82"/>
      <c r="C230" s="242"/>
      <c r="D230" s="83"/>
      <c r="E230" s="83"/>
      <c r="F230" s="83"/>
      <c r="G230" s="83"/>
      <c r="H230" s="227"/>
      <c r="I230" s="225"/>
      <c r="J230" s="225"/>
      <c r="K230" s="226"/>
      <c r="L230" s="227"/>
      <c r="M230" s="227"/>
      <c r="N230" s="228"/>
      <c r="O230" s="228"/>
      <c r="P230" s="229"/>
      <c r="Q230" s="229"/>
      <c r="R230" s="229"/>
      <c r="S230" s="230"/>
      <c r="T230" s="231"/>
      <c r="U230" s="231"/>
      <c r="V230" s="231"/>
      <c r="W230" s="232"/>
      <c r="X230" s="82"/>
    </row>
    <row r="231" spans="2:24" ht="14.25" customHeight="1" x14ac:dyDescent="0.25">
      <c r="B231" s="82"/>
      <c r="C231" s="242"/>
      <c r="D231" s="83"/>
      <c r="E231" s="83"/>
      <c r="F231" s="83"/>
      <c r="G231" s="83"/>
      <c r="H231" s="227"/>
      <c r="I231" s="225"/>
      <c r="J231" s="225"/>
      <c r="K231" s="226"/>
      <c r="L231" s="227"/>
      <c r="M231" s="227"/>
      <c r="N231" s="228"/>
      <c r="O231" s="228"/>
      <c r="P231" s="229"/>
      <c r="Q231" s="229"/>
      <c r="R231" s="229"/>
      <c r="S231" s="230"/>
      <c r="T231" s="231"/>
      <c r="U231" s="231"/>
      <c r="V231" s="231"/>
      <c r="W231" s="232"/>
      <c r="X231" s="82"/>
    </row>
    <row r="232" spans="2:24" ht="14.25" customHeight="1" x14ac:dyDescent="0.25">
      <c r="B232" s="82"/>
      <c r="C232" s="242"/>
      <c r="D232" s="83"/>
      <c r="E232" s="83"/>
      <c r="F232" s="83"/>
      <c r="G232" s="83"/>
      <c r="H232" s="227"/>
      <c r="I232" s="225"/>
      <c r="J232" s="225"/>
      <c r="K232" s="226"/>
      <c r="L232" s="227"/>
      <c r="M232" s="227"/>
      <c r="N232" s="228"/>
      <c r="O232" s="228"/>
      <c r="P232" s="229"/>
      <c r="Q232" s="229"/>
      <c r="R232" s="229"/>
      <c r="S232" s="230"/>
      <c r="T232" s="231"/>
      <c r="U232" s="231"/>
      <c r="V232" s="231"/>
      <c r="W232" s="232"/>
      <c r="X232" s="82"/>
    </row>
    <row r="233" spans="2:24" ht="14.25" customHeight="1" x14ac:dyDescent="0.25">
      <c r="B233" s="82"/>
      <c r="C233" s="242"/>
      <c r="D233" s="83"/>
      <c r="E233" s="83"/>
      <c r="F233" s="83"/>
      <c r="G233" s="83"/>
      <c r="H233" s="227"/>
      <c r="I233" s="225"/>
      <c r="J233" s="225"/>
      <c r="K233" s="226"/>
      <c r="L233" s="227"/>
      <c r="M233" s="227"/>
      <c r="N233" s="228"/>
      <c r="O233" s="228"/>
      <c r="P233" s="229"/>
      <c r="Q233" s="229"/>
      <c r="R233" s="229"/>
      <c r="S233" s="230"/>
      <c r="T233" s="231"/>
      <c r="U233" s="231"/>
      <c r="V233" s="231"/>
      <c r="W233" s="232"/>
      <c r="X233" s="82"/>
    </row>
    <row r="234" spans="2:24" ht="14.25" customHeight="1" x14ac:dyDescent="0.25">
      <c r="B234" s="82"/>
      <c r="C234" s="242"/>
      <c r="D234" s="83"/>
      <c r="E234" s="83"/>
      <c r="F234" s="83"/>
      <c r="G234" s="83"/>
      <c r="H234" s="227"/>
      <c r="I234" s="225"/>
      <c r="J234" s="225"/>
      <c r="K234" s="226"/>
      <c r="L234" s="227"/>
      <c r="M234" s="227"/>
      <c r="N234" s="228"/>
      <c r="O234" s="228"/>
      <c r="P234" s="229"/>
      <c r="Q234" s="229"/>
      <c r="R234" s="229"/>
      <c r="S234" s="230"/>
      <c r="T234" s="231"/>
      <c r="U234" s="231"/>
      <c r="V234" s="231"/>
      <c r="W234" s="232"/>
      <c r="X234" s="82"/>
    </row>
    <row r="235" spans="2:24" ht="14.25" customHeight="1" x14ac:dyDescent="0.25">
      <c r="B235" s="82"/>
      <c r="C235" s="242"/>
      <c r="D235" s="83"/>
      <c r="E235" s="83"/>
      <c r="F235" s="83"/>
      <c r="G235" s="83"/>
      <c r="H235" s="227"/>
      <c r="I235" s="225"/>
      <c r="J235" s="225"/>
      <c r="K235" s="226"/>
      <c r="L235" s="227"/>
      <c r="M235" s="227"/>
      <c r="N235" s="228"/>
      <c r="O235" s="228"/>
      <c r="P235" s="229"/>
      <c r="Q235" s="229"/>
      <c r="R235" s="229"/>
      <c r="S235" s="230"/>
      <c r="T235" s="231"/>
      <c r="U235" s="231"/>
      <c r="V235" s="231"/>
      <c r="W235" s="232"/>
      <c r="X235" s="82"/>
    </row>
    <row r="236" spans="2:24" ht="14.25" customHeight="1" x14ac:dyDescent="0.25">
      <c r="B236" s="82"/>
      <c r="C236" s="242"/>
      <c r="D236" s="83"/>
      <c r="E236" s="83"/>
      <c r="F236" s="83"/>
      <c r="G236" s="83"/>
      <c r="H236" s="227"/>
      <c r="I236" s="225"/>
      <c r="J236" s="225"/>
      <c r="K236" s="226"/>
      <c r="L236" s="227"/>
      <c r="M236" s="227"/>
      <c r="N236" s="228"/>
      <c r="O236" s="228"/>
      <c r="P236" s="229"/>
      <c r="Q236" s="229"/>
      <c r="R236" s="229"/>
      <c r="S236" s="230"/>
      <c r="T236" s="231"/>
      <c r="U236" s="231"/>
      <c r="V236" s="231"/>
      <c r="W236" s="232"/>
      <c r="X236" s="82"/>
    </row>
    <row r="237" spans="2:24" ht="14.25" customHeight="1" x14ac:dyDescent="0.25">
      <c r="B237" s="82"/>
      <c r="C237" s="242"/>
      <c r="D237" s="83"/>
      <c r="E237" s="83"/>
      <c r="F237" s="83"/>
      <c r="G237" s="83"/>
      <c r="H237" s="227"/>
      <c r="I237" s="225"/>
      <c r="J237" s="225"/>
      <c r="K237" s="226"/>
      <c r="L237" s="227"/>
      <c r="M237" s="227"/>
      <c r="N237" s="228"/>
      <c r="O237" s="228"/>
      <c r="P237" s="229"/>
      <c r="Q237" s="229"/>
      <c r="R237" s="229"/>
      <c r="S237" s="230"/>
      <c r="T237" s="231"/>
      <c r="U237" s="231"/>
      <c r="V237" s="231"/>
      <c r="W237" s="232"/>
      <c r="X237" s="82"/>
    </row>
    <row r="238" spans="2:24" ht="14.25" customHeight="1" x14ac:dyDescent="0.25">
      <c r="B238" s="82"/>
      <c r="C238" s="242"/>
      <c r="D238" s="83"/>
      <c r="E238" s="83"/>
      <c r="F238" s="83"/>
      <c r="G238" s="83"/>
      <c r="H238" s="227"/>
      <c r="I238" s="225"/>
      <c r="J238" s="225"/>
      <c r="K238" s="226"/>
      <c r="L238" s="227"/>
      <c r="M238" s="227"/>
      <c r="N238" s="228"/>
      <c r="O238" s="228"/>
      <c r="P238" s="229"/>
      <c r="Q238" s="229"/>
      <c r="R238" s="229"/>
      <c r="S238" s="230"/>
      <c r="T238" s="231"/>
      <c r="U238" s="231"/>
      <c r="V238" s="231"/>
      <c r="W238" s="232"/>
      <c r="X238" s="82"/>
    </row>
    <row r="239" spans="2:24" ht="14.25" customHeight="1" x14ac:dyDescent="0.25">
      <c r="B239" s="82"/>
      <c r="C239" s="242"/>
      <c r="D239" s="83"/>
      <c r="E239" s="83"/>
      <c r="F239" s="83"/>
      <c r="G239" s="83"/>
      <c r="H239" s="227"/>
      <c r="I239" s="225"/>
      <c r="J239" s="225"/>
      <c r="K239" s="226"/>
      <c r="L239" s="227"/>
      <c r="M239" s="227"/>
      <c r="N239" s="228"/>
      <c r="O239" s="228"/>
      <c r="P239" s="229"/>
      <c r="Q239" s="229"/>
      <c r="R239" s="229"/>
      <c r="S239" s="230"/>
      <c r="T239" s="231"/>
      <c r="U239" s="231"/>
      <c r="V239" s="231"/>
      <c r="W239" s="232"/>
      <c r="X239" s="82"/>
    </row>
    <row r="240" spans="2:24" ht="14.25" customHeight="1" x14ac:dyDescent="0.25">
      <c r="B240" s="82"/>
      <c r="C240" s="242"/>
      <c r="D240" s="83"/>
      <c r="E240" s="83"/>
      <c r="F240" s="83"/>
      <c r="G240" s="83"/>
      <c r="H240" s="227"/>
      <c r="I240" s="225"/>
      <c r="J240" s="225"/>
      <c r="K240" s="226"/>
      <c r="L240" s="227"/>
      <c r="M240" s="227"/>
      <c r="N240" s="228"/>
      <c r="O240" s="228"/>
      <c r="P240" s="229"/>
      <c r="Q240" s="229"/>
      <c r="R240" s="229"/>
      <c r="S240" s="230"/>
      <c r="T240" s="231"/>
      <c r="U240" s="231"/>
      <c r="V240" s="231"/>
      <c r="W240" s="232"/>
      <c r="X240" s="82"/>
    </row>
    <row r="241" spans="2:24" ht="14.25" customHeight="1" x14ac:dyDescent="0.25">
      <c r="B241" s="82"/>
      <c r="C241" s="242"/>
      <c r="D241" s="83"/>
      <c r="E241" s="83"/>
      <c r="F241" s="83"/>
      <c r="G241" s="83"/>
      <c r="H241" s="227"/>
      <c r="I241" s="225"/>
      <c r="J241" s="225"/>
      <c r="K241" s="226"/>
      <c r="L241" s="227"/>
      <c r="M241" s="227"/>
      <c r="N241" s="228"/>
      <c r="O241" s="228"/>
      <c r="P241" s="229"/>
      <c r="Q241" s="229"/>
      <c r="R241" s="229"/>
      <c r="S241" s="230"/>
      <c r="T241" s="231"/>
      <c r="U241" s="231"/>
      <c r="V241" s="231"/>
      <c r="W241" s="232"/>
      <c r="X241" s="82"/>
    </row>
    <row r="242" spans="2:24" ht="14.25" customHeight="1" x14ac:dyDescent="0.25">
      <c r="B242" s="82"/>
      <c r="C242" s="242"/>
      <c r="D242" s="83"/>
      <c r="E242" s="83"/>
      <c r="F242" s="83"/>
      <c r="G242" s="83"/>
      <c r="H242" s="227"/>
      <c r="I242" s="225"/>
      <c r="J242" s="225"/>
      <c r="K242" s="226"/>
      <c r="L242" s="227"/>
      <c r="M242" s="227"/>
      <c r="N242" s="228"/>
      <c r="O242" s="228"/>
      <c r="P242" s="229"/>
      <c r="Q242" s="229"/>
      <c r="R242" s="229"/>
      <c r="S242" s="230"/>
      <c r="T242" s="231"/>
      <c r="U242" s="231"/>
      <c r="V242" s="231"/>
      <c r="W242" s="232"/>
      <c r="X242" s="82"/>
    </row>
    <row r="243" spans="2:24" ht="14.25" customHeight="1" x14ac:dyDescent="0.25">
      <c r="B243" s="82"/>
      <c r="C243" s="242"/>
      <c r="D243" s="83"/>
      <c r="E243" s="83"/>
      <c r="F243" s="83"/>
      <c r="G243" s="83"/>
      <c r="H243" s="227"/>
      <c r="I243" s="225"/>
      <c r="J243" s="225"/>
      <c r="K243" s="226"/>
      <c r="L243" s="227"/>
      <c r="M243" s="227"/>
      <c r="N243" s="228"/>
      <c r="O243" s="228"/>
      <c r="P243" s="229"/>
      <c r="Q243" s="229"/>
      <c r="R243" s="229"/>
      <c r="S243" s="230"/>
      <c r="T243" s="231"/>
      <c r="U243" s="231"/>
      <c r="V243" s="231"/>
      <c r="W243" s="232"/>
      <c r="X243" s="82"/>
    </row>
    <row r="244" spans="2:24" ht="14.25" customHeight="1" x14ac:dyDescent="0.25">
      <c r="B244" s="82"/>
      <c r="C244" s="242"/>
      <c r="D244" s="83"/>
      <c r="E244" s="83"/>
      <c r="F244" s="83"/>
      <c r="G244" s="83"/>
      <c r="H244" s="227"/>
      <c r="I244" s="225"/>
      <c r="J244" s="225"/>
      <c r="K244" s="226"/>
      <c r="L244" s="227"/>
      <c r="M244" s="227"/>
      <c r="N244" s="228"/>
      <c r="O244" s="228"/>
      <c r="P244" s="229"/>
      <c r="Q244" s="229"/>
      <c r="R244" s="229"/>
      <c r="S244" s="230"/>
      <c r="T244" s="231"/>
      <c r="U244" s="231"/>
      <c r="V244" s="231"/>
      <c r="W244" s="232"/>
      <c r="X244" s="82"/>
    </row>
    <row r="245" spans="2:24" ht="14.25" customHeight="1" x14ac:dyDescent="0.25">
      <c r="B245" s="82"/>
      <c r="C245" s="242"/>
      <c r="D245" s="83"/>
      <c r="E245" s="83"/>
      <c r="F245" s="83"/>
      <c r="G245" s="83"/>
      <c r="H245" s="227"/>
      <c r="I245" s="225"/>
      <c r="J245" s="225"/>
      <c r="K245" s="226"/>
      <c r="L245" s="227"/>
      <c r="M245" s="227"/>
      <c r="N245" s="228"/>
      <c r="O245" s="228"/>
      <c r="P245" s="229"/>
      <c r="Q245" s="229"/>
      <c r="R245" s="229"/>
      <c r="S245" s="230"/>
      <c r="T245" s="231"/>
      <c r="U245" s="231"/>
      <c r="V245" s="231"/>
      <c r="W245" s="232"/>
      <c r="X245" s="82"/>
    </row>
    <row r="246" spans="2:24" ht="14.25" customHeight="1" x14ac:dyDescent="0.25">
      <c r="B246" s="82"/>
      <c r="C246" s="242"/>
      <c r="D246" s="83"/>
      <c r="E246" s="83"/>
      <c r="F246" s="83"/>
      <c r="G246" s="83"/>
      <c r="H246" s="227"/>
      <c r="I246" s="225"/>
      <c r="J246" s="225"/>
      <c r="K246" s="226"/>
      <c r="L246" s="227"/>
      <c r="M246" s="227"/>
      <c r="N246" s="228"/>
      <c r="O246" s="228"/>
      <c r="P246" s="229"/>
      <c r="Q246" s="229"/>
      <c r="R246" s="229"/>
      <c r="S246" s="230"/>
      <c r="T246" s="231"/>
      <c r="U246" s="231"/>
      <c r="V246" s="231"/>
      <c r="W246" s="232"/>
      <c r="X246" s="82"/>
    </row>
    <row r="247" spans="2:24" ht="14.25" customHeight="1" x14ac:dyDescent="0.25">
      <c r="B247" s="82"/>
      <c r="C247" s="242"/>
      <c r="D247" s="83"/>
      <c r="E247" s="83"/>
      <c r="F247" s="83"/>
      <c r="G247" s="83"/>
      <c r="H247" s="227"/>
      <c r="I247" s="225"/>
      <c r="J247" s="225"/>
      <c r="K247" s="226"/>
      <c r="L247" s="227"/>
      <c r="M247" s="227"/>
      <c r="N247" s="228"/>
      <c r="O247" s="228"/>
      <c r="P247" s="229"/>
      <c r="Q247" s="229"/>
      <c r="R247" s="229"/>
      <c r="S247" s="230"/>
      <c r="T247" s="231"/>
      <c r="U247" s="231"/>
      <c r="V247" s="231"/>
      <c r="W247" s="232"/>
      <c r="X247" s="82"/>
    </row>
    <row r="248" spans="2:24" ht="14.25" customHeight="1" x14ac:dyDescent="0.25">
      <c r="B248" s="82"/>
      <c r="C248" s="242"/>
      <c r="D248" s="83"/>
      <c r="E248" s="83"/>
      <c r="F248" s="83"/>
      <c r="G248" s="83"/>
      <c r="H248" s="227"/>
      <c r="I248" s="225"/>
      <c r="J248" s="225"/>
      <c r="K248" s="226"/>
      <c r="L248" s="227"/>
      <c r="M248" s="227"/>
      <c r="N248" s="228"/>
      <c r="O248" s="228"/>
      <c r="P248" s="229"/>
      <c r="Q248" s="229"/>
      <c r="R248" s="229"/>
      <c r="S248" s="230"/>
      <c r="T248" s="231"/>
      <c r="U248" s="231"/>
      <c r="V248" s="231"/>
      <c r="W248" s="232"/>
      <c r="X248" s="82"/>
    </row>
    <row r="249" spans="2:24" ht="14.25" customHeight="1" x14ac:dyDescent="0.25">
      <c r="B249" s="82"/>
      <c r="C249" s="242"/>
      <c r="D249" s="83"/>
      <c r="E249" s="83"/>
      <c r="F249" s="83"/>
      <c r="G249" s="83"/>
      <c r="H249" s="227"/>
      <c r="I249" s="225"/>
      <c r="J249" s="225"/>
      <c r="K249" s="226"/>
      <c r="L249" s="227"/>
      <c r="M249" s="227"/>
      <c r="N249" s="228"/>
      <c r="O249" s="228"/>
      <c r="P249" s="229"/>
      <c r="Q249" s="229"/>
      <c r="R249" s="229"/>
      <c r="S249" s="230"/>
      <c r="T249" s="231"/>
      <c r="U249" s="231"/>
      <c r="V249" s="231"/>
      <c r="W249" s="232"/>
      <c r="X249" s="82"/>
    </row>
    <row r="250" spans="2:24" ht="14.25" customHeight="1" x14ac:dyDescent="0.25">
      <c r="B250" s="82"/>
      <c r="C250" s="242"/>
      <c r="D250" s="83"/>
      <c r="E250" s="83"/>
      <c r="F250" s="83"/>
      <c r="G250" s="83"/>
      <c r="H250" s="227"/>
      <c r="I250" s="225"/>
      <c r="J250" s="225"/>
      <c r="K250" s="226"/>
      <c r="L250" s="227"/>
      <c r="M250" s="227"/>
      <c r="N250" s="228"/>
      <c r="O250" s="228"/>
      <c r="P250" s="229"/>
      <c r="Q250" s="229"/>
      <c r="R250" s="229"/>
      <c r="S250" s="230"/>
      <c r="T250" s="231"/>
      <c r="U250" s="231"/>
      <c r="V250" s="231"/>
      <c r="W250" s="232"/>
      <c r="X250" s="82"/>
    </row>
    <row r="251" spans="2:24" ht="14.25" customHeight="1" x14ac:dyDescent="0.25">
      <c r="B251" s="82"/>
      <c r="C251" s="242"/>
      <c r="D251" s="83"/>
      <c r="E251" s="83"/>
      <c r="F251" s="83"/>
      <c r="G251" s="83"/>
      <c r="H251" s="227"/>
      <c r="I251" s="225"/>
      <c r="J251" s="225"/>
      <c r="K251" s="226"/>
      <c r="L251" s="227"/>
      <c r="M251" s="227"/>
      <c r="N251" s="228"/>
      <c r="O251" s="228"/>
      <c r="P251" s="229"/>
      <c r="Q251" s="229"/>
      <c r="R251" s="229"/>
      <c r="S251" s="230"/>
      <c r="T251" s="231"/>
      <c r="U251" s="231"/>
      <c r="V251" s="231"/>
      <c r="W251" s="232"/>
      <c r="X251" s="82"/>
    </row>
    <row r="252" spans="2:24" ht="14.25" customHeight="1" x14ac:dyDescent="0.25">
      <c r="B252" s="82"/>
      <c r="C252" s="242"/>
      <c r="D252" s="83"/>
      <c r="E252" s="83"/>
      <c r="F252" s="83"/>
      <c r="G252" s="83"/>
      <c r="H252" s="227"/>
      <c r="I252" s="225"/>
      <c r="J252" s="225"/>
      <c r="K252" s="226"/>
      <c r="L252" s="227"/>
      <c r="M252" s="227"/>
      <c r="N252" s="228"/>
      <c r="O252" s="228"/>
      <c r="P252" s="229"/>
      <c r="Q252" s="229"/>
      <c r="R252" s="229"/>
      <c r="S252" s="230"/>
      <c r="T252" s="231"/>
      <c r="U252" s="231"/>
      <c r="V252" s="231"/>
      <c r="W252" s="232"/>
      <c r="X252" s="82"/>
    </row>
    <row r="253" spans="2:24" ht="14.25" customHeight="1" x14ac:dyDescent="0.25">
      <c r="B253" s="82"/>
      <c r="C253" s="242"/>
      <c r="D253" s="83"/>
      <c r="E253" s="83"/>
      <c r="F253" s="83"/>
      <c r="G253" s="83"/>
      <c r="H253" s="227"/>
      <c r="I253" s="225"/>
      <c r="J253" s="225"/>
      <c r="K253" s="226"/>
      <c r="L253" s="227"/>
      <c r="M253" s="227"/>
      <c r="N253" s="228"/>
      <c r="O253" s="228"/>
      <c r="P253" s="229"/>
      <c r="Q253" s="229"/>
      <c r="R253" s="229"/>
      <c r="S253" s="230"/>
      <c r="T253" s="231"/>
      <c r="U253" s="231"/>
      <c r="V253" s="231"/>
      <c r="W253" s="232"/>
      <c r="X253" s="82"/>
    </row>
    <row r="254" spans="2:24" ht="14.25" customHeight="1" x14ac:dyDescent="0.25">
      <c r="B254" s="82"/>
      <c r="C254" s="242"/>
      <c r="D254" s="83"/>
      <c r="E254" s="83"/>
      <c r="F254" s="83"/>
      <c r="G254" s="83"/>
      <c r="H254" s="227"/>
      <c r="I254" s="225"/>
      <c r="J254" s="225"/>
      <c r="K254" s="226"/>
      <c r="L254" s="227"/>
      <c r="M254" s="227"/>
      <c r="N254" s="228"/>
      <c r="O254" s="228"/>
      <c r="P254" s="229"/>
      <c r="Q254" s="229"/>
      <c r="R254" s="229"/>
      <c r="S254" s="230"/>
      <c r="T254" s="231"/>
      <c r="U254" s="231"/>
      <c r="V254" s="231"/>
      <c r="W254" s="232"/>
      <c r="X254" s="82"/>
    </row>
    <row r="255" spans="2:24" ht="14.25" customHeight="1" x14ac:dyDescent="0.25">
      <c r="B255" s="82"/>
      <c r="C255" s="242"/>
      <c r="D255" s="83"/>
      <c r="E255" s="83"/>
      <c r="F255" s="83"/>
      <c r="G255" s="83"/>
      <c r="H255" s="227"/>
      <c r="I255" s="225"/>
      <c r="J255" s="225"/>
      <c r="K255" s="226"/>
      <c r="L255" s="227"/>
      <c r="M255" s="227"/>
      <c r="N255" s="228"/>
      <c r="O255" s="228"/>
      <c r="P255" s="229"/>
      <c r="Q255" s="229"/>
      <c r="R255" s="229"/>
      <c r="S255" s="230"/>
      <c r="T255" s="231"/>
      <c r="U255" s="231"/>
      <c r="V255" s="231"/>
      <c r="W255" s="232"/>
      <c r="X255" s="82"/>
    </row>
    <row r="256" spans="2:24" ht="14.25" customHeight="1" x14ac:dyDescent="0.25">
      <c r="B256" s="82"/>
      <c r="C256" s="242"/>
      <c r="D256" s="83"/>
      <c r="E256" s="83"/>
      <c r="F256" s="83"/>
      <c r="G256" s="83"/>
      <c r="H256" s="227"/>
      <c r="I256" s="225"/>
      <c r="J256" s="225"/>
      <c r="K256" s="226"/>
      <c r="L256" s="227"/>
      <c r="M256" s="227"/>
      <c r="N256" s="228"/>
      <c r="O256" s="228"/>
      <c r="P256" s="229"/>
      <c r="Q256" s="229"/>
      <c r="R256" s="229"/>
      <c r="S256" s="230"/>
      <c r="T256" s="231"/>
      <c r="U256" s="231"/>
      <c r="V256" s="231"/>
      <c r="W256" s="232"/>
      <c r="X256" s="82"/>
    </row>
    <row r="257" spans="2:24" ht="14.25" customHeight="1" x14ac:dyDescent="0.25">
      <c r="B257" s="82"/>
      <c r="C257" s="242"/>
      <c r="D257" s="83"/>
      <c r="E257" s="83"/>
      <c r="F257" s="83"/>
      <c r="G257" s="83"/>
      <c r="H257" s="227"/>
      <c r="I257" s="225"/>
      <c r="J257" s="225"/>
      <c r="K257" s="226"/>
      <c r="L257" s="227"/>
      <c r="M257" s="227"/>
      <c r="N257" s="228"/>
      <c r="O257" s="228"/>
      <c r="P257" s="229"/>
      <c r="Q257" s="229"/>
      <c r="R257" s="229"/>
      <c r="S257" s="230"/>
      <c r="T257" s="231"/>
      <c r="U257" s="231"/>
      <c r="V257" s="231"/>
      <c r="W257" s="232"/>
      <c r="X257" s="82"/>
    </row>
    <row r="258" spans="2:24" ht="14.25" customHeight="1" x14ac:dyDescent="0.25">
      <c r="B258" s="82"/>
      <c r="C258" s="242"/>
      <c r="D258" s="83"/>
      <c r="E258" s="83"/>
      <c r="F258" s="83"/>
      <c r="G258" s="83"/>
      <c r="H258" s="227"/>
      <c r="I258" s="225"/>
      <c r="J258" s="225"/>
      <c r="K258" s="226"/>
      <c r="L258" s="227"/>
      <c r="M258" s="227"/>
      <c r="N258" s="228"/>
      <c r="O258" s="228"/>
      <c r="P258" s="229"/>
      <c r="Q258" s="229"/>
      <c r="R258" s="229"/>
      <c r="S258" s="230"/>
      <c r="T258" s="231"/>
      <c r="U258" s="231"/>
      <c r="V258" s="231"/>
      <c r="W258" s="232"/>
      <c r="X258" s="82"/>
    </row>
    <row r="259" spans="2:24" ht="14.25" customHeight="1" x14ac:dyDescent="0.25">
      <c r="B259" s="82"/>
      <c r="C259" s="242"/>
      <c r="D259" s="83"/>
      <c r="E259" s="83"/>
      <c r="F259" s="83"/>
      <c r="G259" s="83"/>
      <c r="H259" s="227"/>
      <c r="I259" s="225"/>
      <c r="J259" s="225"/>
      <c r="K259" s="226"/>
      <c r="L259" s="227"/>
      <c r="M259" s="227"/>
      <c r="N259" s="228"/>
      <c r="O259" s="228"/>
      <c r="P259" s="229"/>
      <c r="Q259" s="229"/>
      <c r="R259" s="229"/>
      <c r="S259" s="230"/>
      <c r="T259" s="231"/>
      <c r="U259" s="231"/>
      <c r="V259" s="231"/>
      <c r="W259" s="232"/>
      <c r="X259" s="82"/>
    </row>
    <row r="260" spans="2:24" ht="14.25" customHeight="1" x14ac:dyDescent="0.25">
      <c r="B260" s="82"/>
      <c r="C260" s="242"/>
      <c r="D260" s="83"/>
      <c r="E260" s="83"/>
      <c r="F260" s="83"/>
      <c r="G260" s="83"/>
      <c r="H260" s="227"/>
      <c r="I260" s="225"/>
      <c r="J260" s="225"/>
      <c r="K260" s="226"/>
      <c r="L260" s="227"/>
      <c r="M260" s="227"/>
      <c r="N260" s="228"/>
      <c r="O260" s="228"/>
      <c r="P260" s="229"/>
      <c r="Q260" s="229"/>
      <c r="R260" s="229"/>
      <c r="S260" s="230"/>
      <c r="T260" s="231"/>
      <c r="U260" s="231"/>
      <c r="V260" s="231"/>
      <c r="W260" s="232"/>
      <c r="X260" s="82"/>
    </row>
    <row r="261" spans="2:24" ht="14.25" customHeight="1" x14ac:dyDescent="0.25">
      <c r="B261" s="82"/>
      <c r="C261" s="242"/>
      <c r="D261" s="83"/>
      <c r="E261" s="83"/>
      <c r="F261" s="83"/>
      <c r="G261" s="83"/>
      <c r="H261" s="227"/>
      <c r="I261" s="225"/>
      <c r="J261" s="225"/>
      <c r="K261" s="226"/>
      <c r="L261" s="227"/>
      <c r="M261" s="227"/>
      <c r="N261" s="228"/>
      <c r="O261" s="228"/>
      <c r="P261" s="229"/>
      <c r="Q261" s="229"/>
      <c r="R261" s="229"/>
      <c r="S261" s="230"/>
      <c r="T261" s="231"/>
      <c r="U261" s="231"/>
      <c r="V261" s="231"/>
      <c r="W261" s="232"/>
      <c r="X261" s="82"/>
    </row>
    <row r="262" spans="2:24" ht="14.25" customHeight="1" x14ac:dyDescent="0.25">
      <c r="B262" s="82"/>
      <c r="C262" s="242"/>
      <c r="D262" s="83"/>
      <c r="E262" s="83"/>
      <c r="F262" s="83"/>
      <c r="G262" s="83"/>
      <c r="H262" s="227"/>
      <c r="I262" s="225"/>
      <c r="J262" s="225"/>
      <c r="K262" s="226"/>
      <c r="L262" s="227"/>
      <c r="M262" s="227"/>
      <c r="N262" s="228"/>
      <c r="O262" s="228"/>
      <c r="P262" s="229"/>
      <c r="Q262" s="229"/>
      <c r="R262" s="229"/>
      <c r="S262" s="230"/>
      <c r="T262" s="231"/>
      <c r="U262" s="231"/>
      <c r="V262" s="231"/>
      <c r="W262" s="232"/>
      <c r="X262" s="82"/>
    </row>
    <row r="263" spans="2:24" ht="14.25" customHeight="1" x14ac:dyDescent="0.25">
      <c r="B263" s="82"/>
      <c r="C263" s="242"/>
      <c r="D263" s="83"/>
      <c r="E263" s="83"/>
      <c r="F263" s="83"/>
      <c r="G263" s="83"/>
      <c r="H263" s="227"/>
      <c r="I263" s="225"/>
      <c r="J263" s="225"/>
      <c r="K263" s="226"/>
      <c r="L263" s="227"/>
      <c r="M263" s="227"/>
      <c r="N263" s="228"/>
      <c r="O263" s="228"/>
      <c r="P263" s="229"/>
      <c r="Q263" s="229"/>
      <c r="R263" s="229"/>
      <c r="S263" s="230"/>
      <c r="T263" s="231"/>
      <c r="U263" s="231"/>
      <c r="V263" s="231"/>
      <c r="W263" s="232"/>
      <c r="X263" s="82"/>
    </row>
    <row r="264" spans="2:24" ht="14.25" customHeight="1" x14ac:dyDescent="0.25">
      <c r="B264" s="82"/>
      <c r="C264" s="242"/>
      <c r="D264" s="83"/>
      <c r="E264" s="83"/>
      <c r="F264" s="83"/>
      <c r="G264" s="83"/>
      <c r="H264" s="227"/>
      <c r="I264" s="225"/>
      <c r="J264" s="225"/>
      <c r="K264" s="226"/>
      <c r="L264" s="227"/>
      <c r="M264" s="227"/>
      <c r="N264" s="228"/>
      <c r="O264" s="228"/>
      <c r="P264" s="229"/>
      <c r="Q264" s="229"/>
      <c r="R264" s="229"/>
      <c r="S264" s="230"/>
      <c r="T264" s="231"/>
      <c r="U264" s="231"/>
      <c r="V264" s="231"/>
      <c r="W264" s="232"/>
      <c r="X264" s="82"/>
    </row>
    <row r="265" spans="2:24" ht="14.25" customHeight="1" x14ac:dyDescent="0.25">
      <c r="B265" s="82"/>
      <c r="C265" s="242"/>
      <c r="D265" s="83"/>
      <c r="E265" s="83"/>
      <c r="F265" s="83"/>
      <c r="G265" s="83"/>
      <c r="H265" s="227"/>
      <c r="I265" s="225"/>
      <c r="J265" s="225"/>
      <c r="K265" s="226"/>
      <c r="L265" s="227"/>
      <c r="M265" s="227"/>
      <c r="N265" s="228"/>
      <c r="O265" s="228"/>
      <c r="P265" s="229"/>
      <c r="Q265" s="229"/>
      <c r="R265" s="229"/>
      <c r="S265" s="230"/>
      <c r="T265" s="231"/>
      <c r="U265" s="231"/>
      <c r="V265" s="231"/>
      <c r="W265" s="232"/>
      <c r="X265" s="82"/>
    </row>
    <row r="266" spans="2:24" ht="14.25" customHeight="1" x14ac:dyDescent="0.25">
      <c r="B266" s="82"/>
      <c r="C266" s="242"/>
      <c r="D266" s="83"/>
      <c r="E266" s="83"/>
      <c r="F266" s="83"/>
      <c r="G266" s="83"/>
      <c r="H266" s="227"/>
      <c r="I266" s="225"/>
      <c r="J266" s="225"/>
      <c r="K266" s="226"/>
      <c r="L266" s="227"/>
      <c r="M266" s="227"/>
      <c r="N266" s="228"/>
      <c r="O266" s="228"/>
      <c r="P266" s="229"/>
      <c r="Q266" s="229"/>
      <c r="R266" s="229"/>
      <c r="S266" s="230"/>
      <c r="T266" s="231"/>
      <c r="U266" s="231"/>
      <c r="V266" s="231"/>
      <c r="W266" s="232"/>
      <c r="X266" s="82"/>
    </row>
    <row r="267" spans="2:24" ht="14.25" customHeight="1" x14ac:dyDescent="0.25">
      <c r="B267" s="82"/>
      <c r="C267" s="242"/>
      <c r="D267" s="83"/>
      <c r="E267" s="83"/>
      <c r="F267" s="83"/>
      <c r="G267" s="83"/>
      <c r="H267" s="227"/>
      <c r="I267" s="225"/>
      <c r="J267" s="225"/>
      <c r="K267" s="226"/>
      <c r="L267" s="227"/>
      <c r="M267" s="227"/>
      <c r="N267" s="228"/>
      <c r="O267" s="228"/>
      <c r="P267" s="229"/>
      <c r="Q267" s="229"/>
      <c r="R267" s="229"/>
      <c r="S267" s="230"/>
      <c r="T267" s="231"/>
      <c r="U267" s="231"/>
      <c r="V267" s="231"/>
      <c r="W267" s="232"/>
      <c r="X267" s="82"/>
    </row>
    <row r="268" spans="2:24" ht="14.25" customHeight="1" x14ac:dyDescent="0.25">
      <c r="B268" s="82"/>
      <c r="C268" s="242"/>
      <c r="D268" s="83"/>
      <c r="E268" s="83"/>
      <c r="F268" s="83"/>
      <c r="G268" s="83"/>
      <c r="H268" s="227"/>
      <c r="I268" s="225"/>
      <c r="J268" s="225"/>
      <c r="K268" s="226"/>
      <c r="L268" s="227"/>
      <c r="M268" s="227"/>
      <c r="N268" s="228"/>
      <c r="O268" s="228"/>
      <c r="P268" s="229"/>
      <c r="Q268" s="229"/>
      <c r="R268" s="229"/>
      <c r="S268" s="230"/>
      <c r="T268" s="231"/>
      <c r="U268" s="231"/>
      <c r="V268" s="231"/>
      <c r="W268" s="232"/>
      <c r="X268" s="82"/>
    </row>
    <row r="269" spans="2:24" ht="14.25" customHeight="1" x14ac:dyDescent="0.25">
      <c r="B269" s="82"/>
      <c r="C269" s="242"/>
      <c r="D269" s="83"/>
      <c r="E269" s="83"/>
      <c r="F269" s="83"/>
      <c r="G269" s="83"/>
      <c r="H269" s="227"/>
      <c r="I269" s="225"/>
      <c r="J269" s="225"/>
      <c r="K269" s="226"/>
      <c r="L269" s="227"/>
      <c r="M269" s="227"/>
      <c r="N269" s="228"/>
      <c r="O269" s="228"/>
      <c r="P269" s="229"/>
      <c r="Q269" s="229"/>
      <c r="R269" s="229"/>
      <c r="S269" s="230"/>
      <c r="T269" s="231"/>
      <c r="U269" s="231"/>
      <c r="V269" s="231"/>
      <c r="W269" s="232"/>
      <c r="X269" s="82"/>
    </row>
    <row r="270" spans="2:24" ht="14.25" customHeight="1" x14ac:dyDescent="0.25">
      <c r="B270" s="82"/>
      <c r="C270" s="242"/>
      <c r="D270" s="83"/>
      <c r="E270" s="83"/>
      <c r="F270" s="83"/>
      <c r="G270" s="83"/>
      <c r="H270" s="227"/>
      <c r="I270" s="225"/>
      <c r="J270" s="225"/>
      <c r="K270" s="226"/>
      <c r="L270" s="227"/>
      <c r="M270" s="227"/>
      <c r="N270" s="228"/>
      <c r="O270" s="228"/>
      <c r="P270" s="229"/>
      <c r="Q270" s="229"/>
      <c r="R270" s="229"/>
      <c r="S270" s="230"/>
      <c r="T270" s="231"/>
      <c r="U270" s="231"/>
      <c r="V270" s="231"/>
      <c r="W270" s="232"/>
      <c r="X270" s="82"/>
    </row>
    <row r="271" spans="2:24" ht="14.25" customHeight="1" x14ac:dyDescent="0.25">
      <c r="B271" s="82"/>
      <c r="C271" s="242"/>
      <c r="D271" s="83"/>
      <c r="E271" s="83"/>
      <c r="F271" s="83"/>
      <c r="G271" s="83"/>
      <c r="H271" s="227"/>
      <c r="I271" s="225"/>
      <c r="J271" s="225"/>
      <c r="K271" s="226"/>
      <c r="L271" s="227"/>
      <c r="M271" s="227"/>
      <c r="N271" s="228"/>
      <c r="O271" s="228"/>
      <c r="P271" s="229"/>
      <c r="Q271" s="229"/>
      <c r="R271" s="229"/>
      <c r="S271" s="230"/>
      <c r="T271" s="231"/>
      <c r="U271" s="231"/>
      <c r="V271" s="231"/>
      <c r="W271" s="232"/>
      <c r="X271" s="82"/>
    </row>
    <row r="272" spans="2:24" ht="14.25" customHeight="1" x14ac:dyDescent="0.25">
      <c r="B272" s="82"/>
      <c r="C272" s="242"/>
      <c r="D272" s="83"/>
      <c r="E272" s="83"/>
      <c r="F272" s="83"/>
      <c r="G272" s="83"/>
      <c r="H272" s="227"/>
      <c r="I272" s="225"/>
      <c r="J272" s="225"/>
      <c r="K272" s="226"/>
      <c r="L272" s="227"/>
      <c r="M272" s="227"/>
      <c r="N272" s="228"/>
      <c r="O272" s="228"/>
      <c r="P272" s="229"/>
      <c r="Q272" s="229"/>
      <c r="R272" s="229"/>
      <c r="S272" s="230"/>
      <c r="T272" s="231"/>
      <c r="U272" s="231"/>
      <c r="V272" s="231"/>
      <c r="W272" s="232"/>
      <c r="X272" s="82"/>
    </row>
    <row r="273" spans="2:24" ht="14.25" customHeight="1" x14ac:dyDescent="0.25">
      <c r="B273" s="82"/>
      <c r="C273" s="242"/>
      <c r="D273" s="83"/>
      <c r="E273" s="83"/>
      <c r="F273" s="83"/>
      <c r="G273" s="83"/>
      <c r="H273" s="227"/>
      <c r="I273" s="225"/>
      <c r="J273" s="225"/>
      <c r="K273" s="226"/>
      <c r="L273" s="227"/>
      <c r="M273" s="227"/>
      <c r="N273" s="228"/>
      <c r="O273" s="228"/>
      <c r="P273" s="229"/>
      <c r="Q273" s="229"/>
      <c r="R273" s="229"/>
      <c r="S273" s="230"/>
      <c r="T273" s="231"/>
      <c r="U273" s="231"/>
      <c r="V273" s="231"/>
      <c r="W273" s="232"/>
      <c r="X273" s="82"/>
    </row>
    <row r="274" spans="2:24" ht="14.25" customHeight="1" x14ac:dyDescent="0.25">
      <c r="B274" s="82"/>
      <c r="C274" s="242"/>
      <c r="D274" s="83"/>
      <c r="E274" s="83"/>
      <c r="F274" s="83"/>
      <c r="G274" s="83"/>
      <c r="H274" s="227"/>
      <c r="I274" s="225"/>
      <c r="J274" s="225"/>
      <c r="K274" s="226"/>
      <c r="L274" s="227"/>
      <c r="M274" s="227"/>
      <c r="N274" s="228"/>
      <c r="O274" s="228"/>
      <c r="P274" s="229"/>
      <c r="Q274" s="229"/>
      <c r="R274" s="229"/>
      <c r="S274" s="230"/>
      <c r="T274" s="231"/>
      <c r="U274" s="231"/>
      <c r="V274" s="231"/>
      <c r="W274" s="232"/>
      <c r="X274" s="82"/>
    </row>
    <row r="275" spans="2:24" ht="14.25" customHeight="1" x14ac:dyDescent="0.25">
      <c r="B275" s="82"/>
      <c r="C275" s="242"/>
      <c r="D275" s="83"/>
      <c r="E275" s="83"/>
      <c r="F275" s="83"/>
      <c r="G275" s="83"/>
      <c r="H275" s="227"/>
      <c r="I275" s="225"/>
      <c r="J275" s="225"/>
      <c r="K275" s="226"/>
      <c r="L275" s="227"/>
      <c r="M275" s="227"/>
      <c r="N275" s="228"/>
      <c r="O275" s="228"/>
      <c r="P275" s="229"/>
      <c r="Q275" s="229"/>
      <c r="R275" s="229"/>
      <c r="S275" s="230"/>
      <c r="T275" s="231"/>
      <c r="U275" s="231"/>
      <c r="V275" s="231"/>
      <c r="W275" s="232"/>
      <c r="X275" s="82"/>
    </row>
    <row r="276" spans="2:24" ht="14.25" customHeight="1" x14ac:dyDescent="0.25">
      <c r="B276" s="82"/>
      <c r="C276" s="242"/>
      <c r="D276" s="83"/>
      <c r="E276" s="83"/>
      <c r="F276" s="83"/>
      <c r="G276" s="83"/>
      <c r="H276" s="227"/>
      <c r="I276" s="225"/>
      <c r="J276" s="225"/>
      <c r="K276" s="226"/>
      <c r="L276" s="227"/>
      <c r="M276" s="227"/>
      <c r="N276" s="228"/>
      <c r="O276" s="228"/>
      <c r="P276" s="229"/>
      <c r="Q276" s="229"/>
      <c r="R276" s="229"/>
      <c r="S276" s="230"/>
      <c r="T276" s="231"/>
      <c r="U276" s="231"/>
      <c r="V276" s="231"/>
      <c r="W276" s="232"/>
      <c r="X276" s="82"/>
    </row>
    <row r="277" spans="2:24" ht="14.25" customHeight="1" x14ac:dyDescent="0.25">
      <c r="B277" s="82"/>
      <c r="C277" s="242"/>
      <c r="D277" s="83"/>
      <c r="E277" s="83"/>
      <c r="F277" s="83"/>
      <c r="G277" s="83"/>
      <c r="H277" s="227"/>
      <c r="I277" s="225"/>
      <c r="J277" s="225"/>
      <c r="K277" s="226"/>
      <c r="L277" s="227"/>
      <c r="M277" s="227"/>
      <c r="N277" s="228"/>
      <c r="O277" s="228"/>
      <c r="P277" s="229"/>
      <c r="Q277" s="229"/>
      <c r="R277" s="229"/>
      <c r="S277" s="230"/>
      <c r="T277" s="231"/>
      <c r="U277" s="231"/>
      <c r="V277" s="231"/>
      <c r="W277" s="232"/>
      <c r="X277" s="82"/>
    </row>
    <row r="278" spans="2:24" ht="14.25" customHeight="1" x14ac:dyDescent="0.25">
      <c r="B278" s="82"/>
      <c r="C278" s="242"/>
      <c r="D278" s="83"/>
      <c r="E278" s="83"/>
      <c r="F278" s="83"/>
      <c r="G278" s="83"/>
      <c r="H278" s="227"/>
      <c r="I278" s="225"/>
      <c r="J278" s="225"/>
      <c r="K278" s="226"/>
      <c r="L278" s="227"/>
      <c r="M278" s="227"/>
      <c r="N278" s="228"/>
      <c r="O278" s="228"/>
      <c r="P278" s="229"/>
      <c r="Q278" s="229"/>
      <c r="R278" s="229"/>
      <c r="S278" s="230"/>
      <c r="T278" s="231"/>
      <c r="U278" s="231"/>
      <c r="V278" s="231"/>
      <c r="W278" s="232"/>
      <c r="X278" s="82"/>
    </row>
    <row r="279" spans="2:24" ht="14.25" customHeight="1" x14ac:dyDescent="0.25">
      <c r="B279" s="82"/>
      <c r="C279" s="242"/>
      <c r="D279" s="83"/>
      <c r="E279" s="83"/>
      <c r="F279" s="83"/>
      <c r="G279" s="83"/>
      <c r="H279" s="227"/>
      <c r="I279" s="225"/>
      <c r="J279" s="225"/>
      <c r="K279" s="226"/>
      <c r="L279" s="227"/>
      <c r="M279" s="227"/>
      <c r="N279" s="228"/>
      <c r="O279" s="228"/>
      <c r="P279" s="229"/>
      <c r="Q279" s="229"/>
      <c r="R279" s="229"/>
      <c r="S279" s="230"/>
      <c r="T279" s="231"/>
      <c r="U279" s="231"/>
      <c r="V279" s="231"/>
      <c r="W279" s="232"/>
      <c r="X279" s="82"/>
    </row>
    <row r="280" spans="2:24" ht="14.25" customHeight="1" x14ac:dyDescent="0.25">
      <c r="B280" s="82"/>
      <c r="C280" s="242"/>
      <c r="D280" s="83"/>
      <c r="E280" s="83"/>
      <c r="F280" s="83"/>
      <c r="G280" s="83"/>
      <c r="H280" s="227"/>
      <c r="I280" s="225"/>
      <c r="J280" s="225"/>
      <c r="K280" s="226"/>
      <c r="L280" s="227"/>
      <c r="M280" s="227"/>
      <c r="N280" s="228"/>
      <c r="O280" s="228"/>
      <c r="P280" s="229"/>
      <c r="Q280" s="229"/>
      <c r="R280" s="229"/>
      <c r="S280" s="230"/>
      <c r="T280" s="231"/>
      <c r="U280" s="231"/>
      <c r="V280" s="231"/>
      <c r="W280" s="232"/>
      <c r="X280" s="82"/>
    </row>
    <row r="281" spans="2:24" ht="14.25" customHeight="1" x14ac:dyDescent="0.25">
      <c r="B281" s="82"/>
      <c r="C281" s="242"/>
      <c r="D281" s="83"/>
      <c r="E281" s="83"/>
      <c r="F281" s="83"/>
      <c r="G281" s="83"/>
      <c r="H281" s="227"/>
      <c r="I281" s="225"/>
      <c r="J281" s="225"/>
      <c r="K281" s="226"/>
      <c r="L281" s="227"/>
      <c r="M281" s="227"/>
      <c r="N281" s="228"/>
      <c r="O281" s="228"/>
      <c r="P281" s="229"/>
      <c r="Q281" s="229"/>
      <c r="R281" s="229"/>
      <c r="S281" s="230"/>
      <c r="T281" s="231"/>
      <c r="U281" s="231"/>
      <c r="V281" s="231"/>
      <c r="W281" s="232"/>
      <c r="X281" s="82"/>
    </row>
    <row r="282" spans="2:24" ht="14.25" customHeight="1" x14ac:dyDescent="0.25">
      <c r="B282" s="82"/>
      <c r="C282" s="242"/>
      <c r="D282" s="83"/>
      <c r="E282" s="83"/>
      <c r="F282" s="83"/>
      <c r="G282" s="83"/>
      <c r="H282" s="227"/>
      <c r="I282" s="225"/>
      <c r="J282" s="225"/>
      <c r="K282" s="226"/>
      <c r="L282" s="227"/>
      <c r="M282" s="227"/>
      <c r="N282" s="228"/>
      <c r="O282" s="228"/>
      <c r="P282" s="229"/>
      <c r="Q282" s="229"/>
      <c r="R282" s="229"/>
      <c r="S282" s="230"/>
      <c r="T282" s="231"/>
      <c r="U282" s="231"/>
      <c r="V282" s="231"/>
      <c r="W282" s="232"/>
      <c r="X282" s="82"/>
    </row>
    <row r="283" spans="2:24" ht="14.25" customHeight="1" x14ac:dyDescent="0.25">
      <c r="B283" s="82"/>
      <c r="C283" s="242"/>
      <c r="D283" s="83"/>
      <c r="E283" s="83"/>
      <c r="F283" s="83"/>
      <c r="G283" s="83"/>
      <c r="H283" s="227"/>
      <c r="I283" s="225"/>
      <c r="J283" s="225"/>
      <c r="K283" s="226"/>
      <c r="L283" s="227"/>
      <c r="M283" s="227"/>
      <c r="N283" s="228"/>
      <c r="O283" s="228"/>
      <c r="P283" s="229"/>
      <c r="Q283" s="229"/>
      <c r="R283" s="229"/>
      <c r="S283" s="230"/>
      <c r="T283" s="231"/>
      <c r="U283" s="231"/>
      <c r="V283" s="231"/>
      <c r="W283" s="232"/>
      <c r="X283" s="82"/>
    </row>
    <row r="284" spans="2:24" ht="14.25" customHeight="1" x14ac:dyDescent="0.25">
      <c r="B284" s="82"/>
      <c r="C284" s="242"/>
      <c r="D284" s="83"/>
      <c r="E284" s="83"/>
      <c r="F284" s="83"/>
      <c r="G284" s="83"/>
      <c r="H284" s="227"/>
      <c r="I284" s="225"/>
      <c r="J284" s="225"/>
      <c r="K284" s="226"/>
      <c r="L284" s="227"/>
      <c r="M284" s="227"/>
      <c r="N284" s="228"/>
      <c r="O284" s="228"/>
      <c r="P284" s="229"/>
      <c r="Q284" s="229"/>
      <c r="R284" s="229"/>
      <c r="S284" s="230"/>
      <c r="T284" s="231"/>
      <c r="U284" s="231"/>
      <c r="V284" s="231"/>
      <c r="W284" s="232"/>
      <c r="X284" s="82"/>
    </row>
    <row r="285" spans="2:24" ht="14.25" customHeight="1" x14ac:dyDescent="0.25">
      <c r="B285" s="82"/>
      <c r="C285" s="242"/>
      <c r="D285" s="83"/>
      <c r="E285" s="83"/>
      <c r="F285" s="83"/>
      <c r="G285" s="83"/>
      <c r="H285" s="227"/>
      <c r="I285" s="225"/>
      <c r="J285" s="225"/>
      <c r="K285" s="226"/>
      <c r="L285" s="227"/>
      <c r="M285" s="227"/>
      <c r="N285" s="228"/>
      <c r="O285" s="228"/>
      <c r="P285" s="229"/>
      <c r="Q285" s="229"/>
      <c r="R285" s="229"/>
      <c r="S285" s="230"/>
      <c r="T285" s="231"/>
      <c r="U285" s="231"/>
      <c r="V285" s="231"/>
      <c r="W285" s="232"/>
      <c r="X285" s="82"/>
    </row>
    <row r="286" spans="2:24" ht="14.25" customHeight="1" x14ac:dyDescent="0.25">
      <c r="B286" s="82"/>
      <c r="C286" s="242"/>
      <c r="D286" s="83"/>
      <c r="E286" s="83"/>
      <c r="F286" s="83"/>
      <c r="G286" s="83"/>
      <c r="H286" s="227"/>
      <c r="I286" s="225"/>
      <c r="J286" s="225"/>
      <c r="K286" s="226"/>
      <c r="L286" s="227"/>
      <c r="M286" s="227"/>
      <c r="N286" s="228"/>
      <c r="O286" s="228"/>
      <c r="P286" s="229"/>
      <c r="Q286" s="229"/>
      <c r="R286" s="229"/>
      <c r="S286" s="230"/>
      <c r="T286" s="231"/>
      <c r="U286" s="231"/>
      <c r="V286" s="231"/>
      <c r="W286" s="232"/>
      <c r="X286" s="82"/>
    </row>
    <row r="287" spans="2:24" ht="14.25" customHeight="1" x14ac:dyDescent="0.25">
      <c r="B287" s="82"/>
      <c r="C287" s="242"/>
      <c r="D287" s="83"/>
      <c r="E287" s="83"/>
      <c r="F287" s="83"/>
      <c r="G287" s="83"/>
      <c r="H287" s="227"/>
      <c r="I287" s="225"/>
      <c r="J287" s="225"/>
      <c r="K287" s="226"/>
      <c r="L287" s="227"/>
      <c r="M287" s="227"/>
      <c r="N287" s="228"/>
      <c r="O287" s="228"/>
      <c r="P287" s="229"/>
      <c r="Q287" s="229"/>
      <c r="R287" s="229"/>
      <c r="S287" s="230"/>
      <c r="T287" s="231"/>
      <c r="U287" s="231"/>
      <c r="V287" s="231"/>
      <c r="W287" s="232"/>
      <c r="X287" s="82"/>
    </row>
    <row r="288" spans="2:24" ht="14.25" customHeight="1" x14ac:dyDescent="0.25">
      <c r="B288" s="82"/>
      <c r="C288" s="242"/>
      <c r="D288" s="83"/>
      <c r="E288" s="83"/>
      <c r="F288" s="83"/>
      <c r="G288" s="83"/>
      <c r="H288" s="227"/>
      <c r="I288" s="225"/>
      <c r="J288" s="225"/>
      <c r="K288" s="226"/>
      <c r="L288" s="227"/>
      <c r="M288" s="227"/>
      <c r="N288" s="228"/>
      <c r="O288" s="228"/>
      <c r="P288" s="229"/>
      <c r="Q288" s="229"/>
      <c r="R288" s="229"/>
      <c r="S288" s="230"/>
      <c r="T288" s="231"/>
      <c r="U288" s="231"/>
      <c r="V288" s="231"/>
      <c r="W288" s="232"/>
      <c r="X288" s="82"/>
    </row>
    <row r="289" spans="2:24" ht="14.25" customHeight="1" x14ac:dyDescent="0.25">
      <c r="B289" s="82"/>
      <c r="C289" s="242"/>
      <c r="D289" s="83"/>
      <c r="E289" s="83"/>
      <c r="F289" s="83"/>
      <c r="G289" s="83"/>
      <c r="H289" s="227"/>
      <c r="I289" s="225"/>
      <c r="J289" s="225"/>
      <c r="K289" s="226"/>
      <c r="L289" s="227"/>
      <c r="M289" s="227"/>
      <c r="N289" s="228"/>
      <c r="O289" s="228"/>
      <c r="P289" s="229"/>
      <c r="Q289" s="229"/>
      <c r="R289" s="229"/>
      <c r="S289" s="230"/>
      <c r="T289" s="231"/>
      <c r="U289" s="231"/>
      <c r="V289" s="231"/>
      <c r="W289" s="232"/>
      <c r="X289" s="82"/>
    </row>
    <row r="290" spans="2:24" ht="14.25" customHeight="1" x14ac:dyDescent="0.25">
      <c r="B290" s="82"/>
      <c r="C290" s="242"/>
      <c r="D290" s="83"/>
      <c r="E290" s="83"/>
      <c r="F290" s="83"/>
      <c r="G290" s="83"/>
      <c r="H290" s="227"/>
      <c r="I290" s="225"/>
      <c r="J290" s="225"/>
      <c r="K290" s="226"/>
      <c r="L290" s="227"/>
      <c r="M290" s="227"/>
      <c r="N290" s="228"/>
      <c r="O290" s="228"/>
      <c r="P290" s="229"/>
      <c r="Q290" s="229"/>
      <c r="R290" s="229"/>
      <c r="S290" s="230"/>
      <c r="T290" s="231"/>
      <c r="U290" s="231"/>
      <c r="V290" s="231"/>
      <c r="W290" s="232"/>
      <c r="X290" s="82"/>
    </row>
    <row r="291" spans="2:24" ht="14.25" customHeight="1" x14ac:dyDescent="0.25">
      <c r="B291" s="82"/>
      <c r="C291" s="242"/>
      <c r="D291" s="83"/>
      <c r="E291" s="83"/>
      <c r="F291" s="83"/>
      <c r="G291" s="83"/>
      <c r="H291" s="227"/>
      <c r="I291" s="225"/>
      <c r="J291" s="225"/>
      <c r="K291" s="226"/>
      <c r="L291" s="227"/>
      <c r="M291" s="227"/>
      <c r="N291" s="228"/>
      <c r="O291" s="228"/>
      <c r="P291" s="229"/>
      <c r="Q291" s="229"/>
      <c r="R291" s="229"/>
      <c r="S291" s="230"/>
      <c r="T291" s="231"/>
      <c r="U291" s="231"/>
      <c r="V291" s="231"/>
      <c r="W291" s="232"/>
      <c r="X291" s="82"/>
    </row>
    <row r="292" spans="2:24" ht="14.25" customHeight="1" x14ac:dyDescent="0.25">
      <c r="B292" s="82"/>
      <c r="C292" s="242"/>
      <c r="D292" s="83"/>
      <c r="E292" s="83"/>
      <c r="F292" s="83"/>
      <c r="G292" s="83"/>
      <c r="H292" s="227"/>
      <c r="I292" s="225"/>
      <c r="J292" s="225"/>
      <c r="K292" s="226"/>
      <c r="L292" s="227"/>
      <c r="M292" s="227"/>
      <c r="N292" s="228"/>
      <c r="O292" s="228"/>
      <c r="P292" s="229"/>
      <c r="Q292" s="229"/>
      <c r="R292" s="229"/>
      <c r="S292" s="230"/>
      <c r="T292" s="231"/>
      <c r="U292" s="231"/>
      <c r="V292" s="231"/>
      <c r="W292" s="232"/>
      <c r="X292" s="82"/>
    </row>
    <row r="293" spans="2:24" ht="14.25" customHeight="1" x14ac:dyDescent="0.25">
      <c r="B293" s="82"/>
      <c r="C293" s="242"/>
      <c r="D293" s="83"/>
      <c r="E293" s="83"/>
      <c r="F293" s="83"/>
      <c r="G293" s="83"/>
      <c r="H293" s="227"/>
      <c r="I293" s="225"/>
      <c r="J293" s="225"/>
      <c r="K293" s="226"/>
      <c r="L293" s="227"/>
      <c r="M293" s="227"/>
      <c r="N293" s="228"/>
      <c r="O293" s="228"/>
      <c r="P293" s="229"/>
      <c r="Q293" s="229"/>
      <c r="R293" s="229"/>
      <c r="S293" s="230"/>
      <c r="T293" s="231"/>
      <c r="U293" s="231"/>
      <c r="V293" s="231"/>
      <c r="W293" s="232"/>
      <c r="X293" s="82"/>
    </row>
    <row r="294" spans="2:24" ht="14.25" customHeight="1" x14ac:dyDescent="0.25">
      <c r="B294" s="82"/>
      <c r="C294" s="242"/>
      <c r="D294" s="83"/>
      <c r="E294" s="83"/>
      <c r="F294" s="83"/>
      <c r="G294" s="83"/>
      <c r="H294" s="227"/>
      <c r="I294" s="225"/>
      <c r="J294" s="225"/>
      <c r="K294" s="226"/>
      <c r="L294" s="227"/>
      <c r="M294" s="227"/>
      <c r="N294" s="228"/>
      <c r="O294" s="228"/>
      <c r="P294" s="229"/>
      <c r="Q294" s="229"/>
      <c r="R294" s="229"/>
      <c r="S294" s="230"/>
      <c r="T294" s="231"/>
      <c r="U294" s="231"/>
      <c r="V294" s="231"/>
      <c r="W294" s="232"/>
      <c r="X294" s="82"/>
    </row>
    <row r="295" spans="2:24" ht="14.25" customHeight="1" x14ac:dyDescent="0.25">
      <c r="B295" s="82"/>
      <c r="C295" s="242"/>
      <c r="D295" s="83"/>
      <c r="E295" s="83"/>
      <c r="F295" s="83"/>
      <c r="G295" s="83"/>
      <c r="H295" s="227"/>
      <c r="I295" s="225"/>
      <c r="J295" s="225"/>
      <c r="K295" s="226"/>
      <c r="L295" s="227"/>
      <c r="M295" s="227"/>
      <c r="N295" s="228"/>
      <c r="O295" s="228"/>
      <c r="P295" s="229"/>
      <c r="Q295" s="229"/>
      <c r="R295" s="229"/>
      <c r="S295" s="230"/>
      <c r="T295" s="231"/>
      <c r="U295" s="231"/>
      <c r="V295" s="231"/>
      <c r="W295" s="232"/>
      <c r="X295" s="82"/>
    </row>
    <row r="296" spans="2:24" ht="14.25" customHeight="1" x14ac:dyDescent="0.25">
      <c r="B296" s="82"/>
      <c r="C296" s="242"/>
      <c r="D296" s="83"/>
      <c r="E296" s="83"/>
      <c r="F296" s="83"/>
      <c r="G296" s="83"/>
      <c r="H296" s="227"/>
      <c r="I296" s="225"/>
      <c r="J296" s="225"/>
      <c r="K296" s="226"/>
      <c r="L296" s="227"/>
      <c r="M296" s="227"/>
      <c r="N296" s="228"/>
      <c r="O296" s="228"/>
      <c r="P296" s="229"/>
      <c r="Q296" s="229"/>
      <c r="R296" s="229"/>
      <c r="S296" s="230"/>
      <c r="T296" s="231"/>
      <c r="U296" s="231"/>
      <c r="V296" s="231"/>
      <c r="W296" s="232"/>
      <c r="X296" s="82"/>
    </row>
    <row r="297" spans="2:24" ht="14.25" customHeight="1" x14ac:dyDescent="0.25">
      <c r="B297" s="82"/>
      <c r="C297" s="242"/>
      <c r="D297" s="83"/>
      <c r="E297" s="83"/>
      <c r="F297" s="83"/>
      <c r="G297" s="83"/>
      <c r="H297" s="227"/>
      <c r="I297" s="225"/>
      <c r="J297" s="225"/>
      <c r="K297" s="226"/>
      <c r="L297" s="227"/>
      <c r="M297" s="227"/>
      <c r="N297" s="228"/>
      <c r="O297" s="228"/>
      <c r="P297" s="229"/>
      <c r="Q297" s="229"/>
      <c r="R297" s="229"/>
      <c r="S297" s="230"/>
      <c r="T297" s="231"/>
      <c r="U297" s="231"/>
      <c r="V297" s="231"/>
      <c r="W297" s="232"/>
      <c r="X297" s="82"/>
    </row>
    <row r="298" spans="2:24" ht="14.25" customHeight="1" x14ac:dyDescent="0.25">
      <c r="B298" s="82"/>
      <c r="C298" s="242"/>
      <c r="D298" s="83"/>
      <c r="E298" s="83"/>
      <c r="F298" s="83"/>
      <c r="G298" s="83"/>
      <c r="H298" s="227"/>
      <c r="I298" s="225"/>
      <c r="J298" s="225"/>
      <c r="K298" s="226"/>
      <c r="L298" s="227"/>
      <c r="M298" s="227"/>
      <c r="N298" s="228"/>
      <c r="O298" s="228"/>
      <c r="P298" s="229"/>
      <c r="Q298" s="229"/>
      <c r="R298" s="229"/>
      <c r="S298" s="230"/>
      <c r="T298" s="231"/>
      <c r="U298" s="231"/>
      <c r="V298" s="231"/>
      <c r="W298" s="232"/>
      <c r="X298" s="82"/>
    </row>
    <row r="299" spans="2:24" ht="14.25" customHeight="1" x14ac:dyDescent="0.25">
      <c r="B299" s="82"/>
      <c r="C299" s="242"/>
      <c r="D299" s="83"/>
      <c r="E299" s="83"/>
      <c r="F299" s="83"/>
      <c r="G299" s="83"/>
      <c r="H299" s="227"/>
      <c r="I299" s="225"/>
      <c r="J299" s="225"/>
      <c r="K299" s="226"/>
      <c r="L299" s="227"/>
      <c r="M299" s="227"/>
      <c r="N299" s="228"/>
      <c r="O299" s="228"/>
      <c r="P299" s="229"/>
      <c r="Q299" s="229"/>
      <c r="R299" s="229"/>
      <c r="S299" s="230"/>
      <c r="T299" s="231"/>
      <c r="U299" s="231"/>
      <c r="V299" s="231"/>
      <c r="W299" s="232"/>
      <c r="X299" s="82"/>
    </row>
    <row r="300" spans="2:24" ht="14.25" customHeight="1" x14ac:dyDescent="0.25">
      <c r="B300" s="82"/>
      <c r="C300" s="242"/>
      <c r="D300" s="83"/>
      <c r="E300" s="83"/>
      <c r="F300" s="83"/>
      <c r="G300" s="83"/>
      <c r="H300" s="227"/>
      <c r="I300" s="225"/>
      <c r="J300" s="225"/>
      <c r="K300" s="226"/>
      <c r="L300" s="227"/>
      <c r="M300" s="227"/>
      <c r="N300" s="228"/>
      <c r="O300" s="228"/>
      <c r="P300" s="229"/>
      <c r="Q300" s="229"/>
      <c r="R300" s="229"/>
      <c r="S300" s="230"/>
      <c r="T300" s="231"/>
      <c r="U300" s="231"/>
      <c r="V300" s="231"/>
      <c r="W300" s="232"/>
      <c r="X300" s="82"/>
    </row>
    <row r="301" spans="2:24" ht="14.25" customHeight="1" x14ac:dyDescent="0.25">
      <c r="B301" s="82"/>
      <c r="C301" s="242"/>
      <c r="D301" s="83"/>
      <c r="E301" s="83"/>
      <c r="F301" s="83"/>
      <c r="G301" s="83"/>
      <c r="H301" s="227"/>
      <c r="I301" s="225"/>
      <c r="J301" s="225"/>
      <c r="K301" s="226"/>
      <c r="L301" s="227"/>
      <c r="M301" s="227"/>
      <c r="N301" s="228"/>
      <c r="O301" s="228"/>
      <c r="P301" s="229"/>
      <c r="Q301" s="229"/>
      <c r="R301" s="229"/>
      <c r="S301" s="230"/>
      <c r="T301" s="231"/>
      <c r="U301" s="231"/>
      <c r="V301" s="231"/>
      <c r="W301" s="232"/>
      <c r="X301" s="82"/>
    </row>
    <row r="302" spans="2:24" ht="14.25" customHeight="1" x14ac:dyDescent="0.25">
      <c r="B302" s="82"/>
      <c r="C302" s="242"/>
      <c r="D302" s="83"/>
      <c r="E302" s="83"/>
      <c r="F302" s="83"/>
      <c r="G302" s="83"/>
      <c r="H302" s="227"/>
      <c r="I302" s="225"/>
      <c r="J302" s="225"/>
      <c r="K302" s="226"/>
      <c r="L302" s="227"/>
      <c r="M302" s="227"/>
      <c r="N302" s="228"/>
      <c r="O302" s="228"/>
      <c r="P302" s="229"/>
      <c r="Q302" s="229"/>
      <c r="R302" s="229"/>
      <c r="S302" s="230"/>
      <c r="T302" s="231"/>
      <c r="U302" s="231"/>
      <c r="V302" s="231"/>
      <c r="W302" s="232"/>
      <c r="X302" s="82"/>
    </row>
    <row r="303" spans="2:24" ht="14.25" customHeight="1" x14ac:dyDescent="0.25">
      <c r="B303" s="82"/>
      <c r="C303" s="242"/>
      <c r="D303" s="83"/>
      <c r="E303" s="83"/>
      <c r="F303" s="83"/>
      <c r="G303" s="83"/>
      <c r="H303" s="227"/>
      <c r="I303" s="225"/>
      <c r="J303" s="225"/>
      <c r="K303" s="226"/>
      <c r="L303" s="227"/>
      <c r="M303" s="227"/>
      <c r="N303" s="228"/>
      <c r="O303" s="228"/>
      <c r="P303" s="229"/>
      <c r="Q303" s="229"/>
      <c r="R303" s="229"/>
      <c r="S303" s="230"/>
      <c r="T303" s="231"/>
      <c r="U303" s="231"/>
      <c r="V303" s="231"/>
      <c r="W303" s="232"/>
      <c r="X303" s="82"/>
    </row>
    <row r="304" spans="2:24" ht="14.25" customHeight="1" x14ac:dyDescent="0.25">
      <c r="B304" s="82"/>
      <c r="C304" s="242"/>
      <c r="D304" s="83"/>
      <c r="E304" s="83"/>
      <c r="F304" s="83"/>
      <c r="G304" s="83"/>
      <c r="H304" s="227"/>
      <c r="I304" s="225"/>
      <c r="J304" s="225"/>
      <c r="K304" s="226"/>
      <c r="L304" s="227"/>
      <c r="M304" s="227"/>
      <c r="N304" s="228"/>
      <c r="O304" s="228"/>
      <c r="P304" s="229"/>
      <c r="Q304" s="229"/>
      <c r="R304" s="229"/>
      <c r="S304" s="230"/>
      <c r="T304" s="231"/>
      <c r="U304" s="231"/>
      <c r="V304" s="231"/>
      <c r="W304" s="232"/>
      <c r="X304" s="82"/>
    </row>
    <row r="305" spans="2:24" ht="14.25" customHeight="1" x14ac:dyDescent="0.25">
      <c r="B305" s="82"/>
      <c r="C305" s="242"/>
      <c r="D305" s="83"/>
      <c r="E305" s="83"/>
      <c r="F305" s="83"/>
      <c r="G305" s="83"/>
      <c r="H305" s="227"/>
      <c r="I305" s="225"/>
      <c r="J305" s="225"/>
      <c r="K305" s="226"/>
      <c r="L305" s="227"/>
      <c r="M305" s="227"/>
      <c r="N305" s="228"/>
      <c r="O305" s="228"/>
      <c r="P305" s="229"/>
      <c r="Q305" s="229"/>
      <c r="R305" s="229"/>
      <c r="S305" s="230"/>
      <c r="T305" s="231"/>
      <c r="U305" s="231"/>
      <c r="V305" s="231"/>
      <c r="W305" s="232"/>
      <c r="X305" s="82"/>
    </row>
    <row r="306" spans="2:24" ht="14.25" customHeight="1" x14ac:dyDescent="0.25">
      <c r="B306" s="82"/>
      <c r="C306" s="242"/>
      <c r="D306" s="83"/>
      <c r="E306" s="83"/>
      <c r="F306" s="83"/>
      <c r="G306" s="83"/>
      <c r="H306" s="227"/>
      <c r="I306" s="225"/>
      <c r="J306" s="225"/>
      <c r="K306" s="226"/>
      <c r="L306" s="227"/>
      <c r="M306" s="227"/>
      <c r="N306" s="228"/>
      <c r="O306" s="228"/>
      <c r="P306" s="229"/>
      <c r="Q306" s="229"/>
      <c r="R306" s="229"/>
      <c r="S306" s="230"/>
      <c r="T306" s="231"/>
      <c r="U306" s="231"/>
      <c r="V306" s="231"/>
      <c r="W306" s="232"/>
      <c r="X306" s="82"/>
    </row>
    <row r="307" spans="2:24" ht="14.25" customHeight="1" x14ac:dyDescent="0.25">
      <c r="B307" s="82"/>
      <c r="C307" s="242"/>
      <c r="D307" s="83"/>
      <c r="E307" s="83"/>
      <c r="F307" s="83"/>
      <c r="G307" s="83"/>
      <c r="H307" s="227"/>
      <c r="I307" s="225"/>
      <c r="J307" s="225"/>
      <c r="K307" s="226"/>
      <c r="L307" s="227"/>
      <c r="M307" s="227"/>
      <c r="N307" s="228"/>
      <c r="O307" s="228"/>
      <c r="P307" s="229"/>
      <c r="Q307" s="229"/>
      <c r="R307" s="229"/>
      <c r="S307" s="230"/>
      <c r="T307" s="231"/>
      <c r="U307" s="231"/>
      <c r="V307" s="231"/>
      <c r="W307" s="232"/>
      <c r="X307" s="82"/>
    </row>
    <row r="308" spans="2:24" ht="14.25" customHeight="1" x14ac:dyDescent="0.25">
      <c r="B308" s="82"/>
      <c r="C308" s="242"/>
      <c r="D308" s="83"/>
      <c r="E308" s="83"/>
      <c r="F308" s="83"/>
      <c r="G308" s="83"/>
      <c r="H308" s="227"/>
      <c r="I308" s="225"/>
      <c r="J308" s="225"/>
      <c r="K308" s="226"/>
      <c r="L308" s="227"/>
      <c r="M308" s="227"/>
      <c r="N308" s="228"/>
      <c r="O308" s="228"/>
      <c r="P308" s="229"/>
      <c r="Q308" s="229"/>
      <c r="R308" s="229"/>
      <c r="S308" s="230"/>
      <c r="T308" s="231"/>
      <c r="U308" s="231"/>
      <c r="V308" s="231"/>
      <c r="W308" s="232"/>
      <c r="X308" s="82"/>
    </row>
    <row r="309" spans="2:24" ht="14.25" customHeight="1" x14ac:dyDescent="0.25">
      <c r="B309" s="82"/>
      <c r="C309" s="242"/>
      <c r="D309" s="83"/>
      <c r="E309" s="83"/>
      <c r="F309" s="83"/>
      <c r="G309" s="83"/>
      <c r="H309" s="227"/>
      <c r="I309" s="225"/>
      <c r="J309" s="225"/>
      <c r="K309" s="226"/>
      <c r="L309" s="227"/>
      <c r="M309" s="227"/>
      <c r="N309" s="228"/>
      <c r="O309" s="228"/>
      <c r="P309" s="229"/>
      <c r="Q309" s="229"/>
      <c r="R309" s="229"/>
      <c r="S309" s="230"/>
      <c r="T309" s="231"/>
      <c r="U309" s="231"/>
      <c r="V309" s="231"/>
      <c r="W309" s="232"/>
      <c r="X309" s="82"/>
    </row>
    <row r="310" spans="2:24" ht="14.25" customHeight="1" x14ac:dyDescent="0.25">
      <c r="B310" s="82"/>
      <c r="C310" s="242"/>
      <c r="D310" s="83"/>
      <c r="E310" s="83"/>
      <c r="F310" s="83"/>
      <c r="G310" s="83"/>
      <c r="H310" s="227"/>
      <c r="I310" s="225"/>
      <c r="J310" s="225"/>
      <c r="K310" s="226"/>
      <c r="L310" s="227"/>
      <c r="M310" s="227"/>
      <c r="N310" s="228"/>
      <c r="O310" s="228"/>
      <c r="P310" s="229"/>
      <c r="Q310" s="229"/>
      <c r="R310" s="229"/>
      <c r="S310" s="230"/>
      <c r="T310" s="231"/>
      <c r="U310" s="231"/>
      <c r="V310" s="231"/>
      <c r="W310" s="232"/>
      <c r="X310" s="82"/>
    </row>
    <row r="311" spans="2:24" ht="14.25" customHeight="1" x14ac:dyDescent="0.25">
      <c r="B311" s="82"/>
      <c r="C311" s="242"/>
      <c r="D311" s="83"/>
      <c r="E311" s="83"/>
      <c r="F311" s="83"/>
      <c r="G311" s="83"/>
      <c r="H311" s="227"/>
      <c r="I311" s="225"/>
      <c r="J311" s="225"/>
      <c r="K311" s="226"/>
      <c r="L311" s="227"/>
      <c r="M311" s="227"/>
      <c r="N311" s="228"/>
      <c r="O311" s="228"/>
      <c r="P311" s="229"/>
      <c r="Q311" s="229"/>
      <c r="R311" s="229"/>
      <c r="S311" s="230"/>
      <c r="T311" s="231"/>
      <c r="U311" s="231"/>
      <c r="V311" s="231"/>
      <c r="W311" s="232"/>
      <c r="X311" s="82"/>
    </row>
    <row r="312" spans="2:24" ht="14.25" customHeight="1" x14ac:dyDescent="0.25">
      <c r="B312" s="82"/>
      <c r="C312" s="242"/>
      <c r="D312" s="83"/>
      <c r="E312" s="83"/>
      <c r="F312" s="83"/>
      <c r="G312" s="83"/>
      <c r="H312" s="227"/>
      <c r="I312" s="225"/>
      <c r="J312" s="225"/>
      <c r="K312" s="226"/>
      <c r="L312" s="227"/>
      <c r="M312" s="227"/>
      <c r="N312" s="228"/>
      <c r="O312" s="228"/>
      <c r="P312" s="229"/>
      <c r="Q312" s="229"/>
      <c r="R312" s="229"/>
      <c r="S312" s="230"/>
      <c r="T312" s="231"/>
      <c r="U312" s="231"/>
      <c r="V312" s="231"/>
      <c r="W312" s="232"/>
      <c r="X312" s="82"/>
    </row>
    <row r="313" spans="2:24" ht="14.25" customHeight="1" x14ac:dyDescent="0.25">
      <c r="B313" s="82"/>
      <c r="C313" s="242"/>
      <c r="D313" s="83"/>
      <c r="E313" s="83"/>
      <c r="F313" s="83"/>
      <c r="G313" s="83"/>
      <c r="H313" s="227"/>
      <c r="I313" s="225"/>
      <c r="J313" s="225"/>
      <c r="K313" s="226"/>
      <c r="L313" s="227"/>
      <c r="M313" s="227"/>
      <c r="N313" s="228"/>
      <c r="O313" s="228"/>
      <c r="P313" s="229"/>
      <c r="Q313" s="229"/>
      <c r="R313" s="229"/>
      <c r="S313" s="230"/>
      <c r="T313" s="231"/>
      <c r="U313" s="231"/>
      <c r="V313" s="231"/>
      <c r="W313" s="232"/>
      <c r="X313" s="82"/>
    </row>
    <row r="314" spans="2:24" ht="14.25" customHeight="1" x14ac:dyDescent="0.25">
      <c r="B314" s="82"/>
      <c r="C314" s="242"/>
      <c r="D314" s="83"/>
      <c r="E314" s="83"/>
      <c r="F314" s="83"/>
      <c r="G314" s="83"/>
      <c r="H314" s="227"/>
      <c r="I314" s="225"/>
      <c r="J314" s="225"/>
      <c r="K314" s="226"/>
      <c r="L314" s="227"/>
      <c r="M314" s="227"/>
      <c r="N314" s="228"/>
      <c r="O314" s="228"/>
      <c r="P314" s="229"/>
      <c r="Q314" s="229"/>
      <c r="R314" s="229"/>
      <c r="S314" s="230"/>
      <c r="T314" s="231"/>
      <c r="U314" s="231"/>
      <c r="V314" s="231"/>
      <c r="W314" s="232"/>
      <c r="X314" s="82"/>
    </row>
    <row r="315" spans="2:24" ht="14.25" customHeight="1" x14ac:dyDescent="0.25">
      <c r="B315" s="82"/>
      <c r="C315" s="242"/>
      <c r="D315" s="83"/>
      <c r="E315" s="83"/>
      <c r="F315" s="83"/>
      <c r="G315" s="83"/>
      <c r="H315" s="227"/>
      <c r="I315" s="225"/>
      <c r="J315" s="225"/>
      <c r="K315" s="226"/>
      <c r="L315" s="227"/>
      <c r="M315" s="227"/>
      <c r="N315" s="228"/>
      <c r="O315" s="228"/>
      <c r="P315" s="229"/>
      <c r="Q315" s="229"/>
      <c r="R315" s="229"/>
      <c r="S315" s="230"/>
      <c r="T315" s="231"/>
      <c r="U315" s="231"/>
      <c r="V315" s="231"/>
      <c r="W315" s="232"/>
      <c r="X315" s="82"/>
    </row>
    <row r="316" spans="2:24" ht="14.25" customHeight="1" x14ac:dyDescent="0.25">
      <c r="B316" s="82"/>
      <c r="C316" s="242"/>
      <c r="D316" s="83"/>
      <c r="E316" s="83"/>
      <c r="F316" s="83"/>
      <c r="G316" s="83"/>
      <c r="H316" s="227"/>
      <c r="I316" s="225"/>
      <c r="J316" s="225"/>
      <c r="K316" s="226"/>
      <c r="L316" s="227"/>
      <c r="M316" s="227"/>
      <c r="N316" s="228"/>
      <c r="O316" s="228"/>
      <c r="P316" s="229"/>
      <c r="Q316" s="229"/>
      <c r="R316" s="229"/>
      <c r="S316" s="230"/>
      <c r="T316" s="231"/>
      <c r="U316" s="231"/>
      <c r="V316" s="231"/>
      <c r="W316" s="232"/>
      <c r="X316" s="82"/>
    </row>
    <row r="317" spans="2:24" ht="14.25" customHeight="1" x14ac:dyDescent="0.25">
      <c r="B317" s="82"/>
      <c r="C317" s="242"/>
      <c r="D317" s="83"/>
      <c r="E317" s="83"/>
      <c r="F317" s="83"/>
      <c r="G317" s="83"/>
      <c r="H317" s="227"/>
      <c r="I317" s="225"/>
      <c r="J317" s="225"/>
      <c r="K317" s="226"/>
      <c r="L317" s="227"/>
      <c r="M317" s="227"/>
      <c r="N317" s="228"/>
      <c r="O317" s="228"/>
      <c r="P317" s="229"/>
      <c r="Q317" s="229"/>
      <c r="R317" s="229"/>
      <c r="S317" s="230"/>
      <c r="T317" s="231"/>
      <c r="U317" s="231"/>
      <c r="V317" s="231"/>
      <c r="W317" s="232"/>
      <c r="X317" s="82"/>
    </row>
    <row r="318" spans="2:24" ht="14.25" customHeight="1" x14ac:dyDescent="0.25">
      <c r="B318" s="82"/>
      <c r="C318" s="242"/>
      <c r="D318" s="83"/>
      <c r="E318" s="83"/>
      <c r="F318" s="83"/>
      <c r="G318" s="83"/>
      <c r="H318" s="227"/>
      <c r="I318" s="225"/>
      <c r="J318" s="225"/>
      <c r="K318" s="226"/>
      <c r="L318" s="227"/>
      <c r="M318" s="227"/>
      <c r="N318" s="228"/>
      <c r="O318" s="228"/>
      <c r="P318" s="229"/>
      <c r="Q318" s="229"/>
      <c r="R318" s="229"/>
      <c r="S318" s="230"/>
      <c r="T318" s="231"/>
      <c r="U318" s="231"/>
      <c r="V318" s="231"/>
      <c r="W318" s="232"/>
      <c r="X318" s="82"/>
    </row>
    <row r="319" spans="2:24" ht="14.25" customHeight="1" x14ac:dyDescent="0.25">
      <c r="B319" s="82"/>
      <c r="C319" s="242"/>
      <c r="D319" s="83"/>
      <c r="E319" s="83"/>
      <c r="F319" s="83"/>
      <c r="G319" s="83"/>
      <c r="H319" s="227"/>
      <c r="I319" s="225"/>
      <c r="J319" s="225"/>
      <c r="K319" s="226"/>
      <c r="L319" s="227"/>
      <c r="M319" s="227"/>
      <c r="N319" s="228"/>
      <c r="O319" s="228"/>
      <c r="P319" s="229"/>
      <c r="Q319" s="229"/>
      <c r="R319" s="229"/>
      <c r="S319" s="230"/>
      <c r="T319" s="231"/>
      <c r="U319" s="231"/>
      <c r="V319" s="231"/>
      <c r="W319" s="232"/>
      <c r="X319" s="82"/>
    </row>
    <row r="320" spans="2:24" ht="14.25" customHeight="1" x14ac:dyDescent="0.25">
      <c r="B320" s="82"/>
      <c r="C320" s="242"/>
      <c r="D320" s="83"/>
      <c r="E320" s="83"/>
      <c r="F320" s="83"/>
      <c r="G320" s="83"/>
      <c r="H320" s="227"/>
      <c r="I320" s="225"/>
      <c r="J320" s="225"/>
      <c r="K320" s="226"/>
      <c r="L320" s="227"/>
      <c r="M320" s="227"/>
      <c r="N320" s="228"/>
      <c r="O320" s="228"/>
      <c r="P320" s="229"/>
      <c r="Q320" s="229"/>
      <c r="R320" s="229"/>
      <c r="S320" s="230"/>
      <c r="T320" s="231"/>
      <c r="U320" s="231"/>
      <c r="V320" s="231"/>
      <c r="W320" s="232"/>
      <c r="X320" s="82"/>
    </row>
    <row r="321" spans="2:24" ht="14.25" customHeight="1" x14ac:dyDescent="0.25">
      <c r="B321" s="82"/>
      <c r="C321" s="242"/>
      <c r="D321" s="83"/>
      <c r="E321" s="83"/>
      <c r="F321" s="83"/>
      <c r="G321" s="83"/>
      <c r="H321" s="227"/>
      <c r="I321" s="225"/>
      <c r="J321" s="225"/>
      <c r="K321" s="226"/>
      <c r="L321" s="227"/>
      <c r="M321" s="227"/>
      <c r="N321" s="228"/>
      <c r="O321" s="228"/>
      <c r="P321" s="229"/>
      <c r="Q321" s="229"/>
      <c r="R321" s="229"/>
      <c r="S321" s="230"/>
      <c r="T321" s="231"/>
      <c r="U321" s="231"/>
      <c r="V321" s="231"/>
      <c r="W321" s="232"/>
      <c r="X321" s="82"/>
    </row>
    <row r="322" spans="2:24" ht="14.25" customHeight="1" x14ac:dyDescent="0.25">
      <c r="B322" s="82"/>
      <c r="C322" s="242"/>
      <c r="D322" s="83"/>
      <c r="E322" s="83"/>
      <c r="F322" s="83"/>
      <c r="G322" s="83"/>
      <c r="H322" s="227"/>
      <c r="I322" s="225"/>
      <c r="J322" s="225"/>
      <c r="K322" s="226"/>
      <c r="L322" s="227"/>
      <c r="M322" s="227"/>
      <c r="N322" s="228"/>
      <c r="O322" s="228"/>
      <c r="P322" s="229"/>
      <c r="Q322" s="229"/>
      <c r="R322" s="229"/>
      <c r="S322" s="230"/>
      <c r="T322" s="231"/>
      <c r="U322" s="231"/>
      <c r="V322" s="231"/>
      <c r="W322" s="232"/>
      <c r="X322" s="82"/>
    </row>
    <row r="323" spans="2:24" ht="14.25" customHeight="1" x14ac:dyDescent="0.25">
      <c r="B323" s="82"/>
      <c r="C323" s="242"/>
      <c r="D323" s="83"/>
      <c r="E323" s="83"/>
      <c r="F323" s="83"/>
      <c r="G323" s="83"/>
      <c r="H323" s="227"/>
      <c r="I323" s="225"/>
      <c r="J323" s="225"/>
      <c r="K323" s="226"/>
      <c r="L323" s="227"/>
      <c r="M323" s="227"/>
      <c r="N323" s="228"/>
      <c r="O323" s="228"/>
      <c r="P323" s="229"/>
      <c r="Q323" s="229"/>
      <c r="R323" s="229"/>
      <c r="S323" s="230"/>
      <c r="T323" s="231"/>
      <c r="U323" s="231"/>
      <c r="V323" s="231"/>
      <c r="W323" s="232"/>
      <c r="X323" s="82"/>
    </row>
    <row r="324" spans="2:24" ht="14.25" customHeight="1" x14ac:dyDescent="0.25">
      <c r="B324" s="82"/>
      <c r="C324" s="242"/>
      <c r="D324" s="83"/>
      <c r="E324" s="83"/>
      <c r="F324" s="83"/>
      <c r="G324" s="83"/>
      <c r="H324" s="227"/>
      <c r="I324" s="225"/>
      <c r="J324" s="225"/>
      <c r="K324" s="226"/>
      <c r="L324" s="227"/>
      <c r="M324" s="227"/>
      <c r="N324" s="228"/>
      <c r="O324" s="228"/>
      <c r="P324" s="229"/>
      <c r="Q324" s="229"/>
      <c r="R324" s="229"/>
      <c r="S324" s="230"/>
      <c r="T324" s="231"/>
      <c r="U324" s="231"/>
      <c r="V324" s="231"/>
      <c r="W324" s="232"/>
      <c r="X324" s="82"/>
    </row>
    <row r="325" spans="2:24" ht="14.25" customHeight="1" x14ac:dyDescent="0.25">
      <c r="B325" s="82"/>
      <c r="C325" s="242"/>
      <c r="D325" s="83"/>
      <c r="E325" s="83"/>
      <c r="F325" s="83"/>
      <c r="G325" s="83"/>
      <c r="H325" s="227"/>
      <c r="I325" s="225"/>
      <c r="J325" s="225"/>
      <c r="K325" s="226"/>
      <c r="L325" s="227"/>
      <c r="M325" s="227"/>
      <c r="N325" s="228"/>
      <c r="O325" s="228"/>
      <c r="P325" s="229"/>
      <c r="Q325" s="229"/>
      <c r="R325" s="229"/>
      <c r="S325" s="230"/>
      <c r="T325" s="231"/>
      <c r="U325" s="231"/>
      <c r="V325" s="231"/>
      <c r="W325" s="232"/>
      <c r="X325" s="82"/>
    </row>
    <row r="326" spans="2:24" ht="14.25" customHeight="1" x14ac:dyDescent="0.25">
      <c r="B326" s="82"/>
      <c r="C326" s="242"/>
      <c r="D326" s="83"/>
      <c r="E326" s="83"/>
      <c r="F326" s="83"/>
      <c r="G326" s="83"/>
      <c r="H326" s="227"/>
      <c r="I326" s="225"/>
      <c r="J326" s="225"/>
      <c r="K326" s="226"/>
      <c r="L326" s="227"/>
      <c r="M326" s="227"/>
      <c r="N326" s="228"/>
      <c r="O326" s="228"/>
      <c r="P326" s="229"/>
      <c r="Q326" s="229"/>
      <c r="R326" s="229"/>
      <c r="S326" s="230"/>
      <c r="T326" s="231"/>
      <c r="U326" s="231"/>
      <c r="V326" s="231"/>
      <c r="W326" s="232"/>
      <c r="X326" s="82"/>
    </row>
    <row r="327" spans="2:24" ht="14.25" customHeight="1" x14ac:dyDescent="0.25">
      <c r="B327" s="82"/>
      <c r="C327" s="242"/>
      <c r="D327" s="83"/>
      <c r="E327" s="83"/>
      <c r="F327" s="83"/>
      <c r="G327" s="83"/>
      <c r="H327" s="227"/>
      <c r="I327" s="225"/>
      <c r="J327" s="225"/>
      <c r="K327" s="226"/>
      <c r="L327" s="227"/>
      <c r="M327" s="227"/>
      <c r="N327" s="228"/>
      <c r="O327" s="228"/>
      <c r="P327" s="229"/>
      <c r="Q327" s="229"/>
      <c r="R327" s="229"/>
      <c r="S327" s="230"/>
      <c r="T327" s="231"/>
      <c r="U327" s="231"/>
      <c r="V327" s="231"/>
      <c r="W327" s="232"/>
      <c r="X327" s="82"/>
    </row>
    <row r="328" spans="2:24" ht="14.25" customHeight="1" x14ac:dyDescent="0.25">
      <c r="B328" s="82"/>
      <c r="C328" s="242"/>
      <c r="D328" s="83"/>
      <c r="E328" s="83"/>
      <c r="F328" s="83"/>
      <c r="G328" s="83"/>
      <c r="H328" s="227"/>
      <c r="I328" s="225"/>
      <c r="J328" s="225"/>
      <c r="K328" s="226"/>
      <c r="L328" s="227"/>
      <c r="M328" s="227"/>
      <c r="N328" s="228"/>
      <c r="O328" s="228"/>
      <c r="P328" s="229"/>
      <c r="Q328" s="229"/>
      <c r="R328" s="229"/>
      <c r="S328" s="230"/>
      <c r="T328" s="231"/>
      <c r="U328" s="231"/>
      <c r="V328" s="231"/>
      <c r="W328" s="232"/>
      <c r="X328" s="82"/>
    </row>
    <row r="329" spans="2:24" ht="14.25" customHeight="1" x14ac:dyDescent="0.25">
      <c r="B329" s="82"/>
      <c r="C329" s="242"/>
      <c r="D329" s="83"/>
      <c r="E329" s="83"/>
      <c r="F329" s="83"/>
      <c r="G329" s="83"/>
      <c r="H329" s="227"/>
      <c r="I329" s="225"/>
      <c r="J329" s="225"/>
      <c r="K329" s="226"/>
      <c r="L329" s="227"/>
      <c r="M329" s="227"/>
      <c r="N329" s="228"/>
      <c r="O329" s="228"/>
      <c r="P329" s="229"/>
      <c r="Q329" s="229"/>
      <c r="R329" s="229"/>
      <c r="S329" s="230"/>
      <c r="T329" s="231"/>
      <c r="U329" s="231"/>
      <c r="V329" s="231"/>
      <c r="W329" s="232"/>
      <c r="X329" s="82"/>
    </row>
    <row r="330" spans="2:24" ht="14.25" customHeight="1" x14ac:dyDescent="0.25">
      <c r="B330" s="82"/>
      <c r="C330" s="242"/>
      <c r="D330" s="83"/>
      <c r="E330" s="83"/>
      <c r="F330" s="83"/>
      <c r="G330" s="83"/>
      <c r="H330" s="227"/>
      <c r="I330" s="225"/>
      <c r="J330" s="225"/>
      <c r="K330" s="226"/>
      <c r="L330" s="227"/>
      <c r="M330" s="227"/>
      <c r="N330" s="228"/>
      <c r="O330" s="228"/>
      <c r="P330" s="229"/>
      <c r="Q330" s="229"/>
      <c r="R330" s="229"/>
      <c r="S330" s="230"/>
      <c r="T330" s="231"/>
      <c r="U330" s="231"/>
      <c r="V330" s="231"/>
      <c r="W330" s="232"/>
      <c r="X330" s="82"/>
    </row>
    <row r="331" spans="2:24" ht="14.25" customHeight="1" x14ac:dyDescent="0.25">
      <c r="B331" s="82"/>
      <c r="C331" s="242"/>
      <c r="D331" s="83"/>
      <c r="E331" s="83"/>
      <c r="F331" s="83"/>
      <c r="G331" s="83"/>
      <c r="H331" s="227"/>
      <c r="I331" s="225"/>
      <c r="J331" s="225"/>
      <c r="K331" s="226"/>
      <c r="L331" s="227"/>
      <c r="M331" s="227"/>
      <c r="N331" s="228"/>
      <c r="O331" s="228"/>
      <c r="P331" s="229"/>
      <c r="Q331" s="229"/>
      <c r="R331" s="229"/>
      <c r="S331" s="230"/>
      <c r="T331" s="231"/>
      <c r="U331" s="231"/>
      <c r="V331" s="231"/>
      <c r="W331" s="232"/>
      <c r="X331" s="82"/>
    </row>
    <row r="332" spans="2:24" ht="14.25" customHeight="1" x14ac:dyDescent="0.25">
      <c r="B332" s="82"/>
      <c r="C332" s="242"/>
      <c r="D332" s="83"/>
      <c r="E332" s="83"/>
      <c r="F332" s="83"/>
      <c r="G332" s="83"/>
      <c r="H332" s="227"/>
      <c r="I332" s="225"/>
      <c r="J332" s="225"/>
      <c r="K332" s="226"/>
      <c r="L332" s="227"/>
      <c r="M332" s="227"/>
      <c r="N332" s="228"/>
      <c r="O332" s="228"/>
      <c r="P332" s="229"/>
      <c r="Q332" s="229"/>
      <c r="R332" s="229"/>
      <c r="S332" s="230"/>
      <c r="T332" s="231"/>
      <c r="U332" s="231"/>
      <c r="V332" s="231"/>
      <c r="W332" s="232"/>
      <c r="X332" s="82"/>
    </row>
    <row r="333" spans="2:24" ht="14.25" customHeight="1" x14ac:dyDescent="0.25">
      <c r="B333" s="82"/>
      <c r="C333" s="242"/>
      <c r="D333" s="83"/>
      <c r="E333" s="83"/>
      <c r="F333" s="83"/>
      <c r="G333" s="83"/>
      <c r="H333" s="227"/>
      <c r="I333" s="225"/>
      <c r="J333" s="225"/>
      <c r="K333" s="226"/>
      <c r="L333" s="227"/>
      <c r="M333" s="227"/>
      <c r="N333" s="228"/>
      <c r="O333" s="228"/>
      <c r="P333" s="229"/>
      <c r="Q333" s="229"/>
      <c r="R333" s="229"/>
      <c r="S333" s="230"/>
      <c r="T333" s="231"/>
      <c r="U333" s="231"/>
      <c r="V333" s="231"/>
      <c r="W333" s="232"/>
      <c r="X333" s="82"/>
    </row>
    <row r="334" spans="2:24" ht="14.25" customHeight="1" x14ac:dyDescent="0.25">
      <c r="B334" s="82"/>
      <c r="C334" s="242"/>
      <c r="D334" s="83"/>
      <c r="E334" s="83"/>
      <c r="F334" s="83"/>
      <c r="G334" s="83"/>
      <c r="H334" s="227"/>
      <c r="I334" s="225"/>
      <c r="J334" s="225"/>
      <c r="K334" s="226"/>
      <c r="L334" s="227"/>
      <c r="M334" s="227"/>
      <c r="N334" s="228"/>
      <c r="O334" s="228"/>
      <c r="P334" s="229"/>
      <c r="Q334" s="229"/>
      <c r="R334" s="229"/>
      <c r="S334" s="230"/>
      <c r="T334" s="231"/>
      <c r="U334" s="231"/>
      <c r="V334" s="231"/>
      <c r="W334" s="232"/>
      <c r="X334" s="82"/>
    </row>
    <row r="335" spans="2:24" ht="14.25" customHeight="1" x14ac:dyDescent="0.25">
      <c r="B335" s="82"/>
      <c r="C335" s="242"/>
      <c r="D335" s="83"/>
      <c r="E335" s="83"/>
      <c r="F335" s="83"/>
      <c r="G335" s="83"/>
      <c r="H335" s="227"/>
      <c r="I335" s="225"/>
      <c r="J335" s="225"/>
      <c r="K335" s="226"/>
      <c r="L335" s="227"/>
      <c r="M335" s="227"/>
      <c r="N335" s="228"/>
      <c r="O335" s="228"/>
      <c r="P335" s="229"/>
      <c r="Q335" s="229"/>
      <c r="R335" s="229"/>
      <c r="S335" s="230"/>
      <c r="T335" s="231"/>
      <c r="U335" s="231"/>
      <c r="V335" s="231"/>
      <c r="W335" s="232"/>
      <c r="X335" s="82"/>
    </row>
    <row r="336" spans="2:24" ht="14.25" customHeight="1" x14ac:dyDescent="0.25">
      <c r="B336" s="82"/>
      <c r="C336" s="242"/>
      <c r="D336" s="83"/>
      <c r="E336" s="83"/>
      <c r="F336" s="83"/>
      <c r="G336" s="83"/>
      <c r="H336" s="227"/>
      <c r="I336" s="225"/>
      <c r="J336" s="225"/>
      <c r="K336" s="226"/>
      <c r="L336" s="227"/>
      <c r="M336" s="227"/>
      <c r="N336" s="228"/>
      <c r="O336" s="228"/>
      <c r="P336" s="229"/>
      <c r="Q336" s="229"/>
      <c r="R336" s="229"/>
      <c r="S336" s="230"/>
      <c r="T336" s="231"/>
      <c r="U336" s="231"/>
      <c r="V336" s="231"/>
      <c r="W336" s="232"/>
      <c r="X336" s="82"/>
    </row>
    <row r="337" spans="2:24" ht="14.25" customHeight="1" x14ac:dyDescent="0.25">
      <c r="B337" s="82"/>
      <c r="C337" s="242"/>
      <c r="D337" s="83"/>
      <c r="E337" s="83"/>
      <c r="F337" s="83"/>
      <c r="G337" s="83"/>
      <c r="H337" s="227"/>
      <c r="I337" s="225"/>
      <c r="J337" s="225"/>
      <c r="K337" s="226"/>
      <c r="L337" s="227"/>
      <c r="M337" s="227"/>
      <c r="N337" s="228"/>
      <c r="O337" s="228"/>
      <c r="P337" s="229"/>
      <c r="Q337" s="229"/>
      <c r="R337" s="229"/>
      <c r="S337" s="230"/>
      <c r="T337" s="231"/>
      <c r="U337" s="231"/>
      <c r="V337" s="231"/>
      <c r="W337" s="232"/>
      <c r="X337" s="82"/>
    </row>
    <row r="338" spans="2:24" ht="14.25" customHeight="1" x14ac:dyDescent="0.25">
      <c r="B338" s="82"/>
      <c r="C338" s="242"/>
      <c r="D338" s="83"/>
      <c r="E338" s="83"/>
      <c r="F338" s="83"/>
      <c r="G338" s="83"/>
      <c r="H338" s="227"/>
      <c r="I338" s="225"/>
      <c r="J338" s="225"/>
      <c r="K338" s="226"/>
      <c r="L338" s="227"/>
      <c r="M338" s="227"/>
      <c r="N338" s="228"/>
      <c r="O338" s="228"/>
      <c r="P338" s="229"/>
      <c r="Q338" s="229"/>
      <c r="R338" s="229"/>
      <c r="S338" s="230"/>
      <c r="T338" s="231"/>
      <c r="U338" s="231"/>
      <c r="V338" s="231"/>
      <c r="W338" s="232"/>
      <c r="X338" s="82"/>
    </row>
    <row r="339" spans="2:24" ht="14.25" customHeight="1" x14ac:dyDescent="0.25">
      <c r="B339" s="82"/>
      <c r="C339" s="242"/>
      <c r="D339" s="83"/>
      <c r="E339" s="83"/>
      <c r="F339" s="83"/>
      <c r="G339" s="83"/>
      <c r="H339" s="227"/>
      <c r="I339" s="225"/>
      <c r="J339" s="225"/>
      <c r="K339" s="226"/>
      <c r="L339" s="227"/>
      <c r="M339" s="227"/>
      <c r="N339" s="228"/>
      <c r="O339" s="228"/>
      <c r="P339" s="229"/>
      <c r="Q339" s="229"/>
      <c r="R339" s="229"/>
      <c r="S339" s="230"/>
      <c r="T339" s="231"/>
      <c r="U339" s="231"/>
      <c r="V339" s="231"/>
      <c r="W339" s="232"/>
      <c r="X339" s="82"/>
    </row>
    <row r="340" spans="2:24" ht="14.25" customHeight="1" x14ac:dyDescent="0.25">
      <c r="B340" s="82"/>
      <c r="C340" s="242"/>
      <c r="D340" s="83"/>
      <c r="E340" s="83"/>
      <c r="F340" s="83"/>
      <c r="G340" s="83"/>
      <c r="H340" s="227"/>
      <c r="I340" s="225"/>
      <c r="J340" s="225"/>
      <c r="K340" s="226"/>
      <c r="L340" s="227"/>
      <c r="M340" s="227"/>
      <c r="N340" s="228"/>
      <c r="O340" s="228"/>
      <c r="P340" s="229"/>
      <c r="Q340" s="229"/>
      <c r="R340" s="229"/>
      <c r="S340" s="230"/>
      <c r="T340" s="231"/>
      <c r="U340" s="231"/>
      <c r="V340" s="231"/>
      <c r="W340" s="232"/>
      <c r="X340" s="82"/>
    </row>
    <row r="341" spans="2:24" ht="14.25" customHeight="1" x14ac:dyDescent="0.25">
      <c r="B341" s="82"/>
      <c r="C341" s="242"/>
      <c r="D341" s="83"/>
      <c r="E341" s="83"/>
      <c r="F341" s="83"/>
      <c r="G341" s="83"/>
      <c r="H341" s="227"/>
      <c r="I341" s="225"/>
      <c r="J341" s="225"/>
      <c r="K341" s="226"/>
      <c r="L341" s="227"/>
      <c r="M341" s="227"/>
      <c r="N341" s="228"/>
      <c r="O341" s="228"/>
      <c r="P341" s="229"/>
      <c r="Q341" s="229"/>
      <c r="R341" s="229"/>
      <c r="S341" s="230"/>
      <c r="T341" s="231"/>
      <c r="U341" s="231"/>
      <c r="V341" s="231"/>
      <c r="W341" s="232"/>
      <c r="X341" s="82"/>
    </row>
    <row r="342" spans="2:24" ht="14.25" customHeight="1" x14ac:dyDescent="0.25">
      <c r="B342" s="82"/>
      <c r="C342" s="242"/>
      <c r="D342" s="83"/>
      <c r="E342" s="83"/>
      <c r="F342" s="83"/>
      <c r="G342" s="83"/>
      <c r="H342" s="227"/>
      <c r="I342" s="225"/>
      <c r="J342" s="225"/>
      <c r="K342" s="226"/>
      <c r="L342" s="227"/>
      <c r="M342" s="227"/>
      <c r="N342" s="228"/>
      <c r="O342" s="228"/>
      <c r="P342" s="229"/>
      <c r="Q342" s="229"/>
      <c r="R342" s="229"/>
      <c r="S342" s="230"/>
      <c r="T342" s="231"/>
      <c r="U342" s="231"/>
      <c r="V342" s="231"/>
      <c r="W342" s="232"/>
      <c r="X342" s="82"/>
    </row>
    <row r="343" spans="2:24" ht="14.25" customHeight="1" x14ac:dyDescent="0.25">
      <c r="B343" s="82"/>
      <c r="C343" s="242"/>
      <c r="D343" s="83"/>
      <c r="E343" s="83"/>
      <c r="F343" s="83"/>
      <c r="G343" s="83"/>
      <c r="H343" s="227"/>
      <c r="I343" s="225"/>
      <c r="J343" s="225"/>
      <c r="K343" s="226"/>
      <c r="L343" s="227"/>
      <c r="M343" s="227"/>
      <c r="N343" s="228"/>
      <c r="O343" s="228"/>
      <c r="P343" s="229"/>
      <c r="Q343" s="229"/>
      <c r="R343" s="229"/>
      <c r="S343" s="230"/>
      <c r="T343" s="231"/>
      <c r="U343" s="231"/>
      <c r="V343" s="231"/>
      <c r="W343" s="232"/>
      <c r="X343" s="82"/>
    </row>
    <row r="344" spans="2:24" ht="14.25" customHeight="1" x14ac:dyDescent="0.25">
      <c r="B344" s="82"/>
      <c r="C344" s="242"/>
      <c r="D344" s="83"/>
      <c r="E344" s="83"/>
      <c r="F344" s="83"/>
      <c r="G344" s="83"/>
      <c r="H344" s="227"/>
      <c r="I344" s="225"/>
      <c r="J344" s="225"/>
      <c r="K344" s="226"/>
      <c r="L344" s="227"/>
      <c r="M344" s="227"/>
      <c r="N344" s="228"/>
      <c r="O344" s="228"/>
      <c r="P344" s="229"/>
      <c r="Q344" s="229"/>
      <c r="R344" s="229"/>
      <c r="S344" s="230"/>
      <c r="T344" s="231"/>
      <c r="U344" s="231"/>
      <c r="V344" s="231"/>
      <c r="W344" s="232"/>
      <c r="X344" s="82"/>
    </row>
    <row r="345" spans="2:24" ht="14.25" customHeight="1" x14ac:dyDescent="0.25">
      <c r="B345" s="82"/>
      <c r="C345" s="242"/>
      <c r="D345" s="83"/>
      <c r="E345" s="83"/>
      <c r="F345" s="83"/>
      <c r="G345" s="83"/>
      <c r="H345" s="227"/>
      <c r="I345" s="225"/>
      <c r="J345" s="225"/>
      <c r="K345" s="226"/>
      <c r="L345" s="227"/>
      <c r="M345" s="227"/>
      <c r="N345" s="228"/>
      <c r="O345" s="228"/>
      <c r="P345" s="229"/>
      <c r="Q345" s="229"/>
      <c r="R345" s="229"/>
      <c r="S345" s="230"/>
      <c r="T345" s="231"/>
      <c r="U345" s="231"/>
      <c r="V345" s="231"/>
      <c r="W345" s="232"/>
      <c r="X345" s="82"/>
    </row>
    <row r="346" spans="2:24" ht="14.25" customHeight="1" x14ac:dyDescent="0.25">
      <c r="B346" s="82"/>
      <c r="C346" s="242"/>
      <c r="D346" s="83"/>
      <c r="E346" s="83"/>
      <c r="F346" s="83"/>
      <c r="G346" s="83"/>
      <c r="H346" s="227"/>
      <c r="I346" s="225"/>
      <c r="J346" s="225"/>
      <c r="K346" s="226"/>
      <c r="L346" s="227"/>
      <c r="M346" s="227"/>
      <c r="N346" s="228"/>
      <c r="O346" s="228"/>
      <c r="P346" s="229"/>
      <c r="Q346" s="229"/>
      <c r="R346" s="229"/>
      <c r="S346" s="230"/>
      <c r="T346" s="231"/>
      <c r="U346" s="231"/>
      <c r="V346" s="231"/>
      <c r="W346" s="232"/>
      <c r="X346" s="82"/>
    </row>
    <row r="347" spans="2:24" ht="14.25" customHeight="1" x14ac:dyDescent="0.25">
      <c r="B347" s="82"/>
      <c r="C347" s="242"/>
      <c r="D347" s="83"/>
      <c r="E347" s="83"/>
      <c r="F347" s="83"/>
      <c r="G347" s="83"/>
      <c r="H347" s="227"/>
      <c r="I347" s="225"/>
      <c r="J347" s="225"/>
      <c r="K347" s="226"/>
      <c r="L347" s="227"/>
      <c r="M347" s="227"/>
      <c r="N347" s="228"/>
      <c r="O347" s="228"/>
      <c r="P347" s="229"/>
      <c r="Q347" s="229"/>
      <c r="R347" s="229"/>
      <c r="S347" s="230"/>
      <c r="T347" s="231"/>
      <c r="U347" s="231"/>
      <c r="V347" s="231"/>
      <c r="W347" s="232"/>
      <c r="X347" s="82"/>
    </row>
    <row r="348" spans="2:24" ht="14.25" customHeight="1" x14ac:dyDescent="0.25">
      <c r="B348" s="82"/>
      <c r="C348" s="242"/>
      <c r="D348" s="83"/>
      <c r="E348" s="83"/>
      <c r="F348" s="83"/>
      <c r="G348" s="83"/>
      <c r="H348" s="227"/>
      <c r="I348" s="225"/>
      <c r="J348" s="225"/>
      <c r="K348" s="226"/>
      <c r="L348" s="227"/>
      <c r="M348" s="227"/>
      <c r="N348" s="228"/>
      <c r="O348" s="228"/>
      <c r="P348" s="229"/>
      <c r="Q348" s="229"/>
      <c r="R348" s="229"/>
      <c r="S348" s="230"/>
      <c r="T348" s="231"/>
      <c r="U348" s="231"/>
      <c r="V348" s="231"/>
      <c r="W348" s="232"/>
      <c r="X348" s="82"/>
    </row>
    <row r="349" spans="2:24" ht="14.25" customHeight="1" x14ac:dyDescent="0.25">
      <c r="B349" s="82"/>
      <c r="C349" s="242"/>
      <c r="D349" s="83"/>
      <c r="E349" s="83"/>
      <c r="F349" s="83"/>
      <c r="G349" s="83"/>
      <c r="H349" s="227"/>
      <c r="I349" s="225"/>
      <c r="J349" s="225"/>
      <c r="K349" s="226"/>
      <c r="L349" s="227"/>
      <c r="M349" s="227"/>
      <c r="N349" s="228"/>
      <c r="O349" s="228"/>
      <c r="P349" s="229"/>
      <c r="Q349" s="229"/>
      <c r="R349" s="229"/>
      <c r="S349" s="230"/>
      <c r="T349" s="231"/>
      <c r="U349" s="231"/>
      <c r="V349" s="231"/>
      <c r="W349" s="232"/>
      <c r="X349" s="82"/>
    </row>
    <row r="350" spans="2:24" ht="14.25" customHeight="1" x14ac:dyDescent="0.25">
      <c r="B350" s="82"/>
      <c r="C350" s="242"/>
      <c r="D350" s="83"/>
      <c r="E350" s="83"/>
      <c r="F350" s="83"/>
      <c r="G350" s="83"/>
      <c r="H350" s="227"/>
      <c r="I350" s="225"/>
      <c r="J350" s="225"/>
      <c r="K350" s="226"/>
      <c r="L350" s="227"/>
      <c r="M350" s="227"/>
      <c r="N350" s="228"/>
      <c r="O350" s="228"/>
      <c r="P350" s="229"/>
      <c r="Q350" s="229"/>
      <c r="R350" s="229"/>
      <c r="S350" s="230"/>
      <c r="T350" s="231"/>
      <c r="U350" s="231"/>
      <c r="V350" s="231"/>
      <c r="W350" s="232"/>
      <c r="X350" s="82"/>
    </row>
    <row r="351" spans="2:24" ht="14.25" customHeight="1" x14ac:dyDescent="0.25">
      <c r="B351" s="82"/>
      <c r="C351" s="242"/>
      <c r="D351" s="83"/>
      <c r="E351" s="83"/>
      <c r="F351" s="83"/>
      <c r="G351" s="83"/>
      <c r="H351" s="227"/>
      <c r="I351" s="225"/>
      <c r="J351" s="225"/>
      <c r="K351" s="226"/>
      <c r="L351" s="227"/>
      <c r="M351" s="227"/>
      <c r="N351" s="228"/>
      <c r="O351" s="228"/>
      <c r="P351" s="229"/>
      <c r="Q351" s="229"/>
      <c r="R351" s="229"/>
      <c r="S351" s="230"/>
      <c r="T351" s="231"/>
      <c r="U351" s="231"/>
      <c r="V351" s="231"/>
      <c r="W351" s="232"/>
      <c r="X351" s="82"/>
    </row>
    <row r="352" spans="2:24" ht="14.25" customHeight="1" x14ac:dyDescent="0.25">
      <c r="B352" s="82"/>
      <c r="C352" s="242"/>
      <c r="D352" s="83"/>
      <c r="E352" s="83"/>
      <c r="F352" s="83"/>
      <c r="G352" s="83"/>
      <c r="H352" s="227"/>
      <c r="I352" s="225"/>
      <c r="J352" s="225"/>
      <c r="K352" s="226"/>
      <c r="L352" s="227"/>
      <c r="M352" s="227"/>
      <c r="N352" s="228"/>
      <c r="O352" s="228"/>
      <c r="P352" s="229"/>
      <c r="Q352" s="229"/>
      <c r="R352" s="229"/>
      <c r="S352" s="230"/>
      <c r="T352" s="231"/>
      <c r="U352" s="231"/>
      <c r="V352" s="231"/>
      <c r="W352" s="232"/>
      <c r="X352" s="82"/>
    </row>
    <row r="353" spans="2:24" ht="14.25" customHeight="1" x14ac:dyDescent="0.25">
      <c r="B353" s="82"/>
      <c r="C353" s="242"/>
      <c r="D353" s="83"/>
      <c r="E353" s="83"/>
      <c r="F353" s="83"/>
      <c r="G353" s="83"/>
      <c r="H353" s="227"/>
      <c r="I353" s="225"/>
      <c r="J353" s="225"/>
      <c r="K353" s="226"/>
      <c r="L353" s="227"/>
      <c r="M353" s="227"/>
      <c r="N353" s="228"/>
      <c r="O353" s="228"/>
      <c r="P353" s="229"/>
      <c r="Q353" s="229"/>
      <c r="R353" s="229"/>
      <c r="S353" s="230"/>
      <c r="T353" s="231"/>
      <c r="U353" s="231"/>
      <c r="V353" s="231"/>
      <c r="W353" s="232"/>
      <c r="X353" s="82"/>
    </row>
    <row r="354" spans="2:24" ht="14.25" customHeight="1" x14ac:dyDescent="0.25">
      <c r="B354" s="82"/>
      <c r="C354" s="242"/>
      <c r="D354" s="83"/>
      <c r="E354" s="83"/>
      <c r="F354" s="83"/>
      <c r="G354" s="83"/>
      <c r="H354" s="227"/>
      <c r="I354" s="225"/>
      <c r="J354" s="225"/>
      <c r="K354" s="226"/>
      <c r="L354" s="227"/>
      <c r="M354" s="227"/>
      <c r="N354" s="228"/>
      <c r="O354" s="228"/>
      <c r="P354" s="229"/>
      <c r="Q354" s="229"/>
      <c r="R354" s="229"/>
      <c r="S354" s="230"/>
      <c r="T354" s="231"/>
      <c r="U354" s="231"/>
      <c r="V354" s="231"/>
      <c r="W354" s="232"/>
      <c r="X354" s="82"/>
    </row>
    <row r="355" spans="2:24" ht="14.25" customHeight="1" x14ac:dyDescent="0.25">
      <c r="B355" s="82"/>
      <c r="C355" s="242"/>
      <c r="D355" s="83"/>
      <c r="E355" s="83"/>
      <c r="F355" s="83"/>
      <c r="G355" s="83"/>
      <c r="H355" s="227"/>
      <c r="I355" s="225"/>
      <c r="J355" s="225"/>
      <c r="K355" s="226"/>
      <c r="L355" s="227"/>
      <c r="M355" s="227"/>
      <c r="N355" s="228"/>
      <c r="O355" s="228"/>
      <c r="P355" s="229"/>
      <c r="Q355" s="229"/>
      <c r="R355" s="229"/>
      <c r="S355" s="230"/>
      <c r="T355" s="231"/>
      <c r="U355" s="231"/>
      <c r="V355" s="231"/>
      <c r="W355" s="232"/>
      <c r="X355" s="82"/>
    </row>
    <row r="356" spans="2:24" ht="14.25" customHeight="1" x14ac:dyDescent="0.25">
      <c r="B356" s="82"/>
      <c r="C356" s="242"/>
      <c r="D356" s="83"/>
      <c r="E356" s="83"/>
      <c r="F356" s="83"/>
      <c r="G356" s="83"/>
      <c r="H356" s="227"/>
      <c r="I356" s="225"/>
      <c r="J356" s="225"/>
      <c r="K356" s="226"/>
      <c r="L356" s="227"/>
      <c r="M356" s="227"/>
      <c r="N356" s="228"/>
      <c r="O356" s="228"/>
      <c r="P356" s="229"/>
      <c r="Q356" s="229"/>
      <c r="R356" s="229"/>
      <c r="S356" s="230"/>
      <c r="T356" s="231"/>
      <c r="U356" s="231"/>
      <c r="V356" s="231"/>
      <c r="W356" s="232"/>
      <c r="X356" s="82"/>
    </row>
    <row r="357" spans="2:24" ht="14.25" customHeight="1" x14ac:dyDescent="0.25">
      <c r="B357" s="82"/>
      <c r="C357" s="242"/>
      <c r="D357" s="83"/>
      <c r="E357" s="83"/>
      <c r="F357" s="83"/>
      <c r="G357" s="83"/>
      <c r="H357" s="227"/>
      <c r="I357" s="225"/>
      <c r="J357" s="225"/>
      <c r="K357" s="226"/>
      <c r="L357" s="227"/>
      <c r="M357" s="227"/>
      <c r="N357" s="228"/>
      <c r="O357" s="228"/>
      <c r="P357" s="229"/>
      <c r="Q357" s="229"/>
      <c r="R357" s="229"/>
      <c r="S357" s="230"/>
      <c r="T357" s="231"/>
      <c r="U357" s="231"/>
      <c r="V357" s="231"/>
      <c r="W357" s="232"/>
      <c r="X357" s="82"/>
    </row>
    <row r="358" spans="2:24" ht="14.25" customHeight="1" x14ac:dyDescent="0.25">
      <c r="B358" s="82"/>
      <c r="C358" s="242"/>
      <c r="D358" s="83"/>
      <c r="E358" s="83"/>
      <c r="F358" s="83"/>
      <c r="G358" s="83"/>
      <c r="H358" s="227"/>
      <c r="I358" s="225"/>
      <c r="J358" s="225"/>
      <c r="K358" s="226"/>
      <c r="L358" s="227"/>
      <c r="M358" s="227"/>
      <c r="N358" s="228"/>
      <c r="O358" s="228"/>
      <c r="P358" s="229"/>
      <c r="Q358" s="229"/>
      <c r="R358" s="229"/>
      <c r="S358" s="230"/>
      <c r="T358" s="231"/>
      <c r="U358" s="231"/>
      <c r="V358" s="231"/>
      <c r="W358" s="232"/>
      <c r="X358" s="82"/>
    </row>
    <row r="359" spans="2:24" ht="14.25" customHeight="1" x14ac:dyDescent="0.25">
      <c r="B359" s="82"/>
      <c r="C359" s="242"/>
      <c r="D359" s="83"/>
      <c r="E359" s="83"/>
      <c r="F359" s="83"/>
      <c r="G359" s="83"/>
      <c r="H359" s="227"/>
      <c r="I359" s="225"/>
      <c r="J359" s="225"/>
      <c r="K359" s="226"/>
      <c r="L359" s="227"/>
      <c r="M359" s="227"/>
      <c r="N359" s="228"/>
      <c r="O359" s="228"/>
      <c r="P359" s="229"/>
      <c r="Q359" s="229"/>
      <c r="R359" s="229"/>
      <c r="S359" s="230"/>
      <c r="T359" s="231"/>
      <c r="U359" s="231"/>
      <c r="V359" s="231"/>
      <c r="W359" s="232"/>
      <c r="X359" s="82"/>
    </row>
    <row r="360" spans="2:24" ht="14.25" customHeight="1" x14ac:dyDescent="0.25">
      <c r="B360" s="82"/>
      <c r="C360" s="242"/>
      <c r="D360" s="83"/>
      <c r="E360" s="83"/>
      <c r="F360" s="83"/>
      <c r="G360" s="83"/>
      <c r="H360" s="227"/>
      <c r="I360" s="225"/>
      <c r="J360" s="225"/>
      <c r="K360" s="226"/>
      <c r="L360" s="227"/>
      <c r="M360" s="227"/>
      <c r="N360" s="228"/>
      <c r="O360" s="228"/>
      <c r="P360" s="229"/>
      <c r="Q360" s="229"/>
      <c r="R360" s="229"/>
      <c r="S360" s="230"/>
      <c r="T360" s="231"/>
      <c r="U360" s="231"/>
      <c r="V360" s="231"/>
      <c r="W360" s="232"/>
      <c r="X360" s="82"/>
    </row>
    <row r="361" spans="2:24" ht="14.25" customHeight="1" x14ac:dyDescent="0.25">
      <c r="B361" s="82"/>
      <c r="C361" s="242"/>
      <c r="D361" s="83"/>
      <c r="E361" s="83"/>
      <c r="F361" s="83"/>
      <c r="G361" s="83"/>
      <c r="H361" s="227"/>
      <c r="I361" s="225"/>
      <c r="J361" s="225"/>
      <c r="K361" s="226"/>
      <c r="L361" s="227"/>
      <c r="M361" s="227"/>
      <c r="N361" s="228"/>
      <c r="O361" s="228"/>
      <c r="P361" s="229"/>
      <c r="Q361" s="229"/>
      <c r="R361" s="229"/>
      <c r="S361" s="230"/>
      <c r="T361" s="231"/>
      <c r="U361" s="231"/>
      <c r="V361" s="231"/>
      <c r="W361" s="232"/>
      <c r="X361" s="82"/>
    </row>
    <row r="362" spans="2:24" ht="14.25" customHeight="1" x14ac:dyDescent="0.25">
      <c r="B362" s="82"/>
      <c r="C362" s="242"/>
      <c r="D362" s="83"/>
      <c r="E362" s="83"/>
      <c r="F362" s="83"/>
      <c r="G362" s="83"/>
      <c r="H362" s="227"/>
      <c r="I362" s="225"/>
      <c r="J362" s="225"/>
      <c r="K362" s="226"/>
      <c r="L362" s="227"/>
      <c r="M362" s="227"/>
      <c r="N362" s="228"/>
      <c r="O362" s="228"/>
      <c r="P362" s="229"/>
      <c r="Q362" s="229"/>
      <c r="R362" s="229"/>
      <c r="S362" s="230"/>
      <c r="T362" s="231"/>
      <c r="U362" s="231"/>
      <c r="V362" s="231"/>
      <c r="W362" s="232"/>
      <c r="X362" s="82"/>
    </row>
    <row r="363" spans="2:24" ht="14.25" customHeight="1" x14ac:dyDescent="0.25">
      <c r="B363" s="82"/>
      <c r="C363" s="242"/>
      <c r="D363" s="83"/>
      <c r="E363" s="83"/>
      <c r="F363" s="83"/>
      <c r="G363" s="83"/>
      <c r="H363" s="227"/>
      <c r="I363" s="225"/>
      <c r="J363" s="225"/>
      <c r="K363" s="226"/>
      <c r="L363" s="227"/>
      <c r="M363" s="227"/>
      <c r="N363" s="228"/>
      <c r="O363" s="228"/>
      <c r="P363" s="229"/>
      <c r="Q363" s="229"/>
      <c r="R363" s="229"/>
      <c r="S363" s="230"/>
      <c r="T363" s="231"/>
      <c r="U363" s="231"/>
      <c r="V363" s="231"/>
      <c r="W363" s="232"/>
      <c r="X363" s="82"/>
    </row>
    <row r="364" spans="2:24" ht="14.25" customHeight="1" x14ac:dyDescent="0.25">
      <c r="B364" s="82"/>
      <c r="C364" s="242"/>
      <c r="D364" s="83"/>
      <c r="E364" s="83"/>
      <c r="F364" s="83"/>
      <c r="G364" s="83"/>
      <c r="H364" s="227"/>
      <c r="I364" s="225"/>
      <c r="J364" s="225"/>
      <c r="K364" s="226"/>
      <c r="L364" s="227"/>
      <c r="M364" s="227"/>
      <c r="N364" s="228"/>
      <c r="O364" s="228"/>
      <c r="P364" s="229"/>
      <c r="Q364" s="229"/>
      <c r="R364" s="229"/>
      <c r="S364" s="230"/>
      <c r="T364" s="231"/>
      <c r="U364" s="231"/>
      <c r="V364" s="231"/>
      <c r="W364" s="232"/>
      <c r="X364" s="82"/>
    </row>
    <row r="365" spans="2:24" ht="14.25" customHeight="1" x14ac:dyDescent="0.25">
      <c r="B365" s="82"/>
      <c r="C365" s="242"/>
      <c r="D365" s="83"/>
      <c r="E365" s="83"/>
      <c r="F365" s="83"/>
      <c r="G365" s="83"/>
      <c r="H365" s="227"/>
      <c r="I365" s="225"/>
      <c r="J365" s="225"/>
      <c r="K365" s="226"/>
      <c r="L365" s="227"/>
      <c r="M365" s="227"/>
      <c r="N365" s="228"/>
      <c r="O365" s="228"/>
      <c r="P365" s="229"/>
      <c r="Q365" s="229"/>
      <c r="R365" s="229"/>
      <c r="S365" s="230"/>
      <c r="T365" s="231"/>
      <c r="U365" s="231"/>
      <c r="V365" s="231"/>
      <c r="W365" s="232"/>
      <c r="X365" s="82"/>
    </row>
    <row r="366" spans="2:24" ht="14.25" customHeight="1" x14ac:dyDescent="0.25">
      <c r="B366" s="82"/>
      <c r="C366" s="242"/>
      <c r="D366" s="83"/>
      <c r="E366" s="83"/>
      <c r="F366" s="83"/>
      <c r="G366" s="83"/>
      <c r="H366" s="227"/>
      <c r="I366" s="225"/>
      <c r="J366" s="225"/>
      <c r="K366" s="226"/>
      <c r="L366" s="227"/>
      <c r="M366" s="227"/>
      <c r="N366" s="228"/>
      <c r="O366" s="228"/>
      <c r="P366" s="229"/>
      <c r="Q366" s="229"/>
      <c r="R366" s="229"/>
      <c r="S366" s="230"/>
      <c r="T366" s="231"/>
      <c r="U366" s="231"/>
      <c r="V366" s="231"/>
      <c r="W366" s="232"/>
      <c r="X366" s="82"/>
    </row>
    <row r="367" spans="2:24" ht="14.25" customHeight="1" x14ac:dyDescent="0.25">
      <c r="B367" s="82"/>
      <c r="C367" s="242"/>
      <c r="D367" s="83"/>
      <c r="E367" s="83"/>
      <c r="F367" s="83"/>
      <c r="G367" s="83"/>
      <c r="H367" s="227"/>
      <c r="I367" s="225"/>
      <c r="J367" s="225"/>
      <c r="K367" s="226"/>
      <c r="L367" s="227"/>
      <c r="M367" s="227"/>
      <c r="N367" s="228"/>
      <c r="O367" s="228"/>
      <c r="P367" s="229"/>
      <c r="Q367" s="229"/>
      <c r="R367" s="229"/>
      <c r="S367" s="230"/>
      <c r="T367" s="231"/>
      <c r="U367" s="231"/>
      <c r="V367" s="231"/>
      <c r="W367" s="232"/>
      <c r="X367" s="82"/>
    </row>
    <row r="368" spans="2:24" ht="14.25" customHeight="1" x14ac:dyDescent="0.25">
      <c r="B368" s="82"/>
      <c r="C368" s="242"/>
      <c r="D368" s="83"/>
      <c r="E368" s="83"/>
      <c r="F368" s="83"/>
      <c r="G368" s="83"/>
      <c r="H368" s="227"/>
      <c r="I368" s="225"/>
      <c r="J368" s="225"/>
      <c r="K368" s="226"/>
      <c r="L368" s="227"/>
      <c r="M368" s="227"/>
      <c r="N368" s="228"/>
      <c r="O368" s="228"/>
      <c r="P368" s="229"/>
      <c r="Q368" s="229"/>
      <c r="R368" s="229"/>
      <c r="S368" s="230"/>
      <c r="T368" s="231"/>
      <c r="U368" s="231"/>
      <c r="V368" s="231"/>
      <c r="W368" s="232"/>
      <c r="X368" s="82"/>
    </row>
    <row r="369" spans="2:24" ht="14.25" customHeight="1" x14ac:dyDescent="0.25">
      <c r="B369" s="82"/>
      <c r="C369" s="242"/>
      <c r="D369" s="83"/>
      <c r="E369" s="83"/>
      <c r="F369" s="83"/>
      <c r="G369" s="83"/>
      <c r="H369" s="227"/>
      <c r="I369" s="225"/>
      <c r="J369" s="225"/>
      <c r="K369" s="226"/>
      <c r="L369" s="227"/>
      <c r="M369" s="227"/>
      <c r="N369" s="228"/>
      <c r="O369" s="228"/>
      <c r="P369" s="229"/>
      <c r="Q369" s="229"/>
      <c r="R369" s="229"/>
      <c r="S369" s="230"/>
      <c r="T369" s="231"/>
      <c r="U369" s="231"/>
      <c r="V369" s="231"/>
      <c r="W369" s="232"/>
      <c r="X369" s="82"/>
    </row>
    <row r="370" spans="2:24" ht="14.25" customHeight="1" x14ac:dyDescent="0.25">
      <c r="B370" s="82"/>
      <c r="C370" s="242"/>
      <c r="D370" s="83"/>
      <c r="E370" s="83"/>
      <c r="F370" s="83"/>
      <c r="G370" s="83"/>
      <c r="H370" s="227"/>
      <c r="I370" s="225"/>
      <c r="J370" s="225"/>
      <c r="K370" s="226"/>
      <c r="L370" s="227"/>
      <c r="M370" s="227"/>
      <c r="N370" s="228"/>
      <c r="O370" s="228"/>
      <c r="P370" s="229"/>
      <c r="Q370" s="229"/>
      <c r="R370" s="229"/>
      <c r="S370" s="230"/>
      <c r="T370" s="231"/>
      <c r="U370" s="231"/>
      <c r="V370" s="231"/>
      <c r="W370" s="232"/>
      <c r="X370" s="82"/>
    </row>
    <row r="371" spans="2:24" ht="14.25" customHeight="1" x14ac:dyDescent="0.25">
      <c r="B371" s="82"/>
      <c r="C371" s="242"/>
      <c r="D371" s="83"/>
      <c r="E371" s="83"/>
      <c r="F371" s="83"/>
      <c r="G371" s="83"/>
      <c r="H371" s="227"/>
      <c r="I371" s="225"/>
      <c r="J371" s="225"/>
      <c r="K371" s="226"/>
      <c r="L371" s="227"/>
      <c r="M371" s="227"/>
      <c r="N371" s="228"/>
      <c r="O371" s="228"/>
      <c r="P371" s="229"/>
      <c r="Q371" s="229"/>
      <c r="R371" s="229"/>
      <c r="S371" s="230"/>
      <c r="T371" s="231"/>
      <c r="U371" s="231"/>
      <c r="V371" s="231"/>
      <c r="W371" s="232"/>
      <c r="X371" s="82"/>
    </row>
    <row r="372" spans="2:24" ht="14.25" customHeight="1" x14ac:dyDescent="0.25">
      <c r="B372" s="82"/>
      <c r="C372" s="242"/>
      <c r="D372" s="83"/>
      <c r="E372" s="83"/>
      <c r="F372" s="83"/>
      <c r="G372" s="83"/>
      <c r="H372" s="227"/>
      <c r="I372" s="225"/>
      <c r="J372" s="225"/>
      <c r="K372" s="226"/>
      <c r="L372" s="227"/>
      <c r="M372" s="227"/>
      <c r="N372" s="228"/>
      <c r="O372" s="228"/>
      <c r="P372" s="229"/>
      <c r="Q372" s="229"/>
      <c r="R372" s="229"/>
      <c r="S372" s="230"/>
      <c r="T372" s="231"/>
      <c r="U372" s="231"/>
      <c r="V372" s="231"/>
      <c r="W372" s="232"/>
      <c r="X372" s="82"/>
    </row>
    <row r="373" spans="2:24" ht="14.25" customHeight="1" x14ac:dyDescent="0.25">
      <c r="B373" s="82"/>
      <c r="C373" s="242"/>
      <c r="D373" s="83"/>
      <c r="E373" s="83"/>
      <c r="F373" s="83"/>
      <c r="G373" s="83"/>
      <c r="H373" s="227"/>
      <c r="I373" s="225"/>
      <c r="J373" s="225"/>
      <c r="K373" s="226"/>
      <c r="L373" s="227"/>
      <c r="M373" s="227"/>
      <c r="N373" s="228"/>
      <c r="O373" s="228"/>
      <c r="P373" s="229"/>
      <c r="Q373" s="229"/>
      <c r="R373" s="229"/>
      <c r="S373" s="230"/>
      <c r="T373" s="231"/>
      <c r="U373" s="231"/>
      <c r="V373" s="231"/>
      <c r="W373" s="232"/>
      <c r="X373" s="82"/>
    </row>
    <row r="374" spans="2:24" ht="14.25" customHeight="1" x14ac:dyDescent="0.25">
      <c r="B374" s="82"/>
      <c r="C374" s="242"/>
      <c r="D374" s="83"/>
      <c r="E374" s="83"/>
      <c r="F374" s="83"/>
      <c r="G374" s="83"/>
      <c r="H374" s="227"/>
      <c r="I374" s="225"/>
      <c r="J374" s="225"/>
      <c r="K374" s="226"/>
      <c r="L374" s="227"/>
      <c r="M374" s="227"/>
      <c r="N374" s="228"/>
      <c r="O374" s="228"/>
      <c r="P374" s="229"/>
      <c r="Q374" s="229"/>
      <c r="R374" s="229"/>
      <c r="S374" s="230"/>
      <c r="T374" s="231"/>
      <c r="U374" s="231"/>
      <c r="V374" s="231"/>
      <c r="W374" s="232"/>
      <c r="X374" s="82"/>
    </row>
    <row r="375" spans="2:24" ht="14.25" customHeight="1" x14ac:dyDescent="0.25">
      <c r="B375" s="82"/>
      <c r="C375" s="242"/>
      <c r="D375" s="83"/>
      <c r="E375" s="83"/>
      <c r="F375" s="83"/>
      <c r="G375" s="83"/>
      <c r="H375" s="227"/>
      <c r="I375" s="225"/>
      <c r="J375" s="225"/>
      <c r="K375" s="226"/>
      <c r="L375" s="227"/>
      <c r="M375" s="227"/>
      <c r="N375" s="228"/>
      <c r="O375" s="228"/>
      <c r="P375" s="229"/>
      <c r="Q375" s="229"/>
      <c r="R375" s="229"/>
      <c r="S375" s="230"/>
      <c r="T375" s="231"/>
      <c r="U375" s="231"/>
      <c r="V375" s="231"/>
      <c r="W375" s="232"/>
      <c r="X375" s="82"/>
    </row>
    <row r="376" spans="2:24" ht="14.25" customHeight="1" x14ac:dyDescent="0.25">
      <c r="B376" s="82"/>
      <c r="C376" s="242"/>
      <c r="D376" s="83"/>
      <c r="E376" s="83"/>
      <c r="F376" s="83"/>
      <c r="G376" s="83"/>
      <c r="H376" s="227"/>
      <c r="I376" s="225"/>
      <c r="J376" s="225"/>
      <c r="K376" s="226"/>
      <c r="L376" s="227"/>
      <c r="M376" s="227"/>
      <c r="N376" s="228"/>
      <c r="O376" s="228"/>
      <c r="P376" s="229"/>
      <c r="Q376" s="229"/>
      <c r="R376" s="229"/>
      <c r="S376" s="230"/>
      <c r="T376" s="231"/>
      <c r="U376" s="231"/>
      <c r="V376" s="231"/>
      <c r="W376" s="232"/>
      <c r="X376" s="82"/>
    </row>
    <row r="377" spans="2:24" ht="14.25" customHeight="1" x14ac:dyDescent="0.25">
      <c r="B377" s="82"/>
      <c r="C377" s="242"/>
      <c r="D377" s="83"/>
      <c r="E377" s="83"/>
      <c r="F377" s="83"/>
      <c r="G377" s="83"/>
      <c r="H377" s="227"/>
      <c r="I377" s="225"/>
      <c r="J377" s="225"/>
      <c r="K377" s="226"/>
      <c r="L377" s="227"/>
      <c r="M377" s="227"/>
      <c r="N377" s="228"/>
      <c r="O377" s="228"/>
      <c r="P377" s="229"/>
      <c r="Q377" s="229"/>
      <c r="R377" s="229"/>
      <c r="S377" s="230"/>
      <c r="T377" s="231"/>
      <c r="U377" s="231"/>
      <c r="V377" s="231"/>
      <c r="W377" s="232"/>
      <c r="X377" s="82"/>
    </row>
    <row r="378" spans="2:24" ht="14.25" customHeight="1" x14ac:dyDescent="0.25">
      <c r="B378" s="82"/>
      <c r="C378" s="242"/>
      <c r="D378" s="83"/>
      <c r="E378" s="83"/>
      <c r="F378" s="83"/>
      <c r="G378" s="83"/>
      <c r="H378" s="227"/>
      <c r="I378" s="225"/>
      <c r="J378" s="225"/>
      <c r="K378" s="226"/>
      <c r="L378" s="227"/>
      <c r="M378" s="227"/>
      <c r="N378" s="228"/>
      <c r="O378" s="228"/>
      <c r="P378" s="229"/>
      <c r="Q378" s="229"/>
      <c r="R378" s="229"/>
      <c r="S378" s="230"/>
      <c r="T378" s="231"/>
      <c r="U378" s="231"/>
      <c r="V378" s="231"/>
      <c r="W378" s="232"/>
      <c r="X378" s="82"/>
    </row>
    <row r="379" spans="2:24" ht="14.25" customHeight="1" x14ac:dyDescent="0.25">
      <c r="B379" s="82"/>
      <c r="C379" s="242"/>
      <c r="D379" s="83"/>
      <c r="E379" s="83"/>
      <c r="F379" s="83"/>
      <c r="G379" s="83"/>
      <c r="H379" s="227"/>
      <c r="I379" s="225"/>
      <c r="J379" s="225"/>
      <c r="K379" s="226"/>
      <c r="L379" s="227"/>
      <c r="M379" s="227"/>
      <c r="N379" s="228"/>
      <c r="O379" s="228"/>
      <c r="P379" s="229"/>
      <c r="Q379" s="229"/>
      <c r="R379" s="229"/>
      <c r="S379" s="230"/>
      <c r="T379" s="231"/>
      <c r="U379" s="231"/>
      <c r="V379" s="231"/>
      <c r="W379" s="232"/>
      <c r="X379" s="82"/>
    </row>
    <row r="380" spans="2:24" ht="14.25" customHeight="1" x14ac:dyDescent="0.25">
      <c r="B380" s="82"/>
      <c r="C380" s="242"/>
      <c r="D380" s="83"/>
      <c r="E380" s="83"/>
      <c r="F380" s="83"/>
      <c r="G380" s="83"/>
      <c r="H380" s="227"/>
      <c r="I380" s="225"/>
      <c r="J380" s="225"/>
      <c r="K380" s="226"/>
      <c r="L380" s="227"/>
      <c r="M380" s="227"/>
      <c r="N380" s="228"/>
      <c r="O380" s="228"/>
      <c r="P380" s="229"/>
      <c r="Q380" s="229"/>
      <c r="R380" s="229"/>
      <c r="S380" s="230"/>
      <c r="T380" s="231"/>
      <c r="U380" s="231"/>
      <c r="V380" s="231"/>
      <c r="W380" s="232"/>
      <c r="X380" s="82"/>
    </row>
    <row r="381" spans="2:24" ht="14.25" customHeight="1" x14ac:dyDescent="0.25">
      <c r="B381" s="82"/>
      <c r="C381" s="242"/>
      <c r="D381" s="83"/>
      <c r="E381" s="83"/>
      <c r="F381" s="83"/>
      <c r="G381" s="83"/>
      <c r="H381" s="227"/>
      <c r="I381" s="225"/>
      <c r="J381" s="225"/>
      <c r="K381" s="226"/>
      <c r="L381" s="227"/>
      <c r="M381" s="227"/>
      <c r="N381" s="228"/>
      <c r="O381" s="228"/>
      <c r="P381" s="229"/>
      <c r="Q381" s="229"/>
      <c r="R381" s="229"/>
      <c r="S381" s="230"/>
      <c r="T381" s="231"/>
      <c r="U381" s="231"/>
      <c r="V381" s="231"/>
      <c r="W381" s="232"/>
      <c r="X381" s="82"/>
    </row>
    <row r="382" spans="2:24" ht="14.25" customHeight="1" x14ac:dyDescent="0.25">
      <c r="B382" s="82"/>
      <c r="C382" s="242"/>
      <c r="D382" s="83"/>
      <c r="E382" s="83"/>
      <c r="F382" s="83"/>
      <c r="G382" s="83"/>
      <c r="H382" s="227"/>
      <c r="I382" s="225"/>
      <c r="J382" s="225"/>
      <c r="K382" s="226"/>
      <c r="L382" s="227"/>
      <c r="M382" s="227"/>
      <c r="N382" s="228"/>
      <c r="O382" s="228"/>
      <c r="P382" s="229"/>
      <c r="Q382" s="229"/>
      <c r="R382" s="229"/>
      <c r="S382" s="230"/>
      <c r="T382" s="231"/>
      <c r="U382" s="231"/>
      <c r="V382" s="231"/>
      <c r="W382" s="232"/>
      <c r="X382" s="82"/>
    </row>
    <row r="383" spans="2:24" ht="14.25" customHeight="1" x14ac:dyDescent="0.25">
      <c r="B383" s="82"/>
      <c r="C383" s="242"/>
      <c r="D383" s="83"/>
      <c r="E383" s="83"/>
      <c r="F383" s="83"/>
      <c r="G383" s="83"/>
      <c r="H383" s="227"/>
      <c r="I383" s="225"/>
      <c r="J383" s="225"/>
      <c r="K383" s="226"/>
      <c r="L383" s="227"/>
      <c r="M383" s="227"/>
      <c r="N383" s="228"/>
      <c r="O383" s="228"/>
      <c r="P383" s="229"/>
      <c r="Q383" s="229"/>
      <c r="R383" s="229"/>
      <c r="S383" s="230"/>
      <c r="T383" s="231"/>
      <c r="U383" s="231"/>
      <c r="V383" s="231"/>
      <c r="W383" s="232"/>
      <c r="X383" s="82"/>
    </row>
    <row r="384" spans="2:24" ht="14.25" customHeight="1" x14ac:dyDescent="0.25">
      <c r="B384" s="82"/>
      <c r="C384" s="242"/>
      <c r="D384" s="83"/>
      <c r="E384" s="83"/>
      <c r="F384" s="83"/>
      <c r="G384" s="83"/>
      <c r="H384" s="227"/>
      <c r="I384" s="225"/>
      <c r="J384" s="225"/>
      <c r="K384" s="226"/>
      <c r="L384" s="227"/>
      <c r="M384" s="227"/>
      <c r="N384" s="228"/>
      <c r="O384" s="228"/>
      <c r="P384" s="229"/>
      <c r="Q384" s="229"/>
      <c r="R384" s="229"/>
      <c r="S384" s="230"/>
      <c r="T384" s="231"/>
      <c r="U384" s="231"/>
      <c r="V384" s="231"/>
      <c r="W384" s="232"/>
      <c r="X384" s="82"/>
    </row>
    <row r="385" spans="2:24" ht="14.25" customHeight="1" x14ac:dyDescent="0.25">
      <c r="B385" s="82"/>
      <c r="C385" s="242"/>
      <c r="D385" s="83"/>
      <c r="E385" s="83"/>
      <c r="F385" s="83"/>
      <c r="G385" s="83"/>
      <c r="H385" s="227"/>
      <c r="I385" s="225"/>
      <c r="J385" s="225"/>
      <c r="K385" s="226"/>
      <c r="L385" s="227"/>
      <c r="M385" s="227"/>
      <c r="N385" s="228"/>
      <c r="O385" s="228"/>
      <c r="P385" s="229"/>
      <c r="Q385" s="229"/>
      <c r="R385" s="229"/>
      <c r="S385" s="230"/>
      <c r="T385" s="231"/>
      <c r="U385" s="231"/>
      <c r="V385" s="231"/>
      <c r="W385" s="232"/>
      <c r="X385" s="82"/>
    </row>
    <row r="386" spans="2:24" ht="14.25" customHeight="1" x14ac:dyDescent="0.25">
      <c r="B386" s="82"/>
      <c r="C386" s="242"/>
      <c r="D386" s="83"/>
      <c r="E386" s="83"/>
      <c r="F386" s="83"/>
      <c r="G386" s="83"/>
      <c r="H386" s="227"/>
      <c r="I386" s="225"/>
      <c r="J386" s="225"/>
      <c r="K386" s="226"/>
      <c r="L386" s="227"/>
      <c r="M386" s="227"/>
      <c r="N386" s="228"/>
      <c r="O386" s="228"/>
      <c r="P386" s="229"/>
      <c r="Q386" s="229"/>
      <c r="R386" s="229"/>
      <c r="S386" s="230"/>
      <c r="T386" s="231"/>
      <c r="U386" s="231"/>
      <c r="V386" s="231"/>
      <c r="W386" s="232"/>
      <c r="X386" s="82"/>
    </row>
    <row r="387" spans="2:24" ht="14.25" customHeight="1" x14ac:dyDescent="0.25">
      <c r="B387" s="82"/>
      <c r="C387" s="242"/>
      <c r="D387" s="83"/>
      <c r="E387" s="83"/>
      <c r="F387" s="83"/>
      <c r="G387" s="83"/>
      <c r="H387" s="227"/>
      <c r="I387" s="225"/>
      <c r="J387" s="225"/>
      <c r="K387" s="226"/>
      <c r="L387" s="227"/>
      <c r="M387" s="227"/>
      <c r="N387" s="228"/>
      <c r="O387" s="228"/>
      <c r="P387" s="229"/>
      <c r="Q387" s="229"/>
      <c r="R387" s="229"/>
      <c r="S387" s="230"/>
      <c r="T387" s="231"/>
      <c r="U387" s="231"/>
      <c r="V387" s="231"/>
      <c r="W387" s="232"/>
      <c r="X387" s="82"/>
    </row>
    <row r="388" spans="2:24" ht="14.25" customHeight="1" x14ac:dyDescent="0.25">
      <c r="B388" s="82"/>
      <c r="C388" s="242"/>
      <c r="D388" s="83"/>
      <c r="E388" s="83"/>
      <c r="F388" s="83"/>
      <c r="G388" s="83"/>
      <c r="H388" s="227"/>
      <c r="I388" s="225"/>
      <c r="J388" s="225"/>
      <c r="K388" s="226"/>
      <c r="L388" s="227"/>
      <c r="M388" s="227"/>
      <c r="N388" s="228"/>
      <c r="O388" s="228"/>
      <c r="P388" s="229"/>
      <c r="Q388" s="229"/>
      <c r="R388" s="229"/>
      <c r="S388" s="230"/>
      <c r="T388" s="231"/>
      <c r="U388" s="231"/>
      <c r="V388" s="231"/>
      <c r="W388" s="232"/>
      <c r="X388" s="82"/>
    </row>
    <row r="389" spans="2:24" ht="14.25" customHeight="1" x14ac:dyDescent="0.25">
      <c r="B389" s="82"/>
      <c r="C389" s="242"/>
      <c r="D389" s="83"/>
      <c r="E389" s="83"/>
      <c r="F389" s="83"/>
      <c r="G389" s="83"/>
      <c r="H389" s="227"/>
      <c r="I389" s="225"/>
      <c r="J389" s="225"/>
      <c r="K389" s="226"/>
      <c r="L389" s="227"/>
      <c r="M389" s="227"/>
      <c r="N389" s="228"/>
      <c r="O389" s="228"/>
      <c r="P389" s="229"/>
      <c r="Q389" s="229"/>
      <c r="R389" s="229"/>
      <c r="S389" s="230"/>
      <c r="T389" s="231"/>
      <c r="U389" s="231"/>
      <c r="V389" s="231"/>
      <c r="W389" s="232"/>
      <c r="X389" s="82"/>
    </row>
    <row r="390" spans="2:24" ht="14.25" customHeight="1" x14ac:dyDescent="0.25">
      <c r="B390" s="82"/>
      <c r="C390" s="242"/>
      <c r="D390" s="83"/>
      <c r="E390" s="83"/>
      <c r="F390" s="83"/>
      <c r="G390" s="83"/>
      <c r="H390" s="227"/>
      <c r="I390" s="225"/>
      <c r="J390" s="225"/>
      <c r="K390" s="226"/>
      <c r="L390" s="227"/>
      <c r="M390" s="227"/>
      <c r="N390" s="228"/>
      <c r="O390" s="228"/>
      <c r="P390" s="229"/>
      <c r="Q390" s="229"/>
      <c r="R390" s="229"/>
      <c r="S390" s="230"/>
      <c r="T390" s="231"/>
      <c r="U390" s="231"/>
      <c r="V390" s="231"/>
      <c r="W390" s="232"/>
      <c r="X390" s="82"/>
    </row>
    <row r="391" spans="2:24" ht="14.25" customHeight="1" x14ac:dyDescent="0.25">
      <c r="B391" s="82"/>
      <c r="C391" s="242"/>
      <c r="D391" s="83"/>
      <c r="E391" s="83"/>
      <c r="F391" s="83"/>
      <c r="G391" s="83"/>
      <c r="H391" s="227"/>
      <c r="I391" s="225"/>
      <c r="J391" s="225"/>
      <c r="K391" s="226"/>
      <c r="L391" s="227"/>
      <c r="M391" s="227"/>
      <c r="N391" s="228"/>
      <c r="O391" s="228"/>
      <c r="P391" s="229"/>
      <c r="Q391" s="229"/>
      <c r="R391" s="229"/>
      <c r="S391" s="230"/>
      <c r="T391" s="231"/>
      <c r="U391" s="231"/>
      <c r="V391" s="231"/>
      <c r="W391" s="232"/>
      <c r="X391" s="82"/>
    </row>
    <row r="392" spans="2:24" ht="14.25" customHeight="1" x14ac:dyDescent="0.25">
      <c r="B392" s="82"/>
      <c r="C392" s="242"/>
      <c r="D392" s="83"/>
      <c r="E392" s="83"/>
      <c r="F392" s="83"/>
      <c r="G392" s="83"/>
      <c r="H392" s="227"/>
      <c r="I392" s="225"/>
      <c r="J392" s="225"/>
      <c r="K392" s="226"/>
      <c r="L392" s="227"/>
      <c r="M392" s="227"/>
      <c r="N392" s="228"/>
      <c r="O392" s="228"/>
      <c r="P392" s="229"/>
      <c r="Q392" s="229"/>
      <c r="R392" s="229"/>
      <c r="S392" s="230"/>
      <c r="T392" s="231"/>
      <c r="U392" s="231"/>
      <c r="V392" s="231"/>
      <c r="W392" s="232"/>
      <c r="X392" s="82"/>
    </row>
    <row r="393" spans="2:24" ht="14.25" customHeight="1" x14ac:dyDescent="0.25">
      <c r="B393" s="82"/>
      <c r="C393" s="242"/>
      <c r="D393" s="83"/>
      <c r="E393" s="83"/>
      <c r="F393" s="83"/>
      <c r="G393" s="83"/>
      <c r="H393" s="227"/>
      <c r="I393" s="225"/>
      <c r="J393" s="225"/>
      <c r="K393" s="226"/>
      <c r="L393" s="227"/>
      <c r="M393" s="227"/>
      <c r="N393" s="228"/>
      <c r="O393" s="228"/>
      <c r="P393" s="229"/>
      <c r="Q393" s="229"/>
      <c r="R393" s="229"/>
      <c r="S393" s="230"/>
      <c r="T393" s="231"/>
      <c r="U393" s="231"/>
      <c r="V393" s="231"/>
      <c r="W393" s="232"/>
      <c r="X393" s="82"/>
    </row>
    <row r="394" spans="2:24" ht="14.25" customHeight="1" x14ac:dyDescent="0.25">
      <c r="B394" s="82"/>
      <c r="C394" s="242"/>
      <c r="D394" s="83"/>
      <c r="E394" s="83"/>
      <c r="F394" s="83"/>
      <c r="G394" s="83"/>
      <c r="H394" s="227"/>
      <c r="I394" s="225"/>
      <c r="J394" s="225"/>
      <c r="K394" s="226"/>
      <c r="L394" s="227"/>
      <c r="M394" s="227"/>
      <c r="N394" s="228"/>
      <c r="O394" s="228"/>
      <c r="P394" s="229"/>
      <c r="Q394" s="229"/>
      <c r="R394" s="229"/>
      <c r="S394" s="230"/>
      <c r="T394" s="231"/>
      <c r="U394" s="231"/>
      <c r="V394" s="231"/>
      <c r="W394" s="232"/>
      <c r="X394" s="82"/>
    </row>
    <row r="395" spans="2:24" ht="14.25" customHeight="1" x14ac:dyDescent="0.25">
      <c r="B395" s="82"/>
      <c r="C395" s="242"/>
      <c r="D395" s="83"/>
      <c r="E395" s="83"/>
      <c r="F395" s="83"/>
      <c r="G395" s="83"/>
      <c r="H395" s="227"/>
      <c r="I395" s="225"/>
      <c r="J395" s="225"/>
      <c r="K395" s="226"/>
      <c r="L395" s="227"/>
      <c r="M395" s="227"/>
      <c r="N395" s="228"/>
      <c r="O395" s="228"/>
      <c r="P395" s="229"/>
      <c r="Q395" s="229"/>
      <c r="R395" s="229"/>
      <c r="S395" s="230"/>
      <c r="T395" s="231"/>
      <c r="U395" s="231"/>
      <c r="V395" s="231"/>
      <c r="W395" s="232"/>
      <c r="X395" s="82"/>
    </row>
    <row r="396" spans="2:24" ht="14.25" customHeight="1" x14ac:dyDescent="0.25">
      <c r="B396" s="82"/>
      <c r="C396" s="242"/>
      <c r="D396" s="83"/>
      <c r="E396" s="83"/>
      <c r="F396" s="83"/>
      <c r="G396" s="83"/>
      <c r="H396" s="227"/>
      <c r="I396" s="225"/>
      <c r="J396" s="225"/>
      <c r="K396" s="226"/>
      <c r="L396" s="227"/>
      <c r="M396" s="227"/>
      <c r="N396" s="228"/>
      <c r="O396" s="228"/>
      <c r="P396" s="229"/>
      <c r="Q396" s="229"/>
      <c r="R396" s="229"/>
      <c r="S396" s="230"/>
      <c r="T396" s="231"/>
      <c r="U396" s="231"/>
      <c r="V396" s="231"/>
      <c r="W396" s="232"/>
      <c r="X396" s="82"/>
    </row>
    <row r="397" spans="2:24" ht="12.75" x14ac:dyDescent="0.25">
      <c r="B397" s="82"/>
      <c r="C397" s="242"/>
      <c r="D397" s="83"/>
      <c r="E397" s="83"/>
      <c r="F397" s="83"/>
      <c r="G397" s="83"/>
      <c r="H397" s="227"/>
      <c r="I397" s="225"/>
      <c r="J397" s="225"/>
      <c r="K397" s="226"/>
      <c r="L397" s="227"/>
      <c r="M397" s="227"/>
      <c r="N397" s="228"/>
      <c r="O397" s="228"/>
      <c r="P397" s="229"/>
      <c r="Q397" s="229"/>
      <c r="R397" s="229"/>
      <c r="S397" s="230"/>
      <c r="T397" s="231"/>
      <c r="U397" s="231"/>
      <c r="V397" s="231"/>
      <c r="W397" s="232"/>
      <c r="X397" s="82"/>
    </row>
    <row r="398" spans="2:24" ht="12.75" x14ac:dyDescent="0.25">
      <c r="B398" s="82"/>
      <c r="C398" s="242"/>
      <c r="D398" s="83"/>
      <c r="E398" s="83"/>
      <c r="F398" s="83"/>
      <c r="G398" s="83"/>
      <c r="H398" s="227"/>
      <c r="I398" s="225"/>
      <c r="J398" s="225"/>
      <c r="K398" s="226"/>
      <c r="L398" s="227"/>
      <c r="M398" s="227"/>
      <c r="N398" s="228"/>
      <c r="O398" s="228"/>
      <c r="P398" s="229"/>
      <c r="Q398" s="229"/>
      <c r="R398" s="229"/>
      <c r="S398" s="230"/>
      <c r="T398" s="231"/>
      <c r="U398" s="231"/>
      <c r="V398" s="231"/>
      <c r="W398" s="232"/>
      <c r="X398" s="82"/>
    </row>
    <row r="399" spans="2:24" ht="12.75" x14ac:dyDescent="0.25">
      <c r="B399" s="82"/>
      <c r="C399" s="242"/>
      <c r="D399" s="83"/>
      <c r="E399" s="83"/>
      <c r="F399" s="83"/>
      <c r="G399" s="83"/>
      <c r="H399" s="227"/>
      <c r="I399" s="225"/>
      <c r="J399" s="225"/>
      <c r="K399" s="226"/>
      <c r="L399" s="227"/>
      <c r="M399" s="227"/>
      <c r="N399" s="228"/>
      <c r="O399" s="228"/>
      <c r="P399" s="229"/>
      <c r="Q399" s="229"/>
      <c r="R399" s="229"/>
      <c r="S399" s="230"/>
      <c r="T399" s="231"/>
      <c r="U399" s="231"/>
      <c r="V399" s="231"/>
      <c r="W399" s="232"/>
      <c r="X399" s="82"/>
    </row>
    <row r="400" spans="2:24" ht="12.75" x14ac:dyDescent="0.25">
      <c r="B400" s="82"/>
      <c r="C400" s="242"/>
      <c r="D400" s="83"/>
      <c r="E400" s="83"/>
      <c r="F400" s="83"/>
      <c r="G400" s="83"/>
      <c r="H400" s="227"/>
      <c r="I400" s="225"/>
      <c r="J400" s="225"/>
      <c r="K400" s="226"/>
      <c r="L400" s="227"/>
      <c r="M400" s="227"/>
      <c r="N400" s="228"/>
      <c r="O400" s="228"/>
      <c r="P400" s="229"/>
      <c r="Q400" s="229"/>
      <c r="R400" s="229"/>
      <c r="S400" s="230"/>
      <c r="T400" s="231"/>
      <c r="U400" s="231"/>
      <c r="V400" s="231"/>
      <c r="W400" s="232"/>
      <c r="X400" s="82"/>
    </row>
    <row r="401" spans="2:2" ht="12.75" x14ac:dyDescent="0.25">
      <c r="B401" s="139"/>
    </row>
    <row r="402" spans="2:2" ht="12.75" x14ac:dyDescent="0.25">
      <c r="B402" s="139"/>
    </row>
    <row r="403" spans="2:2" ht="12.75" x14ac:dyDescent="0.25">
      <c r="B403" s="139"/>
    </row>
    <row r="404" spans="2:2" ht="12.75" x14ac:dyDescent="0.25">
      <c r="B404" s="139"/>
    </row>
    <row r="405" spans="2:2" ht="12.75" x14ac:dyDescent="0.25">
      <c r="B405" s="139"/>
    </row>
    <row r="406" spans="2:2" ht="12.75" x14ac:dyDescent="0.25">
      <c r="B406" s="139"/>
    </row>
    <row r="407" spans="2:2" ht="12.75" x14ac:dyDescent="0.25">
      <c r="B407" s="139"/>
    </row>
    <row r="408" spans="2:2" ht="12.75" x14ac:dyDescent="0.25">
      <c r="B408" s="139"/>
    </row>
    <row r="409" spans="2:2" ht="12.75" x14ac:dyDescent="0.25">
      <c r="B409" s="139"/>
    </row>
    <row r="410" spans="2:2" ht="12.75" x14ac:dyDescent="0.25">
      <c r="B410" s="139"/>
    </row>
    <row r="411" spans="2:2" ht="12.75" x14ac:dyDescent="0.25">
      <c r="B411" s="139"/>
    </row>
    <row r="412" spans="2:2" ht="12.75" x14ac:dyDescent="0.25">
      <c r="B412" s="139"/>
    </row>
    <row r="413" spans="2:2" ht="12.75" x14ac:dyDescent="0.25">
      <c r="B413" s="139"/>
    </row>
    <row r="414" spans="2:2" ht="12.75" x14ac:dyDescent="0.25">
      <c r="B414" s="139"/>
    </row>
    <row r="415" spans="2:2" ht="12.75" x14ac:dyDescent="0.25">
      <c r="B415" s="139"/>
    </row>
    <row r="416" spans="2:2" ht="12.75" x14ac:dyDescent="0.25">
      <c r="B416" s="139"/>
    </row>
    <row r="417" spans="2:2" ht="12.75" x14ac:dyDescent="0.25">
      <c r="B417" s="139"/>
    </row>
    <row r="418" spans="2:2" ht="12.75" x14ac:dyDescent="0.25">
      <c r="B418" s="139"/>
    </row>
    <row r="419" spans="2:2" ht="12.75" x14ac:dyDescent="0.25">
      <c r="B419" s="139"/>
    </row>
    <row r="420" spans="2:2" ht="12.75" x14ac:dyDescent="0.25">
      <c r="B420" s="139"/>
    </row>
    <row r="421" spans="2:2" ht="12.75" x14ac:dyDescent="0.25">
      <c r="B421" s="139"/>
    </row>
    <row r="422" spans="2:2" ht="12.75" x14ac:dyDescent="0.25">
      <c r="B422" s="139"/>
    </row>
    <row r="423" spans="2:2" ht="12.75" x14ac:dyDescent="0.25">
      <c r="B423" s="139"/>
    </row>
    <row r="424" spans="2:2" ht="12.75" x14ac:dyDescent="0.25">
      <c r="B424" s="139"/>
    </row>
    <row r="425" spans="2:2" ht="12.75" x14ac:dyDescent="0.25">
      <c r="B425" s="139"/>
    </row>
    <row r="426" spans="2:2" ht="12.75" x14ac:dyDescent="0.25">
      <c r="B426" s="139"/>
    </row>
    <row r="427" spans="2:2" ht="12.75" x14ac:dyDescent="0.25">
      <c r="B427" s="139"/>
    </row>
    <row r="428" spans="2:2" ht="12.75" x14ac:dyDescent="0.25">
      <c r="B428" s="139"/>
    </row>
    <row r="429" spans="2:2" ht="12.75" x14ac:dyDescent="0.25">
      <c r="B429" s="139"/>
    </row>
    <row r="430" spans="2:2" ht="12.75" x14ac:dyDescent="0.25">
      <c r="B430" s="139"/>
    </row>
    <row r="431" spans="2:2" ht="12.75" x14ac:dyDescent="0.25">
      <c r="B431" s="139"/>
    </row>
    <row r="432" spans="2:2" ht="12.75" x14ac:dyDescent="0.25">
      <c r="B432" s="139"/>
    </row>
    <row r="433" spans="2:2" ht="12.75" x14ac:dyDescent="0.25">
      <c r="B433" s="139"/>
    </row>
    <row r="434" spans="2:2" ht="12.75" x14ac:dyDescent="0.25">
      <c r="B434" s="139"/>
    </row>
    <row r="435" spans="2:2" ht="12.75" x14ac:dyDescent="0.25">
      <c r="B435" s="139"/>
    </row>
    <row r="436" spans="2:2" ht="12.75" x14ac:dyDescent="0.25">
      <c r="B436" s="139"/>
    </row>
    <row r="437" spans="2:2" ht="12.75" x14ac:dyDescent="0.25">
      <c r="B437" s="139"/>
    </row>
    <row r="438" spans="2:2" ht="12.75" x14ac:dyDescent="0.25">
      <c r="B438" s="139"/>
    </row>
    <row r="439" spans="2:2" ht="12.75" x14ac:dyDescent="0.25">
      <c r="B439" s="139"/>
    </row>
    <row r="440" spans="2:2" ht="12.75" x14ac:dyDescent="0.25">
      <c r="B440" s="139"/>
    </row>
    <row r="441" spans="2:2" ht="12.75" x14ac:dyDescent="0.25">
      <c r="B441" s="139"/>
    </row>
    <row r="442" spans="2:2" ht="12.75" x14ac:dyDescent="0.25">
      <c r="B442" s="139"/>
    </row>
    <row r="443" spans="2:2" ht="12.75" x14ac:dyDescent="0.25">
      <c r="B443" s="139"/>
    </row>
    <row r="444" spans="2:2" ht="12.75" x14ac:dyDescent="0.25">
      <c r="B444" s="139"/>
    </row>
    <row r="445" spans="2:2" ht="12.75" x14ac:dyDescent="0.25">
      <c r="B445" s="139"/>
    </row>
    <row r="446" spans="2:2" ht="12.75" x14ac:dyDescent="0.25">
      <c r="B446" s="139"/>
    </row>
    <row r="447" spans="2:2" ht="12.75" x14ac:dyDescent="0.25">
      <c r="B447" s="139"/>
    </row>
    <row r="448" spans="2:2" ht="12.75" x14ac:dyDescent="0.25">
      <c r="B448" s="139"/>
    </row>
    <row r="449" spans="2:2" ht="12.75" x14ac:dyDescent="0.25">
      <c r="B449" s="139"/>
    </row>
    <row r="450" spans="2:2" ht="12.75" x14ac:dyDescent="0.25">
      <c r="B450" s="139"/>
    </row>
    <row r="451" spans="2:2" ht="12.75" x14ac:dyDescent="0.25">
      <c r="B451" s="139"/>
    </row>
    <row r="452" spans="2:2" ht="12.75" x14ac:dyDescent="0.25">
      <c r="B452" s="139"/>
    </row>
    <row r="453" spans="2:2" ht="12.75" x14ac:dyDescent="0.25">
      <c r="B453" s="139"/>
    </row>
    <row r="454" spans="2:2" ht="12.75" x14ac:dyDescent="0.25">
      <c r="B454" s="139"/>
    </row>
    <row r="455" spans="2:2" ht="12.75" x14ac:dyDescent="0.25">
      <c r="B455" s="139"/>
    </row>
    <row r="456" spans="2:2" ht="12.75" x14ac:dyDescent="0.25">
      <c r="B456" s="139"/>
    </row>
    <row r="457" spans="2:2" ht="12.75" x14ac:dyDescent="0.25">
      <c r="B457" s="139"/>
    </row>
    <row r="458" spans="2:2" ht="12.75" x14ac:dyDescent="0.25">
      <c r="B458" s="139"/>
    </row>
    <row r="459" spans="2:2" ht="12.75" x14ac:dyDescent="0.25">
      <c r="B459" s="139"/>
    </row>
    <row r="460" spans="2:2" ht="12.75" x14ac:dyDescent="0.25">
      <c r="B460" s="139"/>
    </row>
    <row r="461" spans="2:2" ht="12.75" x14ac:dyDescent="0.25">
      <c r="B461" s="139"/>
    </row>
    <row r="462" spans="2:2" ht="12.75" x14ac:dyDescent="0.25">
      <c r="B462" s="139"/>
    </row>
    <row r="463" spans="2:2" ht="12.75" x14ac:dyDescent="0.25">
      <c r="B463" s="139"/>
    </row>
    <row r="464" spans="2:2" ht="12.75" x14ac:dyDescent="0.25">
      <c r="B464" s="139"/>
    </row>
    <row r="465" spans="2:2" ht="12.75" x14ac:dyDescent="0.25">
      <c r="B465" s="139"/>
    </row>
    <row r="466" spans="2:2" ht="12.75" x14ac:dyDescent="0.25">
      <c r="B466" s="139"/>
    </row>
    <row r="467" spans="2:2" ht="12.75" x14ac:dyDescent="0.25">
      <c r="B467" s="139"/>
    </row>
    <row r="468" spans="2:2" ht="12.75" x14ac:dyDescent="0.25">
      <c r="B468" s="139"/>
    </row>
    <row r="469" spans="2:2" ht="12.75" x14ac:dyDescent="0.25">
      <c r="B469" s="139"/>
    </row>
    <row r="470" spans="2:2" ht="12.75" x14ac:dyDescent="0.25">
      <c r="B470" s="139"/>
    </row>
    <row r="471" spans="2:2" ht="12.75" x14ac:dyDescent="0.25">
      <c r="B471" s="139"/>
    </row>
    <row r="472" spans="2:2" ht="12.75" x14ac:dyDescent="0.25">
      <c r="B472" s="139"/>
    </row>
    <row r="473" spans="2:2" ht="12.75" x14ac:dyDescent="0.25">
      <c r="B473" s="139"/>
    </row>
    <row r="474" spans="2:2" ht="12.75" x14ac:dyDescent="0.25">
      <c r="B474" s="139"/>
    </row>
    <row r="475" spans="2:2" ht="12.75" x14ac:dyDescent="0.25">
      <c r="B475" s="139"/>
    </row>
    <row r="476" spans="2:2" ht="12.75" x14ac:dyDescent="0.25">
      <c r="B476" s="139"/>
    </row>
    <row r="477" spans="2:2" ht="12.75" x14ac:dyDescent="0.25">
      <c r="B477" s="139"/>
    </row>
    <row r="478" spans="2:2" ht="12.75" x14ac:dyDescent="0.25">
      <c r="B478" s="139"/>
    </row>
    <row r="479" spans="2:2" ht="12.75" x14ac:dyDescent="0.25">
      <c r="B479" s="139"/>
    </row>
    <row r="480" spans="2:2" ht="12.75" x14ac:dyDescent="0.25">
      <c r="B480" s="139"/>
    </row>
    <row r="481" spans="2:2" ht="12.75" x14ac:dyDescent="0.25">
      <c r="B481" s="139"/>
    </row>
    <row r="482" spans="2:2" ht="12.75" x14ac:dyDescent="0.25">
      <c r="B482" s="139"/>
    </row>
    <row r="483" spans="2:2" ht="12.75" x14ac:dyDescent="0.25">
      <c r="B483" s="139"/>
    </row>
    <row r="484" spans="2:2" ht="12.75" x14ac:dyDescent="0.25">
      <c r="B484" s="139"/>
    </row>
    <row r="485" spans="2:2" ht="12.75" x14ac:dyDescent="0.25">
      <c r="B485" s="139"/>
    </row>
    <row r="486" spans="2:2" ht="12.75" x14ac:dyDescent="0.25">
      <c r="B486" s="139"/>
    </row>
    <row r="487" spans="2:2" ht="12.75" x14ac:dyDescent="0.25">
      <c r="B487" s="139"/>
    </row>
    <row r="488" spans="2:2" ht="12.75" x14ac:dyDescent="0.25">
      <c r="B488" s="139"/>
    </row>
    <row r="489" spans="2:2" ht="12.75" x14ac:dyDescent="0.25">
      <c r="B489" s="139"/>
    </row>
    <row r="490" spans="2:2" ht="12.75" x14ac:dyDescent="0.25">
      <c r="B490" s="139"/>
    </row>
    <row r="491" spans="2:2" ht="12.75" x14ac:dyDescent="0.25">
      <c r="B491" s="139"/>
    </row>
    <row r="492" spans="2:2" ht="12.75" x14ac:dyDescent="0.25">
      <c r="B492" s="139"/>
    </row>
    <row r="493" spans="2:2" ht="12.75" x14ac:dyDescent="0.25">
      <c r="B493" s="139"/>
    </row>
    <row r="494" spans="2:2" ht="12.75" x14ac:dyDescent="0.25">
      <c r="B494" s="139"/>
    </row>
    <row r="495" spans="2:2" ht="12.75" x14ac:dyDescent="0.25">
      <c r="B495" s="139"/>
    </row>
    <row r="496" spans="2:2" ht="12.75" x14ac:dyDescent="0.25">
      <c r="B496" s="139"/>
    </row>
    <row r="497" spans="2:2" ht="12.75" x14ac:dyDescent="0.25">
      <c r="B497" s="139"/>
    </row>
    <row r="498" spans="2:2" ht="12.75" x14ac:dyDescent="0.25">
      <c r="B498" s="139"/>
    </row>
    <row r="499" spans="2:2" ht="12.75" x14ac:dyDescent="0.25">
      <c r="B499" s="139"/>
    </row>
    <row r="500" spans="2:2" ht="12.75" x14ac:dyDescent="0.25">
      <c r="B500" s="139"/>
    </row>
    <row r="501" spans="2:2" ht="12.75" x14ac:dyDescent="0.25">
      <c r="B501" s="139"/>
    </row>
    <row r="502" spans="2:2" ht="12.75" x14ac:dyDescent="0.25">
      <c r="B502" s="139"/>
    </row>
    <row r="503" spans="2:2" ht="12.75" x14ac:dyDescent="0.25">
      <c r="B503" s="139"/>
    </row>
    <row r="504" spans="2:2" ht="12.75" x14ac:dyDescent="0.25">
      <c r="B504" s="139"/>
    </row>
    <row r="505" spans="2:2" ht="12.75" x14ac:dyDescent="0.25">
      <c r="B505" s="139"/>
    </row>
    <row r="506" spans="2:2" ht="12.75" x14ac:dyDescent="0.25">
      <c r="B506" s="139"/>
    </row>
    <row r="507" spans="2:2" ht="12.75" x14ac:dyDescent="0.25">
      <c r="B507" s="139"/>
    </row>
    <row r="508" spans="2:2" ht="12.75" x14ac:dyDescent="0.25">
      <c r="B508" s="139"/>
    </row>
    <row r="509" spans="2:2" ht="12.75" x14ac:dyDescent="0.25">
      <c r="B509" s="139"/>
    </row>
    <row r="510" spans="2:2" ht="12.75" x14ac:dyDescent="0.25">
      <c r="B510" s="139"/>
    </row>
    <row r="511" spans="2:2" ht="12.75" x14ac:dyDescent="0.25">
      <c r="B511" s="139"/>
    </row>
    <row r="512" spans="2:2" ht="12.75" x14ac:dyDescent="0.25">
      <c r="B512" s="139"/>
    </row>
    <row r="513" spans="2:2" ht="12.75" x14ac:dyDescent="0.25">
      <c r="B513" s="139"/>
    </row>
    <row r="514" spans="2:2" ht="12.75" x14ac:dyDescent="0.25">
      <c r="B514" s="139"/>
    </row>
    <row r="515" spans="2:2" ht="12.75" x14ac:dyDescent="0.25">
      <c r="B515" s="139"/>
    </row>
    <row r="516" spans="2:2" ht="12.75" x14ac:dyDescent="0.25">
      <c r="B516" s="139"/>
    </row>
    <row r="517" spans="2:2" ht="12.75" x14ac:dyDescent="0.25">
      <c r="B517" s="139"/>
    </row>
    <row r="518" spans="2:2" ht="12.75" x14ac:dyDescent="0.25">
      <c r="B518" s="139"/>
    </row>
    <row r="519" spans="2:2" ht="12.75" x14ac:dyDescent="0.25">
      <c r="B519" s="139"/>
    </row>
    <row r="520" spans="2:2" ht="12.75" x14ac:dyDescent="0.25">
      <c r="B520" s="139"/>
    </row>
    <row r="521" spans="2:2" ht="12.75" x14ac:dyDescent="0.25">
      <c r="B521" s="139"/>
    </row>
    <row r="522" spans="2:2" ht="12.75" x14ac:dyDescent="0.25">
      <c r="B522" s="139"/>
    </row>
    <row r="523" spans="2:2" ht="12.75" x14ac:dyDescent="0.25">
      <c r="B523" s="139"/>
    </row>
    <row r="524" spans="2:2" ht="12.75" x14ac:dyDescent="0.25">
      <c r="B524" s="139"/>
    </row>
    <row r="525" spans="2:2" ht="12.75" x14ac:dyDescent="0.25">
      <c r="B525" s="139"/>
    </row>
    <row r="526" spans="2:2" ht="12.75" x14ac:dyDescent="0.25">
      <c r="B526" s="139"/>
    </row>
    <row r="527" spans="2:2" ht="12.75" x14ac:dyDescent="0.25">
      <c r="B527" s="139"/>
    </row>
    <row r="528" spans="2:2" ht="12.75" x14ac:dyDescent="0.25">
      <c r="B528" s="139"/>
    </row>
    <row r="529" spans="2:2" ht="12.75" x14ac:dyDescent="0.25">
      <c r="B529" s="139"/>
    </row>
    <row r="530" spans="2:2" ht="12.75" x14ac:dyDescent="0.25">
      <c r="B530" s="139"/>
    </row>
    <row r="531" spans="2:2" ht="12.75" x14ac:dyDescent="0.25">
      <c r="B531" s="139"/>
    </row>
    <row r="532" spans="2:2" ht="12.75" x14ac:dyDescent="0.25">
      <c r="B532" s="139"/>
    </row>
    <row r="533" spans="2:2" ht="12.75" x14ac:dyDescent="0.25">
      <c r="B533" s="139"/>
    </row>
    <row r="534" spans="2:2" ht="12.75" x14ac:dyDescent="0.25">
      <c r="B534" s="139"/>
    </row>
    <row r="535" spans="2:2" ht="12.75" x14ac:dyDescent="0.25">
      <c r="B535" s="139"/>
    </row>
    <row r="536" spans="2:2" ht="12.75" x14ac:dyDescent="0.25">
      <c r="B536" s="139"/>
    </row>
    <row r="537" spans="2:2" ht="12.75" x14ac:dyDescent="0.25">
      <c r="B537" s="139"/>
    </row>
    <row r="538" spans="2:2" ht="12.75" x14ac:dyDescent="0.25">
      <c r="B538" s="139"/>
    </row>
    <row r="539" spans="2:2" ht="12.75" x14ac:dyDescent="0.25">
      <c r="B539" s="139"/>
    </row>
    <row r="540" spans="2:2" ht="12.75" x14ac:dyDescent="0.25">
      <c r="B540" s="139"/>
    </row>
    <row r="541" spans="2:2" ht="12.75" x14ac:dyDescent="0.25">
      <c r="B541" s="139"/>
    </row>
    <row r="542" spans="2:2" ht="12.75" x14ac:dyDescent="0.25">
      <c r="B542" s="139"/>
    </row>
    <row r="543" spans="2:2" ht="12.75" x14ac:dyDescent="0.25">
      <c r="B543" s="139"/>
    </row>
    <row r="544" spans="2:2" ht="12.75" x14ac:dyDescent="0.25">
      <c r="B544" s="139"/>
    </row>
    <row r="545" spans="2:2" ht="12.75" x14ac:dyDescent="0.25">
      <c r="B545" s="139"/>
    </row>
    <row r="546" spans="2:2" ht="12.75" x14ac:dyDescent="0.25">
      <c r="B546" s="139"/>
    </row>
    <row r="547" spans="2:2" ht="12.75" x14ac:dyDescent="0.25">
      <c r="B547" s="139"/>
    </row>
    <row r="548" spans="2:2" ht="12.75" x14ac:dyDescent="0.25">
      <c r="B548" s="139"/>
    </row>
    <row r="549" spans="2:2" ht="12.75" x14ac:dyDescent="0.25">
      <c r="B549" s="139"/>
    </row>
    <row r="550" spans="2:2" ht="12.75" x14ac:dyDescent="0.25">
      <c r="B550" s="139"/>
    </row>
    <row r="551" spans="2:2" ht="12.75" x14ac:dyDescent="0.25">
      <c r="B551" s="139"/>
    </row>
    <row r="552" spans="2:2" ht="12.75" x14ac:dyDescent="0.25">
      <c r="B552" s="139"/>
    </row>
    <row r="553" spans="2:2" ht="12.75" x14ac:dyDescent="0.25">
      <c r="B553" s="139"/>
    </row>
    <row r="554" spans="2:2" ht="12.75" x14ac:dyDescent="0.25">
      <c r="B554" s="139"/>
    </row>
    <row r="555" spans="2:2" ht="12.75" x14ac:dyDescent="0.25">
      <c r="B555" s="139"/>
    </row>
    <row r="556" spans="2:2" ht="12.75" x14ac:dyDescent="0.25">
      <c r="B556" s="139"/>
    </row>
    <row r="557" spans="2:2" ht="12.75" x14ac:dyDescent="0.25">
      <c r="B557" s="139"/>
    </row>
    <row r="558" spans="2:2" ht="12.75" x14ac:dyDescent="0.25">
      <c r="B558" s="139"/>
    </row>
    <row r="559" spans="2:2" ht="12.75" x14ac:dyDescent="0.25">
      <c r="B559" s="139"/>
    </row>
    <row r="560" spans="2:2" ht="12.75" x14ac:dyDescent="0.25">
      <c r="B560" s="139"/>
    </row>
    <row r="561" spans="2:2" ht="12.75" x14ac:dyDescent="0.25">
      <c r="B561" s="139"/>
    </row>
    <row r="562" spans="2:2" ht="12.75" x14ac:dyDescent="0.25">
      <c r="B562" s="139"/>
    </row>
    <row r="563" spans="2:2" ht="12.75" x14ac:dyDescent="0.25">
      <c r="B563" s="139"/>
    </row>
    <row r="564" spans="2:2" ht="12.75" x14ac:dyDescent="0.25">
      <c r="B564" s="139"/>
    </row>
    <row r="565" spans="2:2" ht="12.75" x14ac:dyDescent="0.25">
      <c r="B565" s="139"/>
    </row>
    <row r="566" spans="2:2" ht="12.75" x14ac:dyDescent="0.25">
      <c r="B566" s="139"/>
    </row>
    <row r="567" spans="2:2" ht="12.75" x14ac:dyDescent="0.25">
      <c r="B567" s="139"/>
    </row>
    <row r="568" spans="2:2" ht="12.75" x14ac:dyDescent="0.25">
      <c r="B568" s="139"/>
    </row>
    <row r="569" spans="2:2" ht="12.75" x14ac:dyDescent="0.25">
      <c r="B569" s="139"/>
    </row>
    <row r="570" spans="2:2" ht="12.75" x14ac:dyDescent="0.25">
      <c r="B570" s="139"/>
    </row>
    <row r="571" spans="2:2" ht="12.75" x14ac:dyDescent="0.25">
      <c r="B571" s="139"/>
    </row>
    <row r="572" spans="2:2" ht="12.75" x14ac:dyDescent="0.25">
      <c r="B572" s="139"/>
    </row>
    <row r="573" spans="2:2" ht="12.75" x14ac:dyDescent="0.25">
      <c r="B573" s="139"/>
    </row>
    <row r="574" spans="2:2" ht="12.75" x14ac:dyDescent="0.25">
      <c r="B574" s="139"/>
    </row>
    <row r="575" spans="2:2" ht="12.75" x14ac:dyDescent="0.25">
      <c r="B575" s="139"/>
    </row>
    <row r="576" spans="2:2" ht="12.75" x14ac:dyDescent="0.25">
      <c r="B576" s="139"/>
    </row>
    <row r="577" spans="2:2" ht="12.75" x14ac:dyDescent="0.25">
      <c r="B577" s="139"/>
    </row>
    <row r="578" spans="2:2" ht="12.75" x14ac:dyDescent="0.25">
      <c r="B578" s="139"/>
    </row>
    <row r="579" spans="2:2" ht="12.75" x14ac:dyDescent="0.25">
      <c r="B579" s="139"/>
    </row>
    <row r="580" spans="2:2" ht="12.75" x14ac:dyDescent="0.25">
      <c r="B580" s="139"/>
    </row>
    <row r="581" spans="2:2" ht="12.75" x14ac:dyDescent="0.25">
      <c r="B581" s="139"/>
    </row>
    <row r="582" spans="2:2" ht="12.75" x14ac:dyDescent="0.25">
      <c r="B582" s="139"/>
    </row>
    <row r="583" spans="2:2" ht="12.75" x14ac:dyDescent="0.25">
      <c r="B583" s="139"/>
    </row>
    <row r="584" spans="2:2" ht="12.75" x14ac:dyDescent="0.25">
      <c r="B584" s="139"/>
    </row>
    <row r="585" spans="2:2" ht="12.75" x14ac:dyDescent="0.25">
      <c r="B585" s="139"/>
    </row>
    <row r="586" spans="2:2" ht="12.75" x14ac:dyDescent="0.25">
      <c r="B586" s="139"/>
    </row>
    <row r="587" spans="2:2" ht="12.75" x14ac:dyDescent="0.25">
      <c r="B587" s="139"/>
    </row>
    <row r="588" spans="2:2" ht="12.75" x14ac:dyDescent="0.25">
      <c r="B588" s="139"/>
    </row>
    <row r="589" spans="2:2" ht="12.75" x14ac:dyDescent="0.25">
      <c r="B589" s="139"/>
    </row>
    <row r="590" spans="2:2" ht="12.75" x14ac:dyDescent="0.25">
      <c r="B590" s="139"/>
    </row>
    <row r="591" spans="2:2" ht="12.75" x14ac:dyDescent="0.25">
      <c r="B591" s="139"/>
    </row>
    <row r="592" spans="2:2" ht="12.75" x14ac:dyDescent="0.25">
      <c r="B592" s="139"/>
    </row>
    <row r="593" spans="2:2" ht="12.75" x14ac:dyDescent="0.25">
      <c r="B593" s="139"/>
    </row>
    <row r="594" spans="2:2" ht="12.75" x14ac:dyDescent="0.25">
      <c r="B594" s="139"/>
    </row>
    <row r="595" spans="2:2" ht="12.75" x14ac:dyDescent="0.25">
      <c r="B595" s="139"/>
    </row>
    <row r="596" spans="2:2" ht="12.75" x14ac:dyDescent="0.25">
      <c r="B596" s="139"/>
    </row>
    <row r="597" spans="2:2" ht="12.75" x14ac:dyDescent="0.25">
      <c r="B597" s="139"/>
    </row>
    <row r="598" spans="2:2" ht="12.75" x14ac:dyDescent="0.25">
      <c r="B598" s="139"/>
    </row>
    <row r="599" spans="2:2" ht="12.75" x14ac:dyDescent="0.25">
      <c r="B599" s="139"/>
    </row>
    <row r="600" spans="2:2" ht="12.75" x14ac:dyDescent="0.25">
      <c r="B600" s="139"/>
    </row>
    <row r="601" spans="2:2" ht="12.75" x14ac:dyDescent="0.25">
      <c r="B601" s="139"/>
    </row>
    <row r="602" spans="2:2" ht="12.75" x14ac:dyDescent="0.25">
      <c r="B602" s="139"/>
    </row>
    <row r="603" spans="2:2" ht="12.75" x14ac:dyDescent="0.25">
      <c r="B603" s="139"/>
    </row>
    <row r="604" spans="2:2" ht="12.75" x14ac:dyDescent="0.25">
      <c r="B604" s="139"/>
    </row>
    <row r="605" spans="2:2" ht="12.75" x14ac:dyDescent="0.25">
      <c r="B605" s="139"/>
    </row>
    <row r="606" spans="2:2" ht="12.75" x14ac:dyDescent="0.25">
      <c r="B606" s="139"/>
    </row>
    <row r="607" spans="2:2" ht="12.75" x14ac:dyDescent="0.25">
      <c r="B607" s="139"/>
    </row>
    <row r="608" spans="2:2" ht="12.75" x14ac:dyDescent="0.25">
      <c r="B608" s="139"/>
    </row>
    <row r="609" spans="2:2" ht="12.75" x14ac:dyDescent="0.25">
      <c r="B609" s="139"/>
    </row>
    <row r="610" spans="2:2" ht="12.75" x14ac:dyDescent="0.25">
      <c r="B610" s="139"/>
    </row>
    <row r="611" spans="2:2" ht="12.75" x14ac:dyDescent="0.25">
      <c r="B611" s="139"/>
    </row>
    <row r="612" spans="2:2" ht="12.75" x14ac:dyDescent="0.25">
      <c r="B612" s="139"/>
    </row>
    <row r="613" spans="2:2" ht="12.75" x14ac:dyDescent="0.25">
      <c r="B613" s="139"/>
    </row>
    <row r="614" spans="2:2" ht="12.75" x14ac:dyDescent="0.25">
      <c r="B614" s="139"/>
    </row>
    <row r="615" spans="2:2" ht="12.75" x14ac:dyDescent="0.25">
      <c r="B615" s="139"/>
    </row>
    <row r="616" spans="2:2" ht="12.75" x14ac:dyDescent="0.25">
      <c r="B616" s="139"/>
    </row>
    <row r="617" spans="2:2" ht="12.75" x14ac:dyDescent="0.25">
      <c r="B617" s="139"/>
    </row>
    <row r="618" spans="2:2" ht="12.75" x14ac:dyDescent="0.25">
      <c r="B618" s="139"/>
    </row>
    <row r="619" spans="2:2" ht="12.75" x14ac:dyDescent="0.25">
      <c r="B619" s="139"/>
    </row>
    <row r="620" spans="2:2" ht="12.75" x14ac:dyDescent="0.25">
      <c r="B620" s="139"/>
    </row>
    <row r="621" spans="2:2" ht="12.75" x14ac:dyDescent="0.25">
      <c r="B621" s="139"/>
    </row>
    <row r="622" spans="2:2" ht="12.75" x14ac:dyDescent="0.25">
      <c r="B622" s="139"/>
    </row>
    <row r="623" spans="2:2" ht="12.75" x14ac:dyDescent="0.25">
      <c r="B623" s="139"/>
    </row>
    <row r="624" spans="2:2" ht="12.75" x14ac:dyDescent="0.25">
      <c r="B624" s="139"/>
    </row>
    <row r="625" spans="2:2" ht="12.75" x14ac:dyDescent="0.25">
      <c r="B625" s="139"/>
    </row>
    <row r="626" spans="2:2" ht="12.75" x14ac:dyDescent="0.25">
      <c r="B626" s="139"/>
    </row>
    <row r="627" spans="2:2" ht="12.75" x14ac:dyDescent="0.25">
      <c r="B627" s="139"/>
    </row>
    <row r="628" spans="2:2" ht="12.75" x14ac:dyDescent="0.25">
      <c r="B628" s="139"/>
    </row>
    <row r="629" spans="2:2" ht="12.75" x14ac:dyDescent="0.25">
      <c r="B629" s="139"/>
    </row>
    <row r="630" spans="2:2" ht="12.75" x14ac:dyDescent="0.25">
      <c r="B630" s="139"/>
    </row>
    <row r="631" spans="2:2" ht="12.75" x14ac:dyDescent="0.25">
      <c r="B631" s="139"/>
    </row>
    <row r="632" spans="2:2" ht="12.75" x14ac:dyDescent="0.25">
      <c r="B632" s="139"/>
    </row>
    <row r="633" spans="2:2" ht="12.75" x14ac:dyDescent="0.25">
      <c r="B633" s="139"/>
    </row>
    <row r="634" spans="2:2" ht="12.75" x14ac:dyDescent="0.25">
      <c r="B634" s="139"/>
    </row>
    <row r="635" spans="2:2" ht="12.75" x14ac:dyDescent="0.25">
      <c r="B635" s="139"/>
    </row>
    <row r="636" spans="2:2" ht="12.75" x14ac:dyDescent="0.25">
      <c r="B636" s="139"/>
    </row>
    <row r="637" spans="2:2" ht="12.75" x14ac:dyDescent="0.25">
      <c r="B637" s="139"/>
    </row>
    <row r="638" spans="2:2" ht="12.75" x14ac:dyDescent="0.25">
      <c r="B638" s="139"/>
    </row>
    <row r="639" spans="2:2" ht="12.75" x14ac:dyDescent="0.25">
      <c r="B639" s="139"/>
    </row>
    <row r="640" spans="2:2" ht="12.75" x14ac:dyDescent="0.25">
      <c r="B640" s="139"/>
    </row>
    <row r="641" spans="2:2" ht="12.75" x14ac:dyDescent="0.25">
      <c r="B641" s="139"/>
    </row>
    <row r="642" spans="2:2" ht="12.75" x14ac:dyDescent="0.25">
      <c r="B642" s="139"/>
    </row>
    <row r="643" spans="2:2" ht="12.75" x14ac:dyDescent="0.25">
      <c r="B643" s="139"/>
    </row>
    <row r="644" spans="2:2" ht="12.75" x14ac:dyDescent="0.25">
      <c r="B644" s="139"/>
    </row>
    <row r="645" spans="2:2" ht="12.75" x14ac:dyDescent="0.25">
      <c r="B645" s="139"/>
    </row>
    <row r="646" spans="2:2" ht="12.75" x14ac:dyDescent="0.25">
      <c r="B646" s="139"/>
    </row>
    <row r="647" spans="2:2" ht="12.75" x14ac:dyDescent="0.25">
      <c r="B647" s="139"/>
    </row>
    <row r="648" spans="2:2" ht="12.75" x14ac:dyDescent="0.25">
      <c r="B648" s="139"/>
    </row>
    <row r="649" spans="2:2" ht="12.75" x14ac:dyDescent="0.25">
      <c r="B649" s="139"/>
    </row>
    <row r="650" spans="2:2" ht="12.75" x14ac:dyDescent="0.25">
      <c r="B650" s="139"/>
    </row>
    <row r="651" spans="2:2" ht="12.75" x14ac:dyDescent="0.25">
      <c r="B651" s="139"/>
    </row>
    <row r="652" spans="2:2" ht="12.75" x14ac:dyDescent="0.25">
      <c r="B652" s="139"/>
    </row>
    <row r="653" spans="2:2" ht="12.75" x14ac:dyDescent="0.25">
      <c r="B653" s="139"/>
    </row>
    <row r="654" spans="2:2" ht="12.75" x14ac:dyDescent="0.25">
      <c r="B654" s="139"/>
    </row>
    <row r="655" spans="2:2" ht="12.75" x14ac:dyDescent="0.25">
      <c r="B655" s="139"/>
    </row>
    <row r="656" spans="2:2" ht="12.75" x14ac:dyDescent="0.25">
      <c r="B656" s="139"/>
    </row>
    <row r="657" spans="2:2" ht="12.75" x14ac:dyDescent="0.25">
      <c r="B657" s="139"/>
    </row>
    <row r="658" spans="2:2" ht="12.75" x14ac:dyDescent="0.25">
      <c r="B658" s="139"/>
    </row>
    <row r="659" spans="2:2" ht="12.75" x14ac:dyDescent="0.25">
      <c r="B659" s="139"/>
    </row>
    <row r="660" spans="2:2" ht="12.75" x14ac:dyDescent="0.25">
      <c r="B660" s="139"/>
    </row>
    <row r="661" spans="2:2" ht="12.75" x14ac:dyDescent="0.25">
      <c r="B661" s="139"/>
    </row>
    <row r="662" spans="2:2" ht="12.75" x14ac:dyDescent="0.25">
      <c r="B662" s="139"/>
    </row>
    <row r="663" spans="2:2" ht="12.75" x14ac:dyDescent="0.25">
      <c r="B663" s="139"/>
    </row>
    <row r="664" spans="2:2" ht="12.75" x14ac:dyDescent="0.25">
      <c r="B664" s="139"/>
    </row>
    <row r="665" spans="2:2" ht="12.75" x14ac:dyDescent="0.25">
      <c r="B665" s="139"/>
    </row>
    <row r="666" spans="2:2" ht="12.75" x14ac:dyDescent="0.25">
      <c r="B666" s="139"/>
    </row>
    <row r="667" spans="2:2" ht="12.75" x14ac:dyDescent="0.25">
      <c r="B667" s="139"/>
    </row>
    <row r="668" spans="2:2" ht="12.75" x14ac:dyDescent="0.25">
      <c r="B668" s="139"/>
    </row>
    <row r="669" spans="2:2" ht="12.75" x14ac:dyDescent="0.25">
      <c r="B669" s="139"/>
    </row>
    <row r="670" spans="2:2" ht="12.75" x14ac:dyDescent="0.25">
      <c r="B670" s="139"/>
    </row>
    <row r="671" spans="2:2" ht="12.75" x14ac:dyDescent="0.25">
      <c r="B671" s="139"/>
    </row>
    <row r="672" spans="2:2" ht="12.75" x14ac:dyDescent="0.25">
      <c r="B672" s="139"/>
    </row>
    <row r="673" spans="2:2" ht="12.75" x14ac:dyDescent="0.25">
      <c r="B673" s="139"/>
    </row>
    <row r="674" spans="2:2" ht="12.75" x14ac:dyDescent="0.25">
      <c r="B674" s="139"/>
    </row>
    <row r="675" spans="2:2" ht="12.75" x14ac:dyDescent="0.25">
      <c r="B675" s="139"/>
    </row>
    <row r="676" spans="2:2" ht="12.75" x14ac:dyDescent="0.25">
      <c r="B676" s="139"/>
    </row>
    <row r="677" spans="2:2" ht="12.75" x14ac:dyDescent="0.25">
      <c r="B677" s="139"/>
    </row>
    <row r="678" spans="2:2" ht="12.75" x14ac:dyDescent="0.25">
      <c r="B678" s="139"/>
    </row>
    <row r="679" spans="2:2" ht="12.75" x14ac:dyDescent="0.25">
      <c r="B679" s="139"/>
    </row>
    <row r="680" spans="2:2" ht="12.75" x14ac:dyDescent="0.25">
      <c r="B680" s="139"/>
    </row>
    <row r="681" spans="2:2" ht="12.75" x14ac:dyDescent="0.25">
      <c r="B681" s="139"/>
    </row>
    <row r="682" spans="2:2" ht="12.75" x14ac:dyDescent="0.25">
      <c r="B682" s="139"/>
    </row>
    <row r="683" spans="2:2" ht="12.75" x14ac:dyDescent="0.25">
      <c r="B683" s="139"/>
    </row>
    <row r="684" spans="2:2" ht="12.75" x14ac:dyDescent="0.25">
      <c r="B684" s="139"/>
    </row>
    <row r="685" spans="2:2" ht="12.75" x14ac:dyDescent="0.25">
      <c r="B685" s="139"/>
    </row>
    <row r="686" spans="2:2" ht="12.75" x14ac:dyDescent="0.25">
      <c r="B686" s="139"/>
    </row>
    <row r="687" spans="2:2" ht="12.75" x14ac:dyDescent="0.25">
      <c r="B687" s="139"/>
    </row>
    <row r="688" spans="2:2" ht="12.75" x14ac:dyDescent="0.25">
      <c r="B688" s="139"/>
    </row>
    <row r="689" spans="2:2" ht="12.75" x14ac:dyDescent="0.25">
      <c r="B689" s="139"/>
    </row>
    <row r="690" spans="2:2" ht="12.75" x14ac:dyDescent="0.25">
      <c r="B690" s="139"/>
    </row>
    <row r="691" spans="2:2" ht="12.75" x14ac:dyDescent="0.25">
      <c r="B691" s="139"/>
    </row>
    <row r="692" spans="2:2" ht="12.75" x14ac:dyDescent="0.25">
      <c r="B692" s="139"/>
    </row>
    <row r="693" spans="2:2" ht="12.75" x14ac:dyDescent="0.25">
      <c r="B693" s="139"/>
    </row>
    <row r="694" spans="2:2" ht="12.75" x14ac:dyDescent="0.25">
      <c r="B694" s="139"/>
    </row>
    <row r="695" spans="2:2" ht="12.75" x14ac:dyDescent="0.25">
      <c r="B695" s="139"/>
    </row>
    <row r="696" spans="2:2" ht="12.75" x14ac:dyDescent="0.25">
      <c r="B696" s="139"/>
    </row>
    <row r="697" spans="2:2" ht="12.75" x14ac:dyDescent="0.25">
      <c r="B697" s="139"/>
    </row>
    <row r="698" spans="2:2" ht="12.75" x14ac:dyDescent="0.25">
      <c r="B698" s="139"/>
    </row>
    <row r="699" spans="2:2" ht="12.75" x14ac:dyDescent="0.25">
      <c r="B699" s="139"/>
    </row>
    <row r="700" spans="2:2" ht="12.75" x14ac:dyDescent="0.25">
      <c r="B700" s="139"/>
    </row>
    <row r="701" spans="2:2" ht="12.75" x14ac:dyDescent="0.25">
      <c r="B701" s="139"/>
    </row>
    <row r="702" spans="2:2" ht="12.75" x14ac:dyDescent="0.25">
      <c r="B702" s="139"/>
    </row>
    <row r="703" spans="2:2" ht="12.75" x14ac:dyDescent="0.25">
      <c r="B703" s="139"/>
    </row>
    <row r="704" spans="2:2" ht="12.75" x14ac:dyDescent="0.25">
      <c r="B704" s="139"/>
    </row>
    <row r="705" spans="2:2" ht="12.75" x14ac:dyDescent="0.25">
      <c r="B705" s="139"/>
    </row>
    <row r="706" spans="2:2" ht="12.75" x14ac:dyDescent="0.25">
      <c r="B706" s="139"/>
    </row>
    <row r="707" spans="2:2" ht="12.75" x14ac:dyDescent="0.25">
      <c r="B707" s="139"/>
    </row>
    <row r="708" spans="2:2" ht="12.75" x14ac:dyDescent="0.25">
      <c r="B708" s="139"/>
    </row>
    <row r="709" spans="2:2" ht="12.75" x14ac:dyDescent="0.25">
      <c r="B709" s="139"/>
    </row>
    <row r="710" spans="2:2" ht="12.75" x14ac:dyDescent="0.25">
      <c r="B710" s="139"/>
    </row>
    <row r="711" spans="2:2" ht="12.75" x14ac:dyDescent="0.25">
      <c r="B711" s="139"/>
    </row>
    <row r="712" spans="2:2" ht="12.75" x14ac:dyDescent="0.25">
      <c r="B712" s="139"/>
    </row>
    <row r="713" spans="2:2" ht="12.75" x14ac:dyDescent="0.25">
      <c r="B713" s="139"/>
    </row>
    <row r="714" spans="2:2" ht="12.75" x14ac:dyDescent="0.25">
      <c r="B714" s="139"/>
    </row>
    <row r="715" spans="2:2" ht="12.75" x14ac:dyDescent="0.25">
      <c r="B715" s="139"/>
    </row>
    <row r="716" spans="2:2" ht="12.75" x14ac:dyDescent="0.25">
      <c r="B716" s="139"/>
    </row>
    <row r="717" spans="2:2" ht="12.75" x14ac:dyDescent="0.25">
      <c r="B717" s="139"/>
    </row>
    <row r="718" spans="2:2" ht="12.75" x14ac:dyDescent="0.25">
      <c r="B718" s="139"/>
    </row>
    <row r="719" spans="2:2" ht="12.75" x14ac:dyDescent="0.25">
      <c r="B719" s="139"/>
    </row>
    <row r="720" spans="2:2" ht="12.75" x14ac:dyDescent="0.25">
      <c r="B720" s="139"/>
    </row>
    <row r="721" spans="2:2" ht="12.75" x14ac:dyDescent="0.25">
      <c r="B721" s="139"/>
    </row>
    <row r="722" spans="2:2" ht="12.75" x14ac:dyDescent="0.25">
      <c r="B722" s="139"/>
    </row>
    <row r="723" spans="2:2" ht="12.75" x14ac:dyDescent="0.25">
      <c r="B723" s="139"/>
    </row>
    <row r="724" spans="2:2" ht="12.75" x14ac:dyDescent="0.25">
      <c r="B724" s="139"/>
    </row>
    <row r="725" spans="2:2" ht="12.75" x14ac:dyDescent="0.25">
      <c r="B725" s="139"/>
    </row>
    <row r="726" spans="2:2" ht="12.75" x14ac:dyDescent="0.25">
      <c r="B726" s="139"/>
    </row>
    <row r="727" spans="2:2" ht="12.75" x14ac:dyDescent="0.25">
      <c r="B727" s="139"/>
    </row>
    <row r="728" spans="2:2" ht="12.75" x14ac:dyDescent="0.25">
      <c r="B728" s="139"/>
    </row>
    <row r="729" spans="2:2" ht="12.75" x14ac:dyDescent="0.25">
      <c r="B729" s="139"/>
    </row>
    <row r="730" spans="2:2" ht="12.75" x14ac:dyDescent="0.25">
      <c r="B730" s="139"/>
    </row>
    <row r="731" spans="2:2" ht="12.75" x14ac:dyDescent="0.25">
      <c r="B731" s="139"/>
    </row>
    <row r="732" spans="2:2" ht="12.75" x14ac:dyDescent="0.25">
      <c r="B732" s="139"/>
    </row>
    <row r="733" spans="2:2" ht="12.75" x14ac:dyDescent="0.25">
      <c r="B733" s="139"/>
    </row>
    <row r="734" spans="2:2" ht="12.75" x14ac:dyDescent="0.25">
      <c r="B734" s="139"/>
    </row>
    <row r="735" spans="2:2" ht="12.75" x14ac:dyDescent="0.25">
      <c r="B735" s="139"/>
    </row>
    <row r="736" spans="2:2" ht="12.75" x14ac:dyDescent="0.25">
      <c r="B736" s="139"/>
    </row>
    <row r="737" spans="2:2" ht="12.75" x14ac:dyDescent="0.25">
      <c r="B737" s="139"/>
    </row>
    <row r="738" spans="2:2" ht="12.75" x14ac:dyDescent="0.25">
      <c r="B738" s="139"/>
    </row>
    <row r="739" spans="2:2" ht="12.75" x14ac:dyDescent="0.25">
      <c r="B739" s="139"/>
    </row>
    <row r="740" spans="2:2" ht="12.75" x14ac:dyDescent="0.25">
      <c r="B740" s="139"/>
    </row>
    <row r="741" spans="2:2" ht="12.75" x14ac:dyDescent="0.25">
      <c r="B741" s="139"/>
    </row>
    <row r="742" spans="2:2" ht="12.75" x14ac:dyDescent="0.25">
      <c r="B742" s="139"/>
    </row>
    <row r="743" spans="2:2" ht="12.75" x14ac:dyDescent="0.25">
      <c r="B743" s="139"/>
    </row>
    <row r="744" spans="2:2" ht="12.75" x14ac:dyDescent="0.25">
      <c r="B744" s="139"/>
    </row>
    <row r="745" spans="2:2" ht="12.75" x14ac:dyDescent="0.25">
      <c r="B745" s="139"/>
    </row>
    <row r="746" spans="2:2" ht="12.75" x14ac:dyDescent="0.25">
      <c r="B746" s="139"/>
    </row>
    <row r="747" spans="2:2" ht="12.75" x14ac:dyDescent="0.25">
      <c r="B747" s="139"/>
    </row>
    <row r="748" spans="2:2" ht="12.75" x14ac:dyDescent="0.25">
      <c r="B748" s="139"/>
    </row>
    <row r="749" spans="2:2" ht="12.75" x14ac:dyDescent="0.25">
      <c r="B749" s="139"/>
    </row>
    <row r="750" spans="2:2" ht="12.75" x14ac:dyDescent="0.25">
      <c r="B750" s="139"/>
    </row>
    <row r="751" spans="2:2" ht="12.75" x14ac:dyDescent="0.25">
      <c r="B751" s="139"/>
    </row>
    <row r="752" spans="2:2" ht="12.75" x14ac:dyDescent="0.25">
      <c r="B752" s="139"/>
    </row>
    <row r="753" spans="2:2" ht="12.75" x14ac:dyDescent="0.25">
      <c r="B753" s="139"/>
    </row>
    <row r="754" spans="2:2" ht="12.75" x14ac:dyDescent="0.25">
      <c r="B754" s="139"/>
    </row>
    <row r="755" spans="2:2" ht="12.75" x14ac:dyDescent="0.25">
      <c r="B755" s="139"/>
    </row>
    <row r="756" spans="2:2" ht="12.75" x14ac:dyDescent="0.25">
      <c r="B756" s="139"/>
    </row>
    <row r="757" spans="2:2" ht="12.75" x14ac:dyDescent="0.25">
      <c r="B757" s="139"/>
    </row>
    <row r="758" spans="2:2" ht="12.75" x14ac:dyDescent="0.25">
      <c r="B758" s="139"/>
    </row>
    <row r="759" spans="2:2" ht="12.75" x14ac:dyDescent="0.25">
      <c r="B759" s="139"/>
    </row>
    <row r="760" spans="2:2" ht="12.75" x14ac:dyDescent="0.25">
      <c r="B760" s="139"/>
    </row>
    <row r="761" spans="2:2" ht="12.75" x14ac:dyDescent="0.25">
      <c r="B761" s="139"/>
    </row>
    <row r="762" spans="2:2" ht="12.75" x14ac:dyDescent="0.25">
      <c r="B762" s="139"/>
    </row>
    <row r="763" spans="2:2" ht="12.75" x14ac:dyDescent="0.25">
      <c r="B763" s="139"/>
    </row>
    <row r="764" spans="2:2" ht="12.75" x14ac:dyDescent="0.25">
      <c r="B764" s="139"/>
    </row>
    <row r="765" spans="2:2" ht="12.75" x14ac:dyDescent="0.25">
      <c r="B765" s="139"/>
    </row>
    <row r="766" spans="2:2" ht="12.75" x14ac:dyDescent="0.25">
      <c r="B766" s="139"/>
    </row>
    <row r="767" spans="2:2" ht="12.75" x14ac:dyDescent="0.25">
      <c r="B767" s="139"/>
    </row>
    <row r="768" spans="2:2" ht="12.75" x14ac:dyDescent="0.25">
      <c r="B768" s="139"/>
    </row>
    <row r="769" spans="2:2" ht="12.75" x14ac:dyDescent="0.25">
      <c r="B769" s="139"/>
    </row>
    <row r="770" spans="2:2" ht="12.75" x14ac:dyDescent="0.25">
      <c r="B770" s="139"/>
    </row>
    <row r="771" spans="2:2" ht="12.75" x14ac:dyDescent="0.25">
      <c r="B771" s="139"/>
    </row>
    <row r="772" spans="2:2" ht="12.75" x14ac:dyDescent="0.25">
      <c r="B772" s="139"/>
    </row>
    <row r="773" spans="2:2" ht="12.75" x14ac:dyDescent="0.25">
      <c r="B773" s="139"/>
    </row>
    <row r="774" spans="2:2" ht="12.75" x14ac:dyDescent="0.25">
      <c r="B774" s="139"/>
    </row>
    <row r="775" spans="2:2" ht="12.75" x14ac:dyDescent="0.25">
      <c r="B775" s="139"/>
    </row>
    <row r="776" spans="2:2" ht="12.75" x14ac:dyDescent="0.25">
      <c r="B776" s="139"/>
    </row>
    <row r="777" spans="2:2" ht="12.75" x14ac:dyDescent="0.25">
      <c r="B777" s="139"/>
    </row>
    <row r="778" spans="2:2" ht="12.75" x14ac:dyDescent="0.25">
      <c r="B778" s="139"/>
    </row>
    <row r="779" spans="2:2" ht="12.75" x14ac:dyDescent="0.25">
      <c r="B779" s="139"/>
    </row>
    <row r="780" spans="2:2" ht="12.75" x14ac:dyDescent="0.25">
      <c r="B780" s="139"/>
    </row>
    <row r="781" spans="2:2" ht="12.75" x14ac:dyDescent="0.25">
      <c r="B781" s="139"/>
    </row>
    <row r="782" spans="2:2" ht="12.75" x14ac:dyDescent="0.25">
      <c r="B782" s="139"/>
    </row>
    <row r="783" spans="2:2" ht="12.75" x14ac:dyDescent="0.25">
      <c r="B783" s="139"/>
    </row>
    <row r="784" spans="2:2" ht="12.75" x14ac:dyDescent="0.25">
      <c r="B784" s="139"/>
    </row>
    <row r="785" spans="2:2" ht="12.75" x14ac:dyDescent="0.25">
      <c r="B785" s="139"/>
    </row>
    <row r="786" spans="2:2" ht="12.75" x14ac:dyDescent="0.25">
      <c r="B786" s="139"/>
    </row>
    <row r="787" spans="2:2" ht="12.75" x14ac:dyDescent="0.25">
      <c r="B787" s="139"/>
    </row>
    <row r="788" spans="2:2" ht="12.75" x14ac:dyDescent="0.25">
      <c r="B788" s="139"/>
    </row>
    <row r="789" spans="2:2" ht="12.75" x14ac:dyDescent="0.25">
      <c r="B789" s="139"/>
    </row>
    <row r="790" spans="2:2" ht="12.75" x14ac:dyDescent="0.25">
      <c r="B790" s="139"/>
    </row>
    <row r="791" spans="2:2" ht="12.75" x14ac:dyDescent="0.25">
      <c r="B791" s="139"/>
    </row>
    <row r="792" spans="2:2" ht="12.75" x14ac:dyDescent="0.25">
      <c r="B792" s="139"/>
    </row>
    <row r="793" spans="2:2" ht="12.75" x14ac:dyDescent="0.25">
      <c r="B793" s="139"/>
    </row>
    <row r="794" spans="2:2" ht="12.75" x14ac:dyDescent="0.25">
      <c r="B794" s="139"/>
    </row>
    <row r="795" spans="2:2" ht="12.75" x14ac:dyDescent="0.25">
      <c r="B795" s="139"/>
    </row>
    <row r="796" spans="2:2" ht="12.75" x14ac:dyDescent="0.25">
      <c r="B796" s="139"/>
    </row>
    <row r="797" spans="2:2" ht="12.75" x14ac:dyDescent="0.25">
      <c r="B797" s="139"/>
    </row>
    <row r="798" spans="2:2" ht="12.75" x14ac:dyDescent="0.25">
      <c r="B798" s="139"/>
    </row>
    <row r="799" spans="2:2" ht="12.75" x14ac:dyDescent="0.25">
      <c r="B799" s="139"/>
    </row>
    <row r="800" spans="2:2" ht="12.75" x14ac:dyDescent="0.25">
      <c r="B800" s="139"/>
    </row>
    <row r="801" spans="2:2" ht="12.75" x14ac:dyDescent="0.25">
      <c r="B801" s="139"/>
    </row>
    <row r="802" spans="2:2" ht="12.75" x14ac:dyDescent="0.25">
      <c r="B802" s="139"/>
    </row>
    <row r="803" spans="2:2" ht="12.75" x14ac:dyDescent="0.25">
      <c r="B803" s="139"/>
    </row>
    <row r="804" spans="2:2" ht="12.75" x14ac:dyDescent="0.25">
      <c r="B804" s="139"/>
    </row>
    <row r="805" spans="2:2" ht="12.75" x14ac:dyDescent="0.25">
      <c r="B805" s="139"/>
    </row>
    <row r="806" spans="2:2" ht="12.75" x14ac:dyDescent="0.25">
      <c r="B806" s="139"/>
    </row>
    <row r="807" spans="2:2" ht="12.75" x14ac:dyDescent="0.25">
      <c r="B807" s="139"/>
    </row>
    <row r="808" spans="2:2" ht="12.75" x14ac:dyDescent="0.25">
      <c r="B808" s="139"/>
    </row>
    <row r="809" spans="2:2" ht="12.75" x14ac:dyDescent="0.25">
      <c r="B809" s="139"/>
    </row>
    <row r="810" spans="2:2" ht="12.75" x14ac:dyDescent="0.25">
      <c r="B810" s="139"/>
    </row>
    <row r="811" spans="2:2" ht="12.75" x14ac:dyDescent="0.25">
      <c r="B811" s="139"/>
    </row>
    <row r="812" spans="2:2" ht="12.75" x14ac:dyDescent="0.25">
      <c r="B812" s="139"/>
    </row>
    <row r="813" spans="2:2" ht="12.75" x14ac:dyDescent="0.25">
      <c r="B813" s="139"/>
    </row>
    <row r="814" spans="2:2" ht="12.75" x14ac:dyDescent="0.25">
      <c r="B814" s="139"/>
    </row>
    <row r="815" spans="2:2" ht="12.75" x14ac:dyDescent="0.25">
      <c r="B815" s="139"/>
    </row>
    <row r="816" spans="2:2" ht="12.75" x14ac:dyDescent="0.25">
      <c r="B816" s="139"/>
    </row>
    <row r="817" spans="2:2" ht="12.75" x14ac:dyDescent="0.25">
      <c r="B817" s="139"/>
    </row>
    <row r="818" spans="2:2" ht="12.75" x14ac:dyDescent="0.25">
      <c r="B818" s="139"/>
    </row>
    <row r="819" spans="2:2" ht="12.75" x14ac:dyDescent="0.25">
      <c r="B819" s="139"/>
    </row>
    <row r="820" spans="2:2" ht="12.75" x14ac:dyDescent="0.25">
      <c r="B820" s="139"/>
    </row>
    <row r="821" spans="2:2" ht="12.75" x14ac:dyDescent="0.25">
      <c r="B821" s="139"/>
    </row>
    <row r="822" spans="2:2" ht="12.75" x14ac:dyDescent="0.25">
      <c r="B822" s="139"/>
    </row>
    <row r="823" spans="2:2" ht="12.75" x14ac:dyDescent="0.25">
      <c r="B823" s="139"/>
    </row>
    <row r="824" spans="2:2" ht="12.75" x14ac:dyDescent="0.25">
      <c r="B824" s="139"/>
    </row>
    <row r="825" spans="2:2" ht="12.75" x14ac:dyDescent="0.25">
      <c r="B825" s="139"/>
    </row>
    <row r="826" spans="2:2" ht="12.75" x14ac:dyDescent="0.25">
      <c r="B826" s="139"/>
    </row>
    <row r="827" spans="2:2" ht="12.75" x14ac:dyDescent="0.25">
      <c r="B827" s="139"/>
    </row>
    <row r="828" spans="2:2" ht="12.75" x14ac:dyDescent="0.25">
      <c r="B828" s="139"/>
    </row>
    <row r="829" spans="2:2" ht="12.75" x14ac:dyDescent="0.25">
      <c r="B829" s="139"/>
    </row>
    <row r="830" spans="2:2" ht="12.75" x14ac:dyDescent="0.25">
      <c r="B830" s="139"/>
    </row>
    <row r="831" spans="2:2" ht="12.75" x14ac:dyDescent="0.25">
      <c r="B831" s="139"/>
    </row>
    <row r="832" spans="2:2" ht="12.75" x14ac:dyDescent="0.25">
      <c r="B832" s="139"/>
    </row>
    <row r="833" spans="2:2" ht="12.75" x14ac:dyDescent="0.25">
      <c r="B833" s="139"/>
    </row>
    <row r="834" spans="2:2" ht="12.75" x14ac:dyDescent="0.25">
      <c r="B834" s="139"/>
    </row>
    <row r="835" spans="2:2" ht="12.75" x14ac:dyDescent="0.25">
      <c r="B835" s="139"/>
    </row>
    <row r="836" spans="2:2" ht="12.75" x14ac:dyDescent="0.25">
      <c r="B836" s="139"/>
    </row>
    <row r="837" spans="2:2" ht="12.75" x14ac:dyDescent="0.25">
      <c r="B837" s="139"/>
    </row>
    <row r="838" spans="2:2" ht="12.75" x14ac:dyDescent="0.25">
      <c r="B838" s="139"/>
    </row>
    <row r="839" spans="2:2" ht="12.75" x14ac:dyDescent="0.25">
      <c r="B839" s="139"/>
    </row>
    <row r="840" spans="2:2" ht="12.75" x14ac:dyDescent="0.25">
      <c r="B840" s="139"/>
    </row>
    <row r="841" spans="2:2" ht="12.75" x14ac:dyDescent="0.25">
      <c r="B841" s="139"/>
    </row>
    <row r="842" spans="2:2" ht="12.75" x14ac:dyDescent="0.25">
      <c r="B842" s="139"/>
    </row>
    <row r="843" spans="2:2" ht="12.75" x14ac:dyDescent="0.25">
      <c r="B843" s="139"/>
    </row>
    <row r="844" spans="2:2" ht="12.75" x14ac:dyDescent="0.25">
      <c r="B844" s="139"/>
    </row>
    <row r="845" spans="2:2" ht="12.75" x14ac:dyDescent="0.25">
      <c r="B845" s="139"/>
    </row>
    <row r="846" spans="2:2" ht="12.75" x14ac:dyDescent="0.25">
      <c r="B846" s="139"/>
    </row>
    <row r="847" spans="2:2" ht="12.75" x14ac:dyDescent="0.25">
      <c r="B847" s="139"/>
    </row>
    <row r="848" spans="2:2" ht="12.75" x14ac:dyDescent="0.25">
      <c r="B848" s="139"/>
    </row>
    <row r="849" spans="2:2" ht="12.75" x14ac:dyDescent="0.25">
      <c r="B849" s="139"/>
    </row>
    <row r="850" spans="2:2" ht="12.75" x14ac:dyDescent="0.25">
      <c r="B850" s="139"/>
    </row>
    <row r="851" spans="2:2" ht="12.75" x14ac:dyDescent="0.25">
      <c r="B851" s="139"/>
    </row>
    <row r="852" spans="2:2" ht="12.75" x14ac:dyDescent="0.25">
      <c r="B852" s="139"/>
    </row>
    <row r="853" spans="2:2" ht="12.75" x14ac:dyDescent="0.25">
      <c r="B853" s="139"/>
    </row>
    <row r="854" spans="2:2" ht="12.75" x14ac:dyDescent="0.25">
      <c r="B854" s="139"/>
    </row>
    <row r="855" spans="2:2" ht="12.75" x14ac:dyDescent="0.25">
      <c r="B855" s="139"/>
    </row>
    <row r="856" spans="2:2" ht="12.75" x14ac:dyDescent="0.25">
      <c r="B856" s="139"/>
    </row>
    <row r="857" spans="2:2" ht="12.75" x14ac:dyDescent="0.25">
      <c r="B857" s="139"/>
    </row>
    <row r="858" spans="2:2" ht="12.75" x14ac:dyDescent="0.25">
      <c r="B858" s="139"/>
    </row>
    <row r="859" spans="2:2" ht="12.75" x14ac:dyDescent="0.25">
      <c r="B859" s="139"/>
    </row>
    <row r="860" spans="2:2" ht="12.75" x14ac:dyDescent="0.25">
      <c r="B860" s="139"/>
    </row>
    <row r="861" spans="2:2" ht="12.75" x14ac:dyDescent="0.25">
      <c r="B861" s="139"/>
    </row>
    <row r="862" spans="2:2" ht="12.75" x14ac:dyDescent="0.25">
      <c r="B862" s="139"/>
    </row>
    <row r="863" spans="2:2" ht="12.75" x14ac:dyDescent="0.25">
      <c r="B863" s="139"/>
    </row>
    <row r="864" spans="2:2" ht="12.75" x14ac:dyDescent="0.25">
      <c r="B864" s="139"/>
    </row>
    <row r="865" spans="2:2" ht="12.75" x14ac:dyDescent="0.25">
      <c r="B865" s="139"/>
    </row>
    <row r="866" spans="2:2" ht="12.75" x14ac:dyDescent="0.25">
      <c r="B866" s="139"/>
    </row>
    <row r="867" spans="2:2" ht="12.75" x14ac:dyDescent="0.25">
      <c r="B867" s="139"/>
    </row>
    <row r="868" spans="2:2" ht="12.75" x14ac:dyDescent="0.25">
      <c r="B868" s="139"/>
    </row>
    <row r="869" spans="2:2" ht="12.75" x14ac:dyDescent="0.25">
      <c r="B869" s="139"/>
    </row>
    <row r="870" spans="2:2" ht="12.75" x14ac:dyDescent="0.25">
      <c r="B870" s="139"/>
    </row>
    <row r="871" spans="2:2" ht="12.75" x14ac:dyDescent="0.25">
      <c r="B871" s="139"/>
    </row>
    <row r="872" spans="2:2" ht="12.75" x14ac:dyDescent="0.25">
      <c r="B872" s="139"/>
    </row>
    <row r="873" spans="2:2" ht="12.75" x14ac:dyDescent="0.25">
      <c r="B873" s="139"/>
    </row>
    <row r="874" spans="2:2" ht="12.75" x14ac:dyDescent="0.25">
      <c r="B874" s="139"/>
    </row>
    <row r="875" spans="2:2" ht="12.75" x14ac:dyDescent="0.25">
      <c r="B875" s="139"/>
    </row>
    <row r="876" spans="2:2" ht="12.75" x14ac:dyDescent="0.25">
      <c r="B876" s="139"/>
    </row>
    <row r="877" spans="2:2" ht="12.75" x14ac:dyDescent="0.25">
      <c r="B877" s="139"/>
    </row>
    <row r="878" spans="2:2" ht="12.75" x14ac:dyDescent="0.25">
      <c r="B878" s="139"/>
    </row>
    <row r="879" spans="2:2" ht="12.75" x14ac:dyDescent="0.25">
      <c r="B879" s="139"/>
    </row>
    <row r="880" spans="2:2" ht="12.75" x14ac:dyDescent="0.25">
      <c r="B880" s="139"/>
    </row>
    <row r="881" spans="2:2" ht="12.75" x14ac:dyDescent="0.25">
      <c r="B881" s="139"/>
    </row>
    <row r="882" spans="2:2" ht="12.75" x14ac:dyDescent="0.25">
      <c r="B882" s="139"/>
    </row>
    <row r="883" spans="2:2" ht="12.75" x14ac:dyDescent="0.25">
      <c r="B883" s="139"/>
    </row>
    <row r="884" spans="2:2" ht="12.75" x14ac:dyDescent="0.25">
      <c r="B884" s="139"/>
    </row>
    <row r="885" spans="2:2" ht="12.75" x14ac:dyDescent="0.25">
      <c r="B885" s="139"/>
    </row>
    <row r="886" spans="2:2" ht="12.75" x14ac:dyDescent="0.25">
      <c r="B886" s="139"/>
    </row>
    <row r="887" spans="2:2" ht="12.75" x14ac:dyDescent="0.25">
      <c r="B887" s="139"/>
    </row>
    <row r="888" spans="2:2" ht="12.75" x14ac:dyDescent="0.25">
      <c r="B888" s="139"/>
    </row>
    <row r="889" spans="2:2" ht="12.75" x14ac:dyDescent="0.25">
      <c r="B889" s="139"/>
    </row>
    <row r="890" spans="2:2" ht="12.75" x14ac:dyDescent="0.25">
      <c r="B890" s="139"/>
    </row>
    <row r="891" spans="2:2" ht="12.75" x14ac:dyDescent="0.25">
      <c r="B891" s="139"/>
    </row>
    <row r="892" spans="2:2" ht="12.75" x14ac:dyDescent="0.25">
      <c r="B892" s="139"/>
    </row>
    <row r="893" spans="2:2" ht="12.75" x14ac:dyDescent="0.25">
      <c r="B893" s="139"/>
    </row>
    <row r="894" spans="2:2" ht="12.75" x14ac:dyDescent="0.25">
      <c r="B894" s="139"/>
    </row>
    <row r="895" spans="2:2" ht="12.75" x14ac:dyDescent="0.25">
      <c r="B895" s="139"/>
    </row>
    <row r="896" spans="2:2" ht="12.75" x14ac:dyDescent="0.25">
      <c r="B896" s="139"/>
    </row>
    <row r="897" spans="2:2" ht="12.75" x14ac:dyDescent="0.25">
      <c r="B897" s="139"/>
    </row>
    <row r="898" spans="2:2" ht="12.75" customHeight="1" x14ac:dyDescent="0.25"/>
    <row r="899" spans="2:2" ht="12.75" customHeight="1" x14ac:dyDescent="0.25"/>
    <row r="900" spans="2:2" ht="12.75" customHeight="1" x14ac:dyDescent="0.25"/>
    <row r="901" spans="2:2" ht="12.75" customHeight="1" x14ac:dyDescent="0.25"/>
    <row r="902" spans="2:2" ht="12.75" customHeight="1" x14ac:dyDescent="0.25"/>
    <row r="903" spans="2:2" ht="12.75" customHeight="1" x14ac:dyDescent="0.25"/>
    <row r="904" spans="2:2" ht="12.75" customHeight="1" x14ac:dyDescent="0.25"/>
    <row r="905" spans="2:2" ht="12.75" customHeight="1" x14ac:dyDescent="0.25"/>
    <row r="906" spans="2:2" ht="12.75" customHeight="1" x14ac:dyDescent="0.25"/>
    <row r="907" spans="2:2" ht="12.75" customHeight="1" x14ac:dyDescent="0.25"/>
    <row r="908" spans="2:2" ht="12.75" customHeight="1" x14ac:dyDescent="0.25"/>
    <row r="909" spans="2:2" ht="12.75" customHeight="1" x14ac:dyDescent="0.25"/>
    <row r="910" spans="2:2" ht="12.75" customHeight="1" x14ac:dyDescent="0.25"/>
    <row r="911" spans="2:2" ht="12.75" customHeight="1" x14ac:dyDescent="0.25"/>
    <row r="912" spans="2: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sheetData>
  <autoFilter ref="B5:W5" xr:uid="{36B57CD2-DA9B-4927-BCD2-33BDF7BA6D45}"/>
  <mergeCells count="2">
    <mergeCell ref="T3:V3"/>
    <mergeCell ref="J4:K4"/>
  </mergeCells>
  <hyperlinks>
    <hyperlink ref="D2" location="Menu!A1" display="Menu" xr:uid="{48F6CF9B-3C16-4529-B1A8-B548A481D243}"/>
    <hyperlink ref="H2" location="Menu!A1" display="Menu" xr:uid="{8D9EDCEE-E3DE-4EDD-8F40-4DE6BCE18E08}"/>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2B9C-DF5D-4689-8F87-44A8F31A943C}">
  <sheetPr codeName="Sheet18">
    <tabColor rgb="FF002962"/>
  </sheetPr>
  <dimension ref="A1:Z1264"/>
  <sheetViews>
    <sheetView showGridLines="0" showRowColHeaders="0" zoomScale="90" zoomScaleNormal="90" workbookViewId="0">
      <pane xSplit="2" ySplit="5" topLeftCell="J6" activePane="bottomRight" state="frozen"/>
      <selection activeCell="M2" sqref="M2"/>
      <selection pane="topRight" activeCell="M2" sqref="M2"/>
      <selection pane="bottomLeft" activeCell="M2" sqref="M2"/>
      <selection pane="bottomRight" activeCell="B7" sqref="B7:T400"/>
    </sheetView>
  </sheetViews>
  <sheetFormatPr defaultColWidth="0" defaultRowHeight="0" customHeight="1" zeroHeight="1" x14ac:dyDescent="0.25"/>
  <cols>
    <col min="1" max="1" width="0.5703125" style="23" customWidth="1"/>
    <col min="2" max="2" width="13.28515625" style="85" customWidth="1"/>
    <col min="3" max="3" width="20.140625" style="85" bestFit="1" customWidth="1"/>
    <col min="4" max="4" width="34.28515625" style="85" bestFit="1" customWidth="1"/>
    <col min="5" max="5" width="27.28515625" style="85" bestFit="1" customWidth="1"/>
    <col min="6" max="6" width="19" style="85" bestFit="1" customWidth="1"/>
    <col min="7" max="7" width="10" style="85" bestFit="1" customWidth="1"/>
    <col min="8" max="8" width="23.140625" style="240" bestFit="1" customWidth="1"/>
    <col min="9" max="9" width="12.140625" style="238" bestFit="1" customWidth="1"/>
    <col min="10" max="10" width="11.140625" style="238" bestFit="1" customWidth="1"/>
    <col min="11" max="11" width="8.85546875" style="239" bestFit="1" customWidth="1"/>
    <col min="12" max="12" width="17.42578125" style="238" bestFit="1" customWidth="1"/>
    <col min="13" max="13" width="17.42578125" style="240" bestFit="1" customWidth="1"/>
    <col min="14" max="14" width="10.42578125" style="238" bestFit="1" customWidth="1"/>
    <col min="15" max="15" width="16" style="238" bestFit="1" customWidth="1"/>
    <col min="16" max="16" width="16" style="241" customWidth="1"/>
    <col min="17" max="19" width="11.42578125" style="238" customWidth="1"/>
    <col min="20" max="20" width="0.5703125" style="23" customWidth="1"/>
    <col min="21" max="21" width="0" style="23" hidden="1" customWidth="1"/>
    <col min="22" max="26" width="0" style="23" hidden="1"/>
    <col min="27" max="16384" width="9.140625" style="23" hidden="1"/>
  </cols>
  <sheetData>
    <row r="1" spans="2:19" ht="3" customHeight="1" thickBot="1" x14ac:dyDescent="0.3">
      <c r="B1" s="23"/>
      <c r="C1" s="23"/>
      <c r="D1" s="23"/>
      <c r="E1" s="23"/>
      <c r="F1" s="23"/>
      <c r="G1" s="23"/>
      <c r="H1" s="220"/>
      <c r="I1" s="220"/>
      <c r="J1" s="220"/>
      <c r="K1" s="220"/>
      <c r="L1" s="220"/>
      <c r="M1" s="220"/>
      <c r="N1" s="220"/>
      <c r="O1" s="220"/>
      <c r="P1" s="221"/>
      <c r="Q1" s="220"/>
      <c r="R1" s="220"/>
      <c r="S1" s="220"/>
    </row>
    <row r="2" spans="2:19" ht="18" customHeight="1" thickBot="1" x14ac:dyDescent="0.3">
      <c r="B2" s="23"/>
      <c r="C2" s="23"/>
      <c r="D2" s="96" t="s">
        <v>57</v>
      </c>
      <c r="E2" s="24"/>
      <c r="F2" s="24"/>
      <c r="G2" s="23"/>
      <c r="H2" s="96" t="s">
        <v>57</v>
      </c>
      <c r="I2" s="220"/>
      <c r="J2" s="220"/>
      <c r="K2" s="211"/>
      <c r="L2" s="220"/>
      <c r="M2" s="220"/>
      <c r="N2" s="220"/>
      <c r="O2" s="222"/>
      <c r="P2" s="223"/>
      <c r="Q2" s="224"/>
      <c r="R2" s="224"/>
      <c r="S2" s="224"/>
    </row>
    <row r="3" spans="2:19" ht="16.5" customHeight="1" thickBot="1" x14ac:dyDescent="0.3">
      <c r="B3" s="23"/>
      <c r="C3" s="23"/>
      <c r="D3" s="23"/>
      <c r="E3" s="23"/>
      <c r="F3" s="23"/>
      <c r="G3" s="23"/>
      <c r="H3" s="220"/>
      <c r="I3" s="220"/>
      <c r="J3" s="220"/>
      <c r="K3" s="220"/>
      <c r="L3" s="220"/>
      <c r="M3" s="220"/>
      <c r="N3" s="220"/>
      <c r="O3" s="220"/>
      <c r="P3" s="221"/>
      <c r="Q3" s="262" t="s">
        <v>0</v>
      </c>
      <c r="R3" s="262"/>
      <c r="S3" s="262"/>
    </row>
    <row r="4" spans="2:19" ht="15.75" customHeight="1" x14ac:dyDescent="0.25">
      <c r="B4" s="88"/>
      <c r="C4" s="88"/>
      <c r="D4" s="88"/>
      <c r="E4" s="88" t="s">
        <v>1</v>
      </c>
      <c r="F4" s="88"/>
      <c r="G4" s="89"/>
      <c r="H4" s="90" t="s">
        <v>47</v>
      </c>
      <c r="I4" s="90" t="s">
        <v>3</v>
      </c>
      <c r="J4" s="263" t="s">
        <v>4</v>
      </c>
      <c r="K4" s="264"/>
      <c r="L4" s="90" t="s">
        <v>5</v>
      </c>
      <c r="M4" s="90" t="s">
        <v>6</v>
      </c>
      <c r="N4" s="247" t="s">
        <v>7</v>
      </c>
      <c r="O4" s="92" t="s">
        <v>160</v>
      </c>
      <c r="P4" s="93" t="s">
        <v>160</v>
      </c>
      <c r="Q4" s="90" t="s">
        <v>9</v>
      </c>
      <c r="R4" s="90" t="s">
        <v>10</v>
      </c>
      <c r="S4" s="90" t="s">
        <v>40</v>
      </c>
    </row>
    <row r="5" spans="2:19" s="66" customFormat="1" ht="15.75" customHeight="1" x14ac:dyDescent="0.25">
      <c r="B5" s="187" t="s">
        <v>11</v>
      </c>
      <c r="C5" s="187" t="s">
        <v>236</v>
      </c>
      <c r="D5" s="94" t="s">
        <v>12</v>
      </c>
      <c r="E5" s="94" t="s">
        <v>13</v>
      </c>
      <c r="F5" s="94" t="s">
        <v>39</v>
      </c>
      <c r="G5" s="94" t="s">
        <v>129</v>
      </c>
      <c r="H5" s="94" t="s">
        <v>48</v>
      </c>
      <c r="I5" s="94" t="s">
        <v>16</v>
      </c>
      <c r="J5" s="94" t="s">
        <v>17</v>
      </c>
      <c r="K5" s="94" t="s">
        <v>15</v>
      </c>
      <c r="L5" s="94" t="s">
        <v>16</v>
      </c>
      <c r="M5" s="94" t="s">
        <v>17</v>
      </c>
      <c r="N5" s="94" t="s">
        <v>18</v>
      </c>
      <c r="O5" s="94" t="s">
        <v>15</v>
      </c>
      <c r="P5" s="95" t="s">
        <v>161</v>
      </c>
      <c r="Q5" s="94" t="s">
        <v>15</v>
      </c>
      <c r="R5" s="94" t="s">
        <v>15</v>
      </c>
      <c r="S5" s="94" t="s">
        <v>15</v>
      </c>
    </row>
    <row r="6" spans="2:19" ht="14.25" customHeight="1" x14ac:dyDescent="0.25">
      <c r="B6" s="82" t="s">
        <v>151</v>
      </c>
      <c r="C6" s="242">
        <v>40502607000194</v>
      </c>
      <c r="D6" s="83" t="s">
        <v>152</v>
      </c>
      <c r="E6" s="83" t="s">
        <v>119</v>
      </c>
      <c r="F6" s="83" t="s">
        <v>119</v>
      </c>
      <c r="G6" s="83" t="s">
        <v>118</v>
      </c>
      <c r="H6" s="227">
        <v>2152614.5191000002</v>
      </c>
      <c r="I6" s="225">
        <v>68.34</v>
      </c>
      <c r="J6" s="225">
        <v>73.712369499000005</v>
      </c>
      <c r="K6" s="226">
        <v>0.92711712382176392</v>
      </c>
      <c r="L6" s="227">
        <v>1238661064.8643422</v>
      </c>
      <c r="M6" s="227">
        <v>1427261458.1700001</v>
      </c>
      <c r="N6" s="228">
        <v>0.8678585537176372</v>
      </c>
      <c r="O6" s="229">
        <v>1.2437810945273631E-2</v>
      </c>
      <c r="P6" s="230">
        <v>0.85</v>
      </c>
      <c r="Q6" s="231">
        <v>-1.3921387967E-2</v>
      </c>
      <c r="R6" s="231">
        <v>2.6322057026999999E-2</v>
      </c>
      <c r="S6" s="231">
        <v>7.4562210192999995E-2</v>
      </c>
    </row>
    <row r="7" spans="2:19" ht="14.25" customHeight="1" x14ac:dyDescent="0.25">
      <c r="B7" s="82" t="s">
        <v>243</v>
      </c>
      <c r="C7" s="242">
        <v>42294971000131</v>
      </c>
      <c r="D7" s="83" t="s">
        <v>244</v>
      </c>
      <c r="E7" s="83" t="s">
        <v>245</v>
      </c>
      <c r="F7" s="83" t="s">
        <v>245</v>
      </c>
      <c r="G7" s="83" t="s">
        <v>118</v>
      </c>
      <c r="H7" s="227">
        <v>201660.78046000001</v>
      </c>
      <c r="I7" s="225">
        <v>74</v>
      </c>
      <c r="J7" s="225">
        <v>78.148843814000003</v>
      </c>
      <c r="K7" s="226">
        <v>0.94691100198648415</v>
      </c>
      <c r="L7" s="227">
        <v>184686461.99274075</v>
      </c>
      <c r="M7" s="227">
        <v>194814015.75</v>
      </c>
      <c r="N7" s="228">
        <v>0.94801424467192497</v>
      </c>
      <c r="O7" s="229">
        <v>1.3513513513513514E-2</v>
      </c>
      <c r="P7" s="230">
        <v>1</v>
      </c>
      <c r="Q7" s="231">
        <v>-4.3927648579E-2</v>
      </c>
      <c r="R7" s="231">
        <v>2.1997344862000001E-2</v>
      </c>
      <c r="S7" s="231">
        <v>0.10698394291</v>
      </c>
    </row>
    <row r="8" spans="2:19" ht="14.25" customHeight="1" x14ac:dyDescent="0.25">
      <c r="B8" s="82" t="s">
        <v>218</v>
      </c>
      <c r="C8" s="242">
        <v>55239865000105</v>
      </c>
      <c r="D8" s="83" t="s">
        <v>219</v>
      </c>
      <c r="E8" s="83" t="s">
        <v>220</v>
      </c>
      <c r="F8" s="83" t="s">
        <v>221</v>
      </c>
      <c r="G8" s="83" t="s">
        <v>118</v>
      </c>
      <c r="H8" s="227">
        <v>785178.16431000002</v>
      </c>
      <c r="I8" s="225">
        <v>102.9</v>
      </c>
      <c r="J8" s="225">
        <v>105.99</v>
      </c>
      <c r="K8" s="226">
        <v>0.97084630625530721</v>
      </c>
      <c r="L8" s="227">
        <v>1195315830.2032456</v>
      </c>
      <c r="M8" s="227">
        <v>1170307800.6400001</v>
      </c>
      <c r="N8" s="228">
        <v>1.021368762602086</v>
      </c>
      <c r="O8" s="229">
        <v>1.4577259475218658E-2</v>
      </c>
      <c r="P8" s="230">
        <v>1.5</v>
      </c>
      <c r="Q8" s="231">
        <v>-1.0957324106E-2</v>
      </c>
      <c r="R8" s="231">
        <v>0.13091286588000001</v>
      </c>
      <c r="S8" s="231">
        <v>0.26665810596</v>
      </c>
    </row>
    <row r="9" spans="2:19" ht="14.25" customHeight="1" x14ac:dyDescent="0.25">
      <c r="B9" s="82" t="s">
        <v>153</v>
      </c>
      <c r="C9" s="242">
        <v>41771670000199</v>
      </c>
      <c r="D9" s="83" t="s">
        <v>154</v>
      </c>
      <c r="E9" s="83" t="s">
        <v>226</v>
      </c>
      <c r="F9" s="83" t="s">
        <v>119</v>
      </c>
      <c r="G9" s="83" t="s">
        <v>118</v>
      </c>
      <c r="H9" s="227">
        <v>921585.66769000003</v>
      </c>
      <c r="I9" s="225">
        <v>7.13</v>
      </c>
      <c r="J9" s="225">
        <v>7.7079947574999998</v>
      </c>
      <c r="K9" s="226">
        <v>0.92501360267044785</v>
      </c>
      <c r="L9" s="227">
        <v>462573714.67376047</v>
      </c>
      <c r="M9" s="227">
        <v>518969333.06</v>
      </c>
      <c r="N9" s="228">
        <v>0.89133150112413406</v>
      </c>
      <c r="O9" s="229">
        <v>1.2622720897615708E-2</v>
      </c>
      <c r="P9" s="230">
        <v>0.09</v>
      </c>
      <c r="Q9" s="231">
        <v>-5.4376657825999999E-2</v>
      </c>
      <c r="R9" s="231">
        <v>-1.1109069947E-2</v>
      </c>
      <c r="S9" s="231">
        <v>0.14308479064999999</v>
      </c>
    </row>
    <row r="10" spans="2:19" ht="14.25" customHeight="1" x14ac:dyDescent="0.25">
      <c r="B10" s="82" t="s">
        <v>175</v>
      </c>
      <c r="C10" s="242">
        <v>48973783000116</v>
      </c>
      <c r="D10" s="83" t="s">
        <v>176</v>
      </c>
      <c r="E10" s="83" t="s">
        <v>227</v>
      </c>
      <c r="F10" s="83" t="s">
        <v>119</v>
      </c>
      <c r="G10" s="83" t="s">
        <v>118</v>
      </c>
      <c r="H10" s="227">
        <v>7124570.9932000004</v>
      </c>
      <c r="I10" s="225">
        <v>95.71</v>
      </c>
      <c r="J10" s="225">
        <v>101.91326871</v>
      </c>
      <c r="K10" s="226">
        <v>0.93913188352684718</v>
      </c>
      <c r="L10" s="227">
        <v>2630219717.0818601</v>
      </c>
      <c r="M10" s="227">
        <v>2793901722.4699998</v>
      </c>
      <c r="N10" s="228">
        <v>0.94141454437293748</v>
      </c>
      <c r="O10" s="229">
        <v>1.0448229025180233E-2</v>
      </c>
      <c r="P10" s="230">
        <v>1</v>
      </c>
      <c r="Q10" s="231">
        <v>-2.9408782070999999E-2</v>
      </c>
      <c r="R10" s="231">
        <v>-6.0782864883999997E-2</v>
      </c>
      <c r="S10" s="231">
        <v>4.2360146060999998E-2</v>
      </c>
    </row>
    <row r="11" spans="2:19" ht="14.25" customHeight="1" x14ac:dyDescent="0.25">
      <c r="B11" s="82" t="s">
        <v>155</v>
      </c>
      <c r="C11" s="242">
        <v>38065012000177</v>
      </c>
      <c r="D11" s="83" t="s">
        <v>156</v>
      </c>
      <c r="E11" s="83" t="s">
        <v>228</v>
      </c>
      <c r="F11" s="83" t="s">
        <v>119</v>
      </c>
      <c r="G11" s="83" t="s">
        <v>118</v>
      </c>
      <c r="H11" s="227">
        <v>2258273.3210999998</v>
      </c>
      <c r="I11" s="225">
        <v>81.900000000000006</v>
      </c>
      <c r="J11" s="225">
        <v>86.075775307000001</v>
      </c>
      <c r="K11" s="226">
        <v>0.9514872181852958</v>
      </c>
      <c r="L11" s="227">
        <v>1112422556.9673455</v>
      </c>
      <c r="M11" s="227">
        <v>1226901040.04</v>
      </c>
      <c r="N11" s="228">
        <v>0.90669297739863175</v>
      </c>
      <c r="O11" s="229">
        <v>1.404151404151404E-2</v>
      </c>
      <c r="P11" s="230">
        <v>1.1499999999999999</v>
      </c>
      <c r="Q11" s="231">
        <v>-4.1924295597999997E-2</v>
      </c>
      <c r="R11" s="231">
        <v>3.6045658520000003E-2</v>
      </c>
      <c r="S11" s="231">
        <v>0.17733016038999999</v>
      </c>
    </row>
    <row r="12" spans="2:19" ht="14.25" customHeight="1" x14ac:dyDescent="0.25">
      <c r="B12" s="82" t="s">
        <v>750</v>
      </c>
      <c r="C12" s="242">
        <v>58390457000130</v>
      </c>
      <c r="D12" s="83" t="s">
        <v>751</v>
      </c>
      <c r="E12" s="83" t="s">
        <v>227</v>
      </c>
      <c r="F12" s="83" t="s">
        <v>752</v>
      </c>
      <c r="G12" s="83" t="s">
        <v>118</v>
      </c>
      <c r="H12" s="227">
        <v>1335707.9749</v>
      </c>
      <c r="I12" s="225">
        <v>92.96</v>
      </c>
      <c r="J12" s="225">
        <v>106.36944341</v>
      </c>
      <c r="K12" s="226">
        <v>0.87393519247521645</v>
      </c>
      <c r="L12" s="227">
        <v>953423808.69602883</v>
      </c>
      <c r="M12" s="227">
        <v>994346366.75</v>
      </c>
      <c r="N12" s="228">
        <v>0.95884476534296026</v>
      </c>
      <c r="O12" s="229">
        <v>1.2908777969018933E-2</v>
      </c>
      <c r="P12" s="230">
        <v>1.2</v>
      </c>
      <c r="Q12" s="231">
        <v>-1.7855256207E-2</v>
      </c>
      <c r="R12" s="231">
        <v>2.7603185975999998E-2</v>
      </c>
      <c r="S12" s="231">
        <v>3.0152803297999999E-2</v>
      </c>
    </row>
    <row r="13" spans="2:19" ht="14.25" customHeight="1" x14ac:dyDescent="0.25">
      <c r="B13" s="82" t="s">
        <v>251</v>
      </c>
      <c r="C13" s="242">
        <v>34633510000118</v>
      </c>
      <c r="D13" s="83" t="s">
        <v>252</v>
      </c>
      <c r="E13" s="83" t="s">
        <v>230</v>
      </c>
      <c r="F13" s="83" t="s">
        <v>231</v>
      </c>
      <c r="G13" s="83" t="s">
        <v>118</v>
      </c>
      <c r="H13" s="227">
        <v>2172046.6425000001</v>
      </c>
      <c r="I13" s="225">
        <v>89.5</v>
      </c>
      <c r="J13" s="225">
        <v>98.079425616999998</v>
      </c>
      <c r="K13" s="226">
        <v>0.91252573551457528</v>
      </c>
      <c r="L13" s="227">
        <v>1386538207.6024716</v>
      </c>
      <c r="M13" s="227">
        <v>1477530705.45</v>
      </c>
      <c r="N13" s="228">
        <v>0.93841583290831465</v>
      </c>
      <c r="O13" s="229">
        <v>1.0055865921787709E-2</v>
      </c>
      <c r="P13" s="230">
        <v>0.9</v>
      </c>
      <c r="Q13" s="231">
        <v>-3.3477321813999997E-2</v>
      </c>
      <c r="R13" s="231">
        <v>-3.2459095028999997E-2</v>
      </c>
      <c r="S13" s="231">
        <v>6.2158533788999999E-2</v>
      </c>
    </row>
    <row r="14" spans="2:19" ht="14.25" customHeight="1" x14ac:dyDescent="0.25">
      <c r="B14" s="82" t="s">
        <v>238</v>
      </c>
      <c r="C14" s="242">
        <v>53556099000179</v>
      </c>
      <c r="D14" s="83" t="s">
        <v>239</v>
      </c>
      <c r="E14" s="83" t="s">
        <v>230</v>
      </c>
      <c r="F14" s="83" t="s">
        <v>231</v>
      </c>
      <c r="G14" s="83" t="s">
        <v>118</v>
      </c>
      <c r="H14" s="227">
        <v>1877729.8011</v>
      </c>
      <c r="I14" s="225">
        <v>99.93</v>
      </c>
      <c r="J14" s="225">
        <v>102</v>
      </c>
      <c r="K14" s="226">
        <v>0.9797058823529412</v>
      </c>
      <c r="L14" s="227">
        <v>1496501515.1904118</v>
      </c>
      <c r="M14" s="227">
        <v>1489054282.4000001</v>
      </c>
      <c r="N14" s="228">
        <v>1.0050013171973882</v>
      </c>
      <c r="O14" s="229">
        <v>1.3009106374462122E-2</v>
      </c>
      <c r="P14" s="230">
        <v>1.3</v>
      </c>
      <c r="Q14" s="231">
        <v>-1.6824085004999999E-2</v>
      </c>
      <c r="R14" s="231">
        <v>6.0621151673000001E-2</v>
      </c>
      <c r="S14" s="231">
        <v>0.18162034217</v>
      </c>
    </row>
    <row r="15" spans="2:19" ht="14.25" customHeight="1" x14ac:dyDescent="0.25">
      <c r="B15" s="82" t="s">
        <v>223</v>
      </c>
      <c r="C15" s="242">
        <v>55940336000126</v>
      </c>
      <c r="D15" s="83" t="s">
        <v>224</v>
      </c>
      <c r="E15" s="83" t="s">
        <v>222</v>
      </c>
      <c r="F15" s="83" t="s">
        <v>119</v>
      </c>
      <c r="G15" s="83" t="s">
        <v>118</v>
      </c>
      <c r="H15" s="227">
        <v>52186.328000000001</v>
      </c>
      <c r="I15" s="225">
        <v>8.14</v>
      </c>
      <c r="J15" s="225">
        <v>9.2630780506000008</v>
      </c>
      <c r="K15" s="226">
        <v>0.87875757448386671</v>
      </c>
      <c r="L15" s="227">
        <v>36260020.565219</v>
      </c>
      <c r="M15" s="227">
        <v>45619674.009999998</v>
      </c>
      <c r="N15" s="228">
        <v>0.79483296082454846</v>
      </c>
      <c r="O15" s="229">
        <v>1.2285012285012284E-2</v>
      </c>
      <c r="P15" s="230">
        <v>0.1</v>
      </c>
      <c r="Q15" s="231">
        <v>-3.7744770804000002E-2</v>
      </c>
      <c r="R15" s="231">
        <v>-4.3184508663999997E-2</v>
      </c>
      <c r="S15" s="231">
        <v>0.11760095850000001</v>
      </c>
    </row>
    <row r="16" spans="2:19" ht="14.25" customHeight="1" x14ac:dyDescent="0.25">
      <c r="B16" s="82" t="s">
        <v>240</v>
      </c>
      <c r="C16" s="242">
        <v>55276939000175</v>
      </c>
      <c r="D16" s="83" t="s">
        <v>241</v>
      </c>
      <c r="E16" s="83" t="s">
        <v>242</v>
      </c>
      <c r="F16" s="83" t="s">
        <v>235</v>
      </c>
      <c r="G16" s="83" t="s">
        <v>118</v>
      </c>
      <c r="H16" s="227">
        <v>970935.40445999999</v>
      </c>
      <c r="I16" s="225">
        <v>81.180000000000007</v>
      </c>
      <c r="J16" s="225">
        <v>87.704456277000006</v>
      </c>
      <c r="K16" s="226">
        <v>0.92560861153515872</v>
      </c>
      <c r="L16" s="227">
        <v>355162500.02807057</v>
      </c>
      <c r="M16" s="227">
        <v>442838520.11000001</v>
      </c>
      <c r="N16" s="228">
        <v>0.80201356453781181</v>
      </c>
      <c r="O16" s="229">
        <v>1.5028332101502832E-2</v>
      </c>
      <c r="P16" s="230">
        <v>1.22</v>
      </c>
      <c r="Q16" s="231">
        <v>-2.2634240308E-2</v>
      </c>
      <c r="R16" s="231">
        <v>3.8905520551000002E-2</v>
      </c>
      <c r="S16" s="231">
        <v>0.10506249412</v>
      </c>
    </row>
    <row r="17" spans="2:19" ht="14.25" customHeight="1" x14ac:dyDescent="0.25">
      <c r="B17" s="82" t="s">
        <v>253</v>
      </c>
      <c r="C17" s="242">
        <v>42730834000100</v>
      </c>
      <c r="D17" s="83" t="s">
        <v>254</v>
      </c>
      <c r="E17" s="83" t="s">
        <v>227</v>
      </c>
      <c r="F17" s="83" t="s">
        <v>119</v>
      </c>
      <c r="G17" s="83" t="s">
        <v>118</v>
      </c>
      <c r="H17" s="227">
        <v>5495610.6715000002</v>
      </c>
      <c r="I17" s="225">
        <v>94.05</v>
      </c>
      <c r="J17" s="225">
        <v>102.27267039</v>
      </c>
      <c r="K17" s="226">
        <v>0.91960051146954314</v>
      </c>
      <c r="L17" s="227">
        <v>1934766222.1051078</v>
      </c>
      <c r="M17" s="227">
        <v>2077013666.1099999</v>
      </c>
      <c r="N17" s="228">
        <v>0.93151347710133048</v>
      </c>
      <c r="O17" s="229">
        <v>7.9744816586921844E-3</v>
      </c>
      <c r="P17" s="230">
        <v>0.75</v>
      </c>
      <c r="Q17" s="231">
        <v>-2.4377593360000002E-2</v>
      </c>
      <c r="R17" s="231">
        <v>-3.4731463369000001E-2</v>
      </c>
      <c r="S17" s="231">
        <v>7.5467930261000002E-2</v>
      </c>
    </row>
    <row r="18" spans="2:19" ht="14.25" customHeight="1" x14ac:dyDescent="0.25">
      <c r="B18" s="82" t="s">
        <v>157</v>
      </c>
      <c r="C18" s="242">
        <v>26324298000189</v>
      </c>
      <c r="D18" s="83" t="s">
        <v>158</v>
      </c>
      <c r="E18" s="83" t="s">
        <v>232</v>
      </c>
      <c r="F18" s="83" t="s">
        <v>231</v>
      </c>
      <c r="G18" s="83" t="s">
        <v>118</v>
      </c>
      <c r="H18" s="227">
        <v>3593553.4229000001</v>
      </c>
      <c r="I18" s="225">
        <v>112.75</v>
      </c>
      <c r="J18" s="225">
        <v>124.30058834</v>
      </c>
      <c r="K18" s="226">
        <v>0.90707535262499628</v>
      </c>
      <c r="L18" s="227">
        <v>2647907744.5725503</v>
      </c>
      <c r="M18" s="227">
        <v>2790928869.71</v>
      </c>
      <c r="N18" s="228">
        <v>0.94875500888264819</v>
      </c>
      <c r="O18" s="229">
        <v>8.869179600886918E-3</v>
      </c>
      <c r="P18" s="230">
        <v>1</v>
      </c>
      <c r="Q18" s="231">
        <v>-3.5500427716000003E-2</v>
      </c>
      <c r="R18" s="231">
        <v>-6.7277959856999997E-2</v>
      </c>
      <c r="S18" s="231">
        <v>7.5500519560999999E-2</v>
      </c>
    </row>
    <row r="19" spans="2:19" ht="14.25" customHeight="1" x14ac:dyDescent="0.25">
      <c r="B19" s="82" t="s">
        <v>159</v>
      </c>
      <c r="C19" s="242">
        <v>46420627000100</v>
      </c>
      <c r="D19" s="83" t="s">
        <v>178</v>
      </c>
      <c r="E19" s="83" t="s">
        <v>233</v>
      </c>
      <c r="F19" s="83" t="s">
        <v>167</v>
      </c>
      <c r="G19" s="83" t="s">
        <v>118</v>
      </c>
      <c r="H19" s="227">
        <v>82189.858462000004</v>
      </c>
      <c r="I19" s="225">
        <v>7.45</v>
      </c>
      <c r="J19" s="225">
        <v>8.4068081525</v>
      </c>
      <c r="K19" s="226">
        <v>0.88618651274735394</v>
      </c>
      <c r="L19" s="227">
        <v>34769403.289396413</v>
      </c>
      <c r="M19" s="227">
        <v>45531116.380000003</v>
      </c>
      <c r="N19" s="228">
        <v>0.7636404738951057</v>
      </c>
      <c r="O19" s="229">
        <v>1.2080536912751677E-2</v>
      </c>
      <c r="P19" s="230">
        <v>0.09</v>
      </c>
      <c r="Q19" s="231">
        <v>-3.3722438393000001E-2</v>
      </c>
      <c r="R19" s="231">
        <v>-1.7449497865999999E-2</v>
      </c>
      <c r="S19" s="231">
        <v>5.3002179293000003E-2</v>
      </c>
    </row>
    <row r="20" spans="2:19" ht="14.25" customHeight="1" x14ac:dyDescent="0.25">
      <c r="B20" s="82" t="s">
        <v>258</v>
      </c>
      <c r="C20" s="242">
        <v>38314962000198</v>
      </c>
      <c r="D20" s="83" t="s">
        <v>259</v>
      </c>
      <c r="E20" s="83" t="s">
        <v>257</v>
      </c>
      <c r="F20" s="83" t="s">
        <v>167</v>
      </c>
      <c r="G20" s="83" t="s">
        <v>118</v>
      </c>
      <c r="H20" s="227">
        <v>170559.55523</v>
      </c>
      <c r="I20" s="225">
        <v>67.5</v>
      </c>
      <c r="J20" s="225">
        <v>75.220733913000004</v>
      </c>
      <c r="K20" s="226">
        <v>0.89735896592115449</v>
      </c>
      <c r="L20" s="227">
        <v>58579469.996678248</v>
      </c>
      <c r="M20" s="227">
        <v>74163519.799999997</v>
      </c>
      <c r="N20" s="228">
        <v>0.78986906439516436</v>
      </c>
      <c r="O20" s="229">
        <v>1.3333333333333334E-2</v>
      </c>
      <c r="P20" s="230">
        <v>0.9</v>
      </c>
      <c r="Q20" s="231">
        <v>-7.2802197801000001E-2</v>
      </c>
      <c r="R20" s="231">
        <v>-1.9039367817E-3</v>
      </c>
      <c r="S20" s="231">
        <v>0.10677898125</v>
      </c>
    </row>
    <row r="21" spans="2:19" ht="14.25" customHeight="1" x14ac:dyDescent="0.25">
      <c r="B21" s="82" t="s">
        <v>260</v>
      </c>
      <c r="C21" s="242">
        <v>54895184000124</v>
      </c>
      <c r="D21" s="83" t="s">
        <v>261</v>
      </c>
      <c r="E21" s="83" t="s">
        <v>256</v>
      </c>
      <c r="F21" s="83" t="s">
        <v>262</v>
      </c>
      <c r="G21" s="83" t="s">
        <v>118</v>
      </c>
      <c r="H21" s="227">
        <v>185359.23738000001</v>
      </c>
      <c r="I21" s="225">
        <v>7.21</v>
      </c>
      <c r="J21" s="225">
        <v>7.6932458566999999</v>
      </c>
      <c r="K21" s="226">
        <v>0.93718569954720166</v>
      </c>
      <c r="L21" s="227">
        <v>108150000</v>
      </c>
      <c r="M21" s="227">
        <v>136534281</v>
      </c>
      <c r="N21" s="228">
        <v>0.79210875985057549</v>
      </c>
      <c r="O21" s="229">
        <v>1.2706296047156727E-2</v>
      </c>
      <c r="P21" s="230">
        <v>9.16123945E-2</v>
      </c>
      <c r="Q21" s="231">
        <v>-2.6778783194000001E-2</v>
      </c>
      <c r="R21" s="231">
        <v>3.8529044723000002E-3</v>
      </c>
      <c r="S21" s="231">
        <v>0.13672175546000001</v>
      </c>
    </row>
    <row r="22" spans="2:19" ht="14.25" customHeight="1" x14ac:dyDescent="0.25">
      <c r="B22" s="82" t="s">
        <v>173</v>
      </c>
      <c r="C22" s="242">
        <v>48969881000180</v>
      </c>
      <c r="D22" s="83" t="s">
        <v>174</v>
      </c>
      <c r="E22" s="83" t="s">
        <v>234</v>
      </c>
      <c r="F22" s="83" t="s">
        <v>119</v>
      </c>
      <c r="G22" s="83" t="s">
        <v>118</v>
      </c>
      <c r="H22" s="227">
        <v>101962.32169</v>
      </c>
      <c r="I22" s="225">
        <v>9.9499999999999993</v>
      </c>
      <c r="J22" s="225">
        <v>10.952371813999999</v>
      </c>
      <c r="K22" s="226">
        <v>0.9084790188807591</v>
      </c>
      <c r="L22" s="227">
        <v>71678207.91866298</v>
      </c>
      <c r="M22" s="227">
        <v>69710357.280000001</v>
      </c>
      <c r="N22" s="228">
        <v>1.0282289564341045</v>
      </c>
      <c r="O22" s="229">
        <v>1.1055276381909548E-2</v>
      </c>
      <c r="P22" s="230">
        <v>0.11</v>
      </c>
      <c r="Q22" s="231">
        <v>-4.0766225853999999E-2</v>
      </c>
      <c r="R22" s="231">
        <v>-2.4271510284999999E-2</v>
      </c>
      <c r="S22" s="231">
        <v>0.13224410640000001</v>
      </c>
    </row>
    <row r="23" spans="2:19" ht="14.25" customHeight="1" x14ac:dyDescent="0.25">
      <c r="B23" s="82" t="s">
        <v>165</v>
      </c>
      <c r="C23" s="242">
        <v>37404867000112</v>
      </c>
      <c r="D23" s="83" t="s">
        <v>166</v>
      </c>
      <c r="E23" s="83" t="s">
        <v>235</v>
      </c>
      <c r="F23" s="83" t="s">
        <v>225</v>
      </c>
      <c r="G23" s="83" t="s">
        <v>118</v>
      </c>
      <c r="H23" s="227">
        <v>108940.23861</v>
      </c>
      <c r="I23" s="225">
        <v>48.89</v>
      </c>
      <c r="J23" s="225">
        <v>61.921475047000001</v>
      </c>
      <c r="K23" s="226">
        <v>0.78954837498446584</v>
      </c>
      <c r="L23" s="227">
        <v>154759534.95359415</v>
      </c>
      <c r="M23" s="227">
        <v>232415355.93000001</v>
      </c>
      <c r="N23" s="228">
        <v>0.66587482713579982</v>
      </c>
      <c r="O23" s="229">
        <v>1.534056044180814E-2</v>
      </c>
      <c r="P23" s="230">
        <v>0.75</v>
      </c>
      <c r="Q23" s="231">
        <v>1.1587005999E-2</v>
      </c>
      <c r="R23" s="231">
        <v>0.16803077838</v>
      </c>
      <c r="S23" s="231">
        <v>4.1548098053999998E-2</v>
      </c>
    </row>
    <row r="24" spans="2:19" ht="14.25" customHeight="1" x14ac:dyDescent="0.25">
      <c r="B24" s="82"/>
      <c r="C24" s="242"/>
      <c r="D24" s="83"/>
      <c r="E24" s="83"/>
      <c r="F24" s="83"/>
      <c r="G24" s="83"/>
      <c r="H24" s="227"/>
      <c r="I24" s="225"/>
      <c r="J24" s="225"/>
      <c r="K24" s="226"/>
      <c r="L24" s="227"/>
      <c r="M24" s="227"/>
      <c r="N24" s="228"/>
      <c r="O24" s="229"/>
      <c r="P24" s="230"/>
      <c r="Q24" s="231"/>
      <c r="R24" s="231"/>
      <c r="S24" s="231"/>
    </row>
    <row r="25" spans="2:19" ht="14.25" customHeight="1" x14ac:dyDescent="0.25">
      <c r="B25" s="82"/>
      <c r="C25" s="242"/>
      <c r="D25" s="83"/>
      <c r="E25" s="83"/>
      <c r="F25" s="83"/>
      <c r="G25" s="83"/>
      <c r="H25" s="227"/>
      <c r="I25" s="225"/>
      <c r="J25" s="225"/>
      <c r="K25" s="226"/>
      <c r="L25" s="227"/>
      <c r="M25" s="227"/>
      <c r="N25" s="228"/>
      <c r="O25" s="229"/>
      <c r="P25" s="230"/>
      <c r="Q25" s="231"/>
      <c r="R25" s="231"/>
      <c r="S25" s="231"/>
    </row>
    <row r="26" spans="2:19" ht="14.25" customHeight="1" x14ac:dyDescent="0.25">
      <c r="B26" s="82"/>
      <c r="C26" s="242"/>
      <c r="D26" s="83"/>
      <c r="E26" s="83"/>
      <c r="F26" s="83"/>
      <c r="G26" s="83"/>
      <c r="H26" s="227"/>
      <c r="I26" s="225"/>
      <c r="J26" s="225"/>
      <c r="K26" s="226"/>
      <c r="L26" s="227"/>
      <c r="M26" s="227"/>
      <c r="N26" s="228"/>
      <c r="O26" s="229"/>
      <c r="P26" s="230"/>
      <c r="Q26" s="231"/>
      <c r="R26" s="231"/>
      <c r="S26" s="231"/>
    </row>
    <row r="27" spans="2:19" ht="14.25" customHeight="1" x14ac:dyDescent="0.25">
      <c r="B27" s="82"/>
      <c r="C27" s="242"/>
      <c r="D27" s="83"/>
      <c r="E27" s="83"/>
      <c r="F27" s="83"/>
      <c r="G27" s="83"/>
      <c r="H27" s="227"/>
      <c r="I27" s="225"/>
      <c r="J27" s="225"/>
      <c r="K27" s="226"/>
      <c r="L27" s="227"/>
      <c r="M27" s="227"/>
      <c r="N27" s="228"/>
      <c r="O27" s="229"/>
      <c r="P27" s="230"/>
      <c r="Q27" s="231"/>
      <c r="R27" s="231"/>
      <c r="S27" s="231"/>
    </row>
    <row r="28" spans="2:19" ht="14.25" customHeight="1" x14ac:dyDescent="0.25">
      <c r="B28" s="82"/>
      <c r="C28" s="242"/>
      <c r="D28" s="83"/>
      <c r="E28" s="83"/>
      <c r="F28" s="83"/>
      <c r="G28" s="83"/>
      <c r="H28" s="227"/>
      <c r="I28" s="225"/>
      <c r="J28" s="225"/>
      <c r="K28" s="226"/>
      <c r="L28" s="227"/>
      <c r="M28" s="227"/>
      <c r="N28" s="228"/>
      <c r="O28" s="229"/>
      <c r="P28" s="230"/>
      <c r="Q28" s="231"/>
      <c r="R28" s="231"/>
      <c r="S28" s="231"/>
    </row>
    <row r="29" spans="2:19" ht="14.25" customHeight="1" x14ac:dyDescent="0.25">
      <c r="B29" s="82"/>
      <c r="C29" s="242"/>
      <c r="D29" s="83"/>
      <c r="E29" s="83"/>
      <c r="F29" s="83"/>
      <c r="G29" s="83"/>
      <c r="H29" s="227"/>
      <c r="I29" s="225"/>
      <c r="J29" s="225"/>
      <c r="K29" s="226"/>
      <c r="L29" s="227"/>
      <c r="M29" s="227"/>
      <c r="N29" s="228"/>
      <c r="O29" s="229"/>
      <c r="P29" s="230"/>
      <c r="Q29" s="231"/>
      <c r="R29" s="231"/>
      <c r="S29" s="231"/>
    </row>
    <row r="30" spans="2:19" ht="14.25" customHeight="1" x14ac:dyDescent="0.25">
      <c r="B30" s="82"/>
      <c r="C30" s="242"/>
      <c r="D30" s="83"/>
      <c r="E30" s="83"/>
      <c r="F30" s="83"/>
      <c r="G30" s="83"/>
      <c r="H30" s="227"/>
      <c r="I30" s="225"/>
      <c r="J30" s="225"/>
      <c r="K30" s="226"/>
      <c r="L30" s="227"/>
      <c r="M30" s="227"/>
      <c r="N30" s="228"/>
      <c r="O30" s="229"/>
      <c r="P30" s="230"/>
      <c r="Q30" s="231"/>
      <c r="R30" s="231"/>
      <c r="S30" s="231"/>
    </row>
    <row r="31" spans="2:19" ht="14.25" customHeight="1" x14ac:dyDescent="0.25">
      <c r="B31" s="82"/>
      <c r="C31" s="242"/>
      <c r="D31" s="83"/>
      <c r="E31" s="83"/>
      <c r="F31" s="83"/>
      <c r="G31" s="83"/>
      <c r="H31" s="227"/>
      <c r="I31" s="225"/>
      <c r="J31" s="225"/>
      <c r="K31" s="226"/>
      <c r="L31" s="227"/>
      <c r="M31" s="227"/>
      <c r="N31" s="228"/>
      <c r="O31" s="229"/>
      <c r="P31" s="230"/>
      <c r="Q31" s="231"/>
      <c r="R31" s="231"/>
      <c r="S31" s="231"/>
    </row>
    <row r="32" spans="2:19" ht="14.25" customHeight="1" x14ac:dyDescent="0.25">
      <c r="B32" s="82"/>
      <c r="C32" s="242"/>
      <c r="D32" s="83"/>
      <c r="E32" s="83"/>
      <c r="F32" s="83"/>
      <c r="G32" s="83"/>
      <c r="H32" s="227"/>
      <c r="I32" s="225"/>
      <c r="J32" s="225"/>
      <c r="K32" s="226"/>
      <c r="L32" s="227"/>
      <c r="M32" s="227"/>
      <c r="N32" s="228"/>
      <c r="O32" s="229"/>
      <c r="P32" s="230"/>
      <c r="Q32" s="231"/>
      <c r="R32" s="231"/>
      <c r="S32" s="231"/>
    </row>
    <row r="33" spans="2:19" ht="14.25" customHeight="1" x14ac:dyDescent="0.25">
      <c r="B33" s="82"/>
      <c r="C33" s="242"/>
      <c r="D33" s="83"/>
      <c r="E33" s="83"/>
      <c r="F33" s="83"/>
      <c r="G33" s="83"/>
      <c r="H33" s="227"/>
      <c r="I33" s="225"/>
      <c r="J33" s="225"/>
      <c r="K33" s="226"/>
      <c r="L33" s="227"/>
      <c r="M33" s="227"/>
      <c r="N33" s="228"/>
      <c r="O33" s="229"/>
      <c r="P33" s="230"/>
      <c r="Q33" s="231"/>
      <c r="R33" s="231"/>
      <c r="S33" s="231"/>
    </row>
    <row r="34" spans="2:19" ht="14.25" customHeight="1" x14ac:dyDescent="0.25">
      <c r="B34" s="82"/>
      <c r="C34" s="242"/>
      <c r="D34" s="83"/>
      <c r="E34" s="83"/>
      <c r="F34" s="83"/>
      <c r="G34" s="83"/>
      <c r="H34" s="227"/>
      <c r="I34" s="225"/>
      <c r="J34" s="225"/>
      <c r="K34" s="226"/>
      <c r="L34" s="227"/>
      <c r="M34" s="227"/>
      <c r="N34" s="228"/>
      <c r="O34" s="229"/>
      <c r="P34" s="230"/>
      <c r="Q34" s="231"/>
      <c r="R34" s="231"/>
      <c r="S34" s="231"/>
    </row>
    <row r="35" spans="2:19" ht="14.25" customHeight="1" x14ac:dyDescent="0.25">
      <c r="B35" s="82"/>
      <c r="C35" s="242"/>
      <c r="D35" s="83"/>
      <c r="E35" s="83"/>
      <c r="F35" s="83"/>
      <c r="G35" s="83"/>
      <c r="H35" s="227"/>
      <c r="I35" s="225"/>
      <c r="J35" s="225"/>
      <c r="K35" s="226"/>
      <c r="L35" s="227"/>
      <c r="M35" s="227"/>
      <c r="N35" s="228"/>
      <c r="O35" s="229"/>
      <c r="P35" s="230"/>
      <c r="Q35" s="231"/>
      <c r="R35" s="231"/>
      <c r="S35" s="231"/>
    </row>
    <row r="36" spans="2:19" ht="14.25" customHeight="1" x14ac:dyDescent="0.25">
      <c r="B36" s="82"/>
      <c r="C36" s="242"/>
      <c r="D36" s="83"/>
      <c r="E36" s="83"/>
      <c r="F36" s="83"/>
      <c r="G36" s="83"/>
      <c r="H36" s="227"/>
      <c r="I36" s="225"/>
      <c r="J36" s="225"/>
      <c r="K36" s="226"/>
      <c r="L36" s="227"/>
      <c r="M36" s="227"/>
      <c r="N36" s="228"/>
      <c r="O36" s="229"/>
      <c r="P36" s="230"/>
      <c r="Q36" s="231"/>
      <c r="R36" s="231"/>
      <c r="S36" s="231"/>
    </row>
    <row r="37" spans="2:19" ht="14.25" customHeight="1" x14ac:dyDescent="0.25">
      <c r="B37" s="82"/>
      <c r="C37" s="242"/>
      <c r="D37" s="83"/>
      <c r="E37" s="83"/>
      <c r="F37" s="83"/>
      <c r="G37" s="83"/>
      <c r="H37" s="227"/>
      <c r="I37" s="225"/>
      <c r="J37" s="225"/>
      <c r="K37" s="226"/>
      <c r="L37" s="227"/>
      <c r="M37" s="227"/>
      <c r="N37" s="228"/>
      <c r="O37" s="229"/>
      <c r="P37" s="230"/>
      <c r="Q37" s="231"/>
      <c r="R37" s="231"/>
      <c r="S37" s="231"/>
    </row>
    <row r="38" spans="2:19" ht="14.25" customHeight="1" x14ac:dyDescent="0.25">
      <c r="B38" s="82"/>
      <c r="C38" s="242"/>
      <c r="D38" s="83"/>
      <c r="E38" s="83"/>
      <c r="F38" s="83"/>
      <c r="G38" s="83"/>
      <c r="H38" s="227"/>
      <c r="I38" s="225"/>
      <c r="J38" s="225"/>
      <c r="K38" s="226"/>
      <c r="L38" s="227"/>
      <c r="M38" s="227"/>
      <c r="N38" s="228"/>
      <c r="O38" s="229"/>
      <c r="P38" s="230"/>
      <c r="Q38" s="231"/>
      <c r="R38" s="231"/>
      <c r="S38" s="231"/>
    </row>
    <row r="39" spans="2:19" ht="14.25" customHeight="1" x14ac:dyDescent="0.25">
      <c r="B39" s="82"/>
      <c r="C39" s="242"/>
      <c r="D39" s="83"/>
      <c r="E39" s="83"/>
      <c r="F39" s="83"/>
      <c r="G39" s="83"/>
      <c r="H39" s="227"/>
      <c r="I39" s="225"/>
      <c r="J39" s="225"/>
      <c r="K39" s="226"/>
      <c r="L39" s="227"/>
      <c r="M39" s="227"/>
      <c r="N39" s="228"/>
      <c r="O39" s="229"/>
      <c r="P39" s="230"/>
      <c r="Q39" s="231"/>
      <c r="R39" s="231"/>
      <c r="S39" s="231"/>
    </row>
    <row r="40" spans="2:19" ht="14.25" customHeight="1" x14ac:dyDescent="0.25">
      <c r="B40" s="82"/>
      <c r="C40" s="242"/>
      <c r="D40" s="83"/>
      <c r="E40" s="83"/>
      <c r="F40" s="83"/>
      <c r="G40" s="83"/>
      <c r="H40" s="227"/>
      <c r="I40" s="225"/>
      <c r="J40" s="225"/>
      <c r="K40" s="226"/>
      <c r="L40" s="227"/>
      <c r="M40" s="227"/>
      <c r="N40" s="228"/>
      <c r="O40" s="229"/>
      <c r="P40" s="230"/>
      <c r="Q40" s="231"/>
      <c r="R40" s="231"/>
      <c r="S40" s="231"/>
    </row>
    <row r="41" spans="2:19" ht="14.25" customHeight="1" x14ac:dyDescent="0.25">
      <c r="B41" s="82"/>
      <c r="C41" s="242"/>
      <c r="D41" s="83"/>
      <c r="E41" s="83"/>
      <c r="F41" s="83"/>
      <c r="G41" s="83"/>
      <c r="H41" s="227"/>
      <c r="I41" s="225"/>
      <c r="J41" s="225"/>
      <c r="K41" s="226"/>
      <c r="L41" s="227"/>
      <c r="M41" s="227"/>
      <c r="N41" s="228"/>
      <c r="O41" s="229"/>
      <c r="P41" s="230"/>
      <c r="Q41" s="231"/>
      <c r="R41" s="231"/>
      <c r="S41" s="231"/>
    </row>
    <row r="42" spans="2:19" ht="14.25" customHeight="1" x14ac:dyDescent="0.25">
      <c r="B42" s="82"/>
      <c r="C42" s="242"/>
      <c r="D42" s="83"/>
      <c r="E42" s="83"/>
      <c r="F42" s="83"/>
      <c r="G42" s="83"/>
      <c r="H42" s="227"/>
      <c r="I42" s="225"/>
      <c r="J42" s="225"/>
      <c r="K42" s="226"/>
      <c r="L42" s="227"/>
      <c r="M42" s="227"/>
      <c r="N42" s="228"/>
      <c r="O42" s="229"/>
      <c r="P42" s="230"/>
      <c r="Q42" s="231"/>
      <c r="R42" s="231"/>
      <c r="S42" s="231"/>
    </row>
    <row r="43" spans="2:19" ht="14.25" customHeight="1" x14ac:dyDescent="0.25">
      <c r="B43" s="82"/>
      <c r="C43" s="242"/>
      <c r="D43" s="83"/>
      <c r="E43" s="83"/>
      <c r="F43" s="83"/>
      <c r="G43" s="83"/>
      <c r="H43" s="227"/>
      <c r="I43" s="225"/>
      <c r="J43" s="225"/>
      <c r="K43" s="226"/>
      <c r="L43" s="227"/>
      <c r="M43" s="227"/>
      <c r="N43" s="228"/>
      <c r="O43" s="229"/>
      <c r="P43" s="230"/>
      <c r="Q43" s="231"/>
      <c r="R43" s="231"/>
      <c r="S43" s="231"/>
    </row>
    <row r="44" spans="2:19" ht="14.25" customHeight="1" x14ac:dyDescent="0.25">
      <c r="B44" s="82"/>
      <c r="C44" s="242"/>
      <c r="D44" s="83"/>
      <c r="E44" s="83"/>
      <c r="F44" s="83"/>
      <c r="G44" s="83"/>
      <c r="H44" s="227"/>
      <c r="I44" s="225"/>
      <c r="J44" s="225"/>
      <c r="K44" s="226"/>
      <c r="L44" s="227"/>
      <c r="M44" s="227"/>
      <c r="N44" s="228"/>
      <c r="O44" s="229"/>
      <c r="P44" s="230"/>
      <c r="Q44" s="231"/>
      <c r="R44" s="231"/>
      <c r="S44" s="231"/>
    </row>
    <row r="45" spans="2:19" ht="14.25" customHeight="1" x14ac:dyDescent="0.25">
      <c r="B45" s="82"/>
      <c r="C45" s="242"/>
      <c r="D45" s="83"/>
      <c r="E45" s="83"/>
      <c r="F45" s="83"/>
      <c r="G45" s="83"/>
      <c r="H45" s="227"/>
      <c r="I45" s="225"/>
      <c r="J45" s="225"/>
      <c r="K45" s="226"/>
      <c r="L45" s="227"/>
      <c r="M45" s="227"/>
      <c r="N45" s="228"/>
      <c r="O45" s="229"/>
      <c r="P45" s="230"/>
      <c r="Q45" s="231"/>
      <c r="R45" s="231"/>
      <c r="S45" s="231"/>
    </row>
    <row r="46" spans="2:19" ht="14.25" customHeight="1" x14ac:dyDescent="0.25">
      <c r="B46" s="82"/>
      <c r="C46" s="242"/>
      <c r="D46" s="83"/>
      <c r="E46" s="83"/>
      <c r="F46" s="83"/>
      <c r="G46" s="83"/>
      <c r="H46" s="227"/>
      <c r="I46" s="225"/>
      <c r="J46" s="225"/>
      <c r="K46" s="226"/>
      <c r="L46" s="227"/>
      <c r="M46" s="227"/>
      <c r="N46" s="228"/>
      <c r="O46" s="229"/>
      <c r="P46" s="230"/>
      <c r="Q46" s="231"/>
      <c r="R46" s="231"/>
      <c r="S46" s="231"/>
    </row>
    <row r="47" spans="2:19" ht="14.25" customHeight="1" x14ac:dyDescent="0.25">
      <c r="B47" s="82"/>
      <c r="C47" s="242"/>
      <c r="D47" s="83"/>
      <c r="E47" s="83"/>
      <c r="F47" s="83"/>
      <c r="G47" s="83"/>
      <c r="H47" s="227"/>
      <c r="I47" s="225"/>
      <c r="J47" s="225"/>
      <c r="K47" s="226"/>
      <c r="L47" s="227"/>
      <c r="M47" s="227"/>
      <c r="N47" s="228"/>
      <c r="O47" s="229"/>
      <c r="P47" s="230"/>
      <c r="Q47" s="231"/>
      <c r="R47" s="231"/>
      <c r="S47" s="231"/>
    </row>
    <row r="48" spans="2:19" ht="14.25" customHeight="1" x14ac:dyDescent="0.25">
      <c r="B48" s="82"/>
      <c r="C48" s="242"/>
      <c r="D48" s="83"/>
      <c r="E48" s="83"/>
      <c r="F48" s="83"/>
      <c r="G48" s="83"/>
      <c r="H48" s="227"/>
      <c r="I48" s="225"/>
      <c r="J48" s="225"/>
      <c r="K48" s="226"/>
      <c r="L48" s="227"/>
      <c r="M48" s="227"/>
      <c r="N48" s="228"/>
      <c r="O48" s="229"/>
      <c r="P48" s="230"/>
      <c r="Q48" s="231"/>
      <c r="R48" s="231"/>
      <c r="S48" s="231"/>
    </row>
    <row r="49" spans="2:19" ht="14.25" customHeight="1" x14ac:dyDescent="0.25">
      <c r="B49" s="82"/>
      <c r="C49" s="242"/>
      <c r="D49" s="83"/>
      <c r="E49" s="83"/>
      <c r="F49" s="83"/>
      <c r="G49" s="83"/>
      <c r="H49" s="227"/>
      <c r="I49" s="225"/>
      <c r="J49" s="225"/>
      <c r="K49" s="226"/>
      <c r="L49" s="227"/>
      <c r="M49" s="227"/>
      <c r="N49" s="228"/>
      <c r="O49" s="229"/>
      <c r="P49" s="230"/>
      <c r="Q49" s="231"/>
      <c r="R49" s="231"/>
      <c r="S49" s="231"/>
    </row>
    <row r="50" spans="2:19" ht="14.25" customHeight="1" x14ac:dyDescent="0.25">
      <c r="B50" s="82"/>
      <c r="C50" s="242"/>
      <c r="D50" s="83"/>
      <c r="E50" s="83"/>
      <c r="F50" s="83"/>
      <c r="G50" s="83"/>
      <c r="H50" s="227"/>
      <c r="I50" s="225"/>
      <c r="J50" s="225"/>
      <c r="K50" s="226"/>
      <c r="L50" s="227"/>
      <c r="M50" s="227"/>
      <c r="N50" s="228"/>
      <c r="O50" s="229"/>
      <c r="P50" s="230"/>
      <c r="Q50" s="231"/>
      <c r="R50" s="231"/>
      <c r="S50" s="231"/>
    </row>
    <row r="51" spans="2:19" ht="14.25" customHeight="1" x14ac:dyDescent="0.25">
      <c r="B51" s="82"/>
      <c r="C51" s="242"/>
      <c r="D51" s="83"/>
      <c r="E51" s="83"/>
      <c r="F51" s="83"/>
      <c r="G51" s="83"/>
      <c r="H51" s="227"/>
      <c r="I51" s="225"/>
      <c r="J51" s="225"/>
      <c r="K51" s="226"/>
      <c r="L51" s="227"/>
      <c r="M51" s="227"/>
      <c r="N51" s="228"/>
      <c r="O51" s="229"/>
      <c r="P51" s="230"/>
      <c r="Q51" s="231"/>
      <c r="R51" s="231"/>
      <c r="S51" s="231"/>
    </row>
    <row r="52" spans="2:19" ht="14.25" customHeight="1" x14ac:dyDescent="0.25">
      <c r="B52" s="82"/>
      <c r="C52" s="242"/>
      <c r="D52" s="83"/>
      <c r="E52" s="83"/>
      <c r="F52" s="83"/>
      <c r="G52" s="83"/>
      <c r="H52" s="227"/>
      <c r="I52" s="225"/>
      <c r="J52" s="225"/>
      <c r="K52" s="226"/>
      <c r="L52" s="227"/>
      <c r="M52" s="227"/>
      <c r="N52" s="228"/>
      <c r="O52" s="229"/>
      <c r="P52" s="230"/>
      <c r="Q52" s="231"/>
      <c r="R52" s="231"/>
      <c r="S52" s="231"/>
    </row>
    <row r="53" spans="2:19" ht="14.25" customHeight="1" x14ac:dyDescent="0.25">
      <c r="B53" s="82"/>
      <c r="C53" s="242"/>
      <c r="D53" s="83"/>
      <c r="E53" s="83"/>
      <c r="F53" s="83"/>
      <c r="G53" s="83"/>
      <c r="H53" s="227"/>
      <c r="I53" s="225"/>
      <c r="J53" s="225"/>
      <c r="K53" s="226"/>
      <c r="L53" s="227"/>
      <c r="M53" s="227"/>
      <c r="N53" s="228"/>
      <c r="O53" s="229"/>
      <c r="P53" s="230"/>
      <c r="Q53" s="231"/>
      <c r="R53" s="231"/>
      <c r="S53" s="231"/>
    </row>
    <row r="54" spans="2:19" ht="14.25" customHeight="1" x14ac:dyDescent="0.25">
      <c r="B54" s="82"/>
      <c r="C54" s="242"/>
      <c r="D54" s="83"/>
      <c r="E54" s="83"/>
      <c r="F54" s="83"/>
      <c r="G54" s="83"/>
      <c r="H54" s="227"/>
      <c r="I54" s="225"/>
      <c r="J54" s="225"/>
      <c r="K54" s="226"/>
      <c r="L54" s="227"/>
      <c r="M54" s="227"/>
      <c r="N54" s="228"/>
      <c r="O54" s="229"/>
      <c r="P54" s="230"/>
      <c r="Q54" s="231"/>
      <c r="R54" s="231"/>
      <c r="S54" s="231"/>
    </row>
    <row r="55" spans="2:19" ht="14.25" customHeight="1" x14ac:dyDescent="0.25">
      <c r="B55" s="82"/>
      <c r="C55" s="242"/>
      <c r="D55" s="83"/>
      <c r="E55" s="83"/>
      <c r="F55" s="83"/>
      <c r="G55" s="83"/>
      <c r="H55" s="227"/>
      <c r="I55" s="225"/>
      <c r="J55" s="225"/>
      <c r="K55" s="226"/>
      <c r="L55" s="227"/>
      <c r="M55" s="227"/>
      <c r="N55" s="228"/>
      <c r="O55" s="229"/>
      <c r="P55" s="230"/>
      <c r="Q55" s="231"/>
      <c r="R55" s="231"/>
      <c r="S55" s="231"/>
    </row>
    <row r="56" spans="2:19" ht="14.25" customHeight="1" x14ac:dyDescent="0.25">
      <c r="B56" s="82"/>
      <c r="C56" s="242"/>
      <c r="D56" s="83"/>
      <c r="E56" s="83"/>
      <c r="F56" s="83"/>
      <c r="G56" s="83"/>
      <c r="H56" s="227"/>
      <c r="I56" s="225"/>
      <c r="J56" s="225"/>
      <c r="K56" s="226"/>
      <c r="L56" s="227"/>
      <c r="M56" s="227"/>
      <c r="N56" s="228"/>
      <c r="O56" s="229"/>
      <c r="P56" s="230"/>
      <c r="Q56" s="231"/>
      <c r="R56" s="231"/>
      <c r="S56" s="231"/>
    </row>
    <row r="57" spans="2:19" ht="14.25" customHeight="1" x14ac:dyDescent="0.25">
      <c r="B57" s="82"/>
      <c r="C57" s="242"/>
      <c r="D57" s="83"/>
      <c r="E57" s="83"/>
      <c r="F57" s="83"/>
      <c r="G57" s="83"/>
      <c r="H57" s="227"/>
      <c r="I57" s="225"/>
      <c r="J57" s="225"/>
      <c r="K57" s="226"/>
      <c r="L57" s="227"/>
      <c r="M57" s="227"/>
      <c r="N57" s="228"/>
      <c r="O57" s="229"/>
      <c r="P57" s="230"/>
      <c r="Q57" s="231"/>
      <c r="R57" s="231"/>
      <c r="S57" s="231"/>
    </row>
    <row r="58" spans="2:19" ht="14.25" customHeight="1" x14ac:dyDescent="0.25">
      <c r="B58" s="82"/>
      <c r="C58" s="242"/>
      <c r="D58" s="83"/>
      <c r="E58" s="83"/>
      <c r="F58" s="83"/>
      <c r="G58" s="83"/>
      <c r="H58" s="227"/>
      <c r="I58" s="225"/>
      <c r="J58" s="225"/>
      <c r="K58" s="226"/>
      <c r="L58" s="227"/>
      <c r="M58" s="227"/>
      <c r="N58" s="228"/>
      <c r="O58" s="229"/>
      <c r="P58" s="230"/>
      <c r="Q58" s="231"/>
      <c r="R58" s="231"/>
      <c r="S58" s="231"/>
    </row>
    <row r="59" spans="2:19" ht="14.25" customHeight="1" x14ac:dyDescent="0.25">
      <c r="B59" s="82"/>
      <c r="C59" s="242"/>
      <c r="D59" s="83"/>
      <c r="E59" s="83"/>
      <c r="F59" s="83"/>
      <c r="G59" s="83"/>
      <c r="H59" s="227"/>
      <c r="I59" s="225"/>
      <c r="J59" s="225"/>
      <c r="K59" s="226"/>
      <c r="L59" s="227"/>
      <c r="M59" s="227"/>
      <c r="N59" s="228"/>
      <c r="O59" s="229"/>
      <c r="P59" s="230"/>
      <c r="Q59" s="231"/>
      <c r="R59" s="231"/>
      <c r="S59" s="231"/>
    </row>
    <row r="60" spans="2:19" ht="14.25" customHeight="1" x14ac:dyDescent="0.25">
      <c r="B60" s="82"/>
      <c r="C60" s="242"/>
      <c r="D60" s="83"/>
      <c r="E60" s="83"/>
      <c r="F60" s="83"/>
      <c r="G60" s="83"/>
      <c r="H60" s="227"/>
      <c r="I60" s="225"/>
      <c r="J60" s="225"/>
      <c r="K60" s="226"/>
      <c r="L60" s="227"/>
      <c r="M60" s="227"/>
      <c r="N60" s="228"/>
      <c r="O60" s="229"/>
      <c r="P60" s="230"/>
      <c r="Q60" s="231"/>
      <c r="R60" s="231"/>
      <c r="S60" s="231"/>
    </row>
    <row r="61" spans="2:19" ht="14.25" customHeight="1" x14ac:dyDescent="0.25">
      <c r="B61" s="82"/>
      <c r="C61" s="242"/>
      <c r="D61" s="83"/>
      <c r="E61" s="83"/>
      <c r="F61" s="83"/>
      <c r="G61" s="83"/>
      <c r="H61" s="227"/>
      <c r="I61" s="225"/>
      <c r="J61" s="225"/>
      <c r="K61" s="226"/>
      <c r="L61" s="227"/>
      <c r="M61" s="227"/>
      <c r="N61" s="228"/>
      <c r="O61" s="229"/>
      <c r="P61" s="230"/>
      <c r="Q61" s="231"/>
      <c r="R61" s="231"/>
      <c r="S61" s="231"/>
    </row>
    <row r="62" spans="2:19" ht="14.25" customHeight="1" x14ac:dyDescent="0.25">
      <c r="B62" s="82"/>
      <c r="C62" s="242"/>
      <c r="D62" s="83"/>
      <c r="E62" s="83"/>
      <c r="F62" s="83"/>
      <c r="G62" s="83"/>
      <c r="H62" s="227"/>
      <c r="I62" s="225"/>
      <c r="J62" s="225"/>
      <c r="K62" s="226"/>
      <c r="L62" s="227"/>
      <c r="M62" s="227"/>
      <c r="N62" s="228"/>
      <c r="O62" s="229"/>
      <c r="P62" s="230"/>
      <c r="Q62" s="231"/>
      <c r="R62" s="231"/>
      <c r="S62" s="231"/>
    </row>
    <row r="63" spans="2:19" ht="14.25" customHeight="1" x14ac:dyDescent="0.25">
      <c r="B63" s="82"/>
      <c r="C63" s="242"/>
      <c r="D63" s="83"/>
      <c r="E63" s="83"/>
      <c r="F63" s="83"/>
      <c r="G63" s="83"/>
      <c r="H63" s="227"/>
      <c r="I63" s="225"/>
      <c r="J63" s="225"/>
      <c r="K63" s="226"/>
      <c r="L63" s="227"/>
      <c r="M63" s="227"/>
      <c r="N63" s="228"/>
      <c r="O63" s="229"/>
      <c r="P63" s="230"/>
      <c r="Q63" s="231"/>
      <c r="R63" s="231"/>
      <c r="S63" s="231"/>
    </row>
    <row r="64" spans="2:19" ht="14.25" customHeight="1" x14ac:dyDescent="0.25">
      <c r="B64" s="82"/>
      <c r="C64" s="242"/>
      <c r="D64" s="83"/>
      <c r="E64" s="83"/>
      <c r="F64" s="83"/>
      <c r="G64" s="83"/>
      <c r="H64" s="227"/>
      <c r="I64" s="225"/>
      <c r="J64" s="225"/>
      <c r="K64" s="226"/>
      <c r="L64" s="227"/>
      <c r="M64" s="227"/>
      <c r="N64" s="228"/>
      <c r="O64" s="229"/>
      <c r="P64" s="230"/>
      <c r="Q64" s="231"/>
      <c r="R64" s="231"/>
      <c r="S64" s="231"/>
    </row>
    <row r="65" spans="2:19" ht="14.25" customHeight="1" x14ac:dyDescent="0.25">
      <c r="B65" s="82"/>
      <c r="C65" s="242"/>
      <c r="D65" s="83"/>
      <c r="E65" s="83"/>
      <c r="F65" s="83"/>
      <c r="G65" s="83"/>
      <c r="H65" s="227"/>
      <c r="I65" s="225"/>
      <c r="J65" s="225"/>
      <c r="K65" s="226"/>
      <c r="L65" s="227"/>
      <c r="M65" s="227"/>
      <c r="N65" s="228"/>
      <c r="O65" s="229"/>
      <c r="P65" s="230"/>
      <c r="Q65" s="231"/>
      <c r="R65" s="231"/>
      <c r="S65" s="231"/>
    </row>
    <row r="66" spans="2:19" ht="14.25" customHeight="1" x14ac:dyDescent="0.25">
      <c r="B66" s="82"/>
      <c r="C66" s="242"/>
      <c r="D66" s="83"/>
      <c r="E66" s="83"/>
      <c r="F66" s="83"/>
      <c r="G66" s="83"/>
      <c r="H66" s="227"/>
      <c r="I66" s="225"/>
      <c r="J66" s="225"/>
      <c r="K66" s="226"/>
      <c r="L66" s="227"/>
      <c r="M66" s="227"/>
      <c r="N66" s="228"/>
      <c r="O66" s="229"/>
      <c r="P66" s="230"/>
      <c r="Q66" s="231"/>
      <c r="R66" s="231"/>
      <c r="S66" s="231"/>
    </row>
    <row r="67" spans="2:19" ht="14.25" customHeight="1" x14ac:dyDescent="0.25">
      <c r="B67" s="82"/>
      <c r="C67" s="242"/>
      <c r="D67" s="83"/>
      <c r="E67" s="83"/>
      <c r="F67" s="83"/>
      <c r="G67" s="83"/>
      <c r="H67" s="227"/>
      <c r="I67" s="225"/>
      <c r="J67" s="225"/>
      <c r="K67" s="226"/>
      <c r="L67" s="227"/>
      <c r="M67" s="227"/>
      <c r="N67" s="228"/>
      <c r="O67" s="229"/>
      <c r="P67" s="230"/>
      <c r="Q67" s="231"/>
      <c r="R67" s="231"/>
      <c r="S67" s="231"/>
    </row>
    <row r="68" spans="2:19" ht="14.25" customHeight="1" x14ac:dyDescent="0.25">
      <c r="B68" s="82"/>
      <c r="C68" s="242"/>
      <c r="D68" s="83"/>
      <c r="E68" s="83"/>
      <c r="F68" s="83"/>
      <c r="G68" s="83"/>
      <c r="H68" s="227"/>
      <c r="I68" s="225"/>
      <c r="J68" s="225"/>
      <c r="K68" s="226"/>
      <c r="L68" s="227"/>
      <c r="M68" s="227"/>
      <c r="N68" s="228"/>
      <c r="O68" s="229"/>
      <c r="P68" s="230"/>
      <c r="Q68" s="231"/>
      <c r="R68" s="231"/>
      <c r="S68" s="231"/>
    </row>
    <row r="69" spans="2:19" ht="14.25" customHeight="1" x14ac:dyDescent="0.25">
      <c r="B69" s="82"/>
      <c r="C69" s="242"/>
      <c r="D69" s="83"/>
      <c r="E69" s="83"/>
      <c r="F69" s="83"/>
      <c r="G69" s="83"/>
      <c r="H69" s="227"/>
      <c r="I69" s="225"/>
      <c r="J69" s="225"/>
      <c r="K69" s="226"/>
      <c r="L69" s="227"/>
      <c r="M69" s="227"/>
      <c r="N69" s="228"/>
      <c r="O69" s="229"/>
      <c r="P69" s="230"/>
      <c r="Q69" s="231"/>
      <c r="R69" s="231"/>
      <c r="S69" s="231"/>
    </row>
    <row r="70" spans="2:19" ht="14.25" customHeight="1" x14ac:dyDescent="0.25">
      <c r="B70" s="82"/>
      <c r="C70" s="242"/>
      <c r="D70" s="83"/>
      <c r="E70" s="83"/>
      <c r="F70" s="83"/>
      <c r="G70" s="83"/>
      <c r="H70" s="227"/>
      <c r="I70" s="225"/>
      <c r="J70" s="225"/>
      <c r="K70" s="226"/>
      <c r="L70" s="227"/>
      <c r="M70" s="227"/>
      <c r="N70" s="228"/>
      <c r="O70" s="229"/>
      <c r="P70" s="230"/>
      <c r="Q70" s="231"/>
      <c r="R70" s="231"/>
      <c r="S70" s="231"/>
    </row>
    <row r="71" spans="2:19" ht="14.25" customHeight="1" x14ac:dyDescent="0.25">
      <c r="B71" s="82"/>
      <c r="C71" s="242"/>
      <c r="D71" s="83"/>
      <c r="E71" s="83"/>
      <c r="F71" s="83"/>
      <c r="G71" s="83"/>
      <c r="H71" s="227"/>
      <c r="I71" s="225"/>
      <c r="J71" s="225"/>
      <c r="K71" s="226"/>
      <c r="L71" s="227"/>
      <c r="M71" s="227"/>
      <c r="N71" s="228"/>
      <c r="O71" s="229"/>
      <c r="P71" s="230"/>
      <c r="Q71" s="231"/>
      <c r="R71" s="231"/>
      <c r="S71" s="231"/>
    </row>
    <row r="72" spans="2:19" ht="14.25" customHeight="1" x14ac:dyDescent="0.25">
      <c r="B72" s="82"/>
      <c r="C72" s="242"/>
      <c r="D72" s="83"/>
      <c r="E72" s="83"/>
      <c r="F72" s="83"/>
      <c r="G72" s="83"/>
      <c r="H72" s="227"/>
      <c r="I72" s="225"/>
      <c r="J72" s="225"/>
      <c r="K72" s="226"/>
      <c r="L72" s="227"/>
      <c r="M72" s="227"/>
      <c r="N72" s="228"/>
      <c r="O72" s="229"/>
      <c r="P72" s="230"/>
      <c r="Q72" s="231"/>
      <c r="R72" s="231"/>
      <c r="S72" s="231"/>
    </row>
    <row r="73" spans="2:19" ht="14.25" customHeight="1" x14ac:dyDescent="0.25">
      <c r="B73" s="82"/>
      <c r="C73" s="242"/>
      <c r="D73" s="83"/>
      <c r="E73" s="83"/>
      <c r="F73" s="83"/>
      <c r="G73" s="83"/>
      <c r="H73" s="227"/>
      <c r="I73" s="225"/>
      <c r="J73" s="225"/>
      <c r="K73" s="226"/>
      <c r="L73" s="227"/>
      <c r="M73" s="227"/>
      <c r="N73" s="228"/>
      <c r="O73" s="229"/>
      <c r="P73" s="230"/>
      <c r="Q73" s="231"/>
      <c r="R73" s="231"/>
      <c r="S73" s="231"/>
    </row>
    <row r="74" spans="2:19" ht="14.25" customHeight="1" x14ac:dyDescent="0.25">
      <c r="B74" s="82"/>
      <c r="C74" s="242"/>
      <c r="D74" s="83"/>
      <c r="E74" s="83"/>
      <c r="F74" s="83"/>
      <c r="G74" s="83"/>
      <c r="H74" s="227"/>
      <c r="I74" s="225"/>
      <c r="J74" s="225"/>
      <c r="K74" s="226"/>
      <c r="L74" s="227"/>
      <c r="M74" s="227"/>
      <c r="N74" s="228"/>
      <c r="O74" s="229"/>
      <c r="P74" s="230"/>
      <c r="Q74" s="231"/>
      <c r="R74" s="231"/>
      <c r="S74" s="231"/>
    </row>
    <row r="75" spans="2:19" ht="14.25" customHeight="1" x14ac:dyDescent="0.25">
      <c r="B75" s="82"/>
      <c r="C75" s="242"/>
      <c r="D75" s="83"/>
      <c r="E75" s="83"/>
      <c r="F75" s="83"/>
      <c r="G75" s="83"/>
      <c r="H75" s="227"/>
      <c r="I75" s="225"/>
      <c r="J75" s="225"/>
      <c r="K75" s="226"/>
      <c r="L75" s="227"/>
      <c r="M75" s="227"/>
      <c r="N75" s="228"/>
      <c r="O75" s="229"/>
      <c r="P75" s="230"/>
      <c r="Q75" s="231"/>
      <c r="R75" s="231"/>
      <c r="S75" s="231"/>
    </row>
    <row r="76" spans="2:19" ht="14.25" customHeight="1" x14ac:dyDescent="0.25">
      <c r="B76" s="82"/>
      <c r="C76" s="242"/>
      <c r="D76" s="83"/>
      <c r="E76" s="83"/>
      <c r="F76" s="83"/>
      <c r="G76" s="83"/>
      <c r="H76" s="227"/>
      <c r="I76" s="225"/>
      <c r="J76" s="225"/>
      <c r="K76" s="226"/>
      <c r="L76" s="227"/>
      <c r="M76" s="227"/>
      <c r="N76" s="228"/>
      <c r="O76" s="229"/>
      <c r="P76" s="230"/>
      <c r="Q76" s="231"/>
      <c r="R76" s="231"/>
      <c r="S76" s="231"/>
    </row>
    <row r="77" spans="2:19" ht="14.25" customHeight="1" x14ac:dyDescent="0.25">
      <c r="B77" s="82"/>
      <c r="C77" s="242"/>
      <c r="D77" s="83"/>
      <c r="E77" s="83"/>
      <c r="F77" s="83"/>
      <c r="G77" s="83"/>
      <c r="H77" s="227"/>
      <c r="I77" s="225"/>
      <c r="J77" s="225"/>
      <c r="K77" s="226"/>
      <c r="L77" s="227"/>
      <c r="M77" s="227"/>
      <c r="N77" s="228"/>
      <c r="O77" s="229"/>
      <c r="P77" s="230"/>
      <c r="Q77" s="231"/>
      <c r="R77" s="231"/>
      <c r="S77" s="231"/>
    </row>
    <row r="78" spans="2:19" ht="14.25" customHeight="1" x14ac:dyDescent="0.25">
      <c r="B78" s="82"/>
      <c r="C78" s="242"/>
      <c r="D78" s="83"/>
      <c r="E78" s="83"/>
      <c r="F78" s="83"/>
      <c r="G78" s="83"/>
      <c r="H78" s="227"/>
      <c r="I78" s="225"/>
      <c r="J78" s="225"/>
      <c r="K78" s="226"/>
      <c r="L78" s="227"/>
      <c r="M78" s="227"/>
      <c r="N78" s="228"/>
      <c r="O78" s="229"/>
      <c r="P78" s="230"/>
      <c r="Q78" s="231"/>
      <c r="R78" s="231"/>
      <c r="S78" s="231"/>
    </row>
    <row r="79" spans="2:19" ht="14.25" customHeight="1" x14ac:dyDescent="0.25">
      <c r="B79" s="82"/>
      <c r="C79" s="242"/>
      <c r="D79" s="83"/>
      <c r="E79" s="83"/>
      <c r="F79" s="83"/>
      <c r="G79" s="83"/>
      <c r="H79" s="227"/>
      <c r="I79" s="225"/>
      <c r="J79" s="225"/>
      <c r="K79" s="226"/>
      <c r="L79" s="227"/>
      <c r="M79" s="227"/>
      <c r="N79" s="228"/>
      <c r="O79" s="229"/>
      <c r="P79" s="230"/>
      <c r="Q79" s="231"/>
      <c r="R79" s="231"/>
      <c r="S79" s="231"/>
    </row>
    <row r="80" spans="2:19" ht="14.25" customHeight="1" x14ac:dyDescent="0.25">
      <c r="B80" s="82"/>
      <c r="C80" s="242"/>
      <c r="D80" s="83"/>
      <c r="E80" s="83"/>
      <c r="F80" s="83"/>
      <c r="G80" s="83"/>
      <c r="H80" s="227"/>
      <c r="I80" s="225"/>
      <c r="J80" s="225"/>
      <c r="K80" s="226"/>
      <c r="L80" s="227"/>
      <c r="M80" s="227"/>
      <c r="N80" s="228"/>
      <c r="O80" s="229"/>
      <c r="P80" s="230"/>
      <c r="Q80" s="231"/>
      <c r="R80" s="231"/>
      <c r="S80" s="231"/>
    </row>
    <row r="81" spans="2:19" ht="14.25" customHeight="1" x14ac:dyDescent="0.25">
      <c r="B81" s="82"/>
      <c r="C81" s="242"/>
      <c r="D81" s="83"/>
      <c r="E81" s="83"/>
      <c r="F81" s="83"/>
      <c r="G81" s="83"/>
      <c r="H81" s="227"/>
      <c r="I81" s="225"/>
      <c r="J81" s="225"/>
      <c r="K81" s="226"/>
      <c r="L81" s="227"/>
      <c r="M81" s="227"/>
      <c r="N81" s="228"/>
      <c r="O81" s="229"/>
      <c r="P81" s="230"/>
      <c r="Q81" s="231"/>
      <c r="R81" s="231"/>
      <c r="S81" s="231"/>
    </row>
    <row r="82" spans="2:19" ht="14.25" customHeight="1" x14ac:dyDescent="0.25">
      <c r="B82" s="82"/>
      <c r="C82" s="242"/>
      <c r="D82" s="83"/>
      <c r="E82" s="83"/>
      <c r="F82" s="83"/>
      <c r="G82" s="83"/>
      <c r="H82" s="227"/>
      <c r="I82" s="225"/>
      <c r="J82" s="225"/>
      <c r="K82" s="226"/>
      <c r="L82" s="227"/>
      <c r="M82" s="227"/>
      <c r="N82" s="228"/>
      <c r="O82" s="229"/>
      <c r="P82" s="230"/>
      <c r="Q82" s="231"/>
      <c r="R82" s="231"/>
      <c r="S82" s="231"/>
    </row>
    <row r="83" spans="2:19" ht="14.25" customHeight="1" x14ac:dyDescent="0.25">
      <c r="B83" s="82"/>
      <c r="C83" s="242"/>
      <c r="D83" s="83"/>
      <c r="E83" s="83"/>
      <c r="F83" s="83"/>
      <c r="G83" s="83"/>
      <c r="H83" s="227"/>
      <c r="I83" s="225"/>
      <c r="J83" s="225"/>
      <c r="K83" s="226"/>
      <c r="L83" s="227"/>
      <c r="M83" s="227"/>
      <c r="N83" s="228"/>
      <c r="O83" s="229"/>
      <c r="P83" s="230"/>
      <c r="Q83" s="231"/>
      <c r="R83" s="231"/>
      <c r="S83" s="231"/>
    </row>
    <row r="84" spans="2:19" ht="14.25" customHeight="1" x14ac:dyDescent="0.25">
      <c r="B84" s="82"/>
      <c r="C84" s="242"/>
      <c r="D84" s="83"/>
      <c r="E84" s="83"/>
      <c r="F84" s="83"/>
      <c r="G84" s="83"/>
      <c r="H84" s="227"/>
      <c r="I84" s="225"/>
      <c r="J84" s="225"/>
      <c r="K84" s="226"/>
      <c r="L84" s="227"/>
      <c r="M84" s="227"/>
      <c r="N84" s="228"/>
      <c r="O84" s="229"/>
      <c r="P84" s="230"/>
      <c r="Q84" s="231"/>
      <c r="R84" s="231"/>
      <c r="S84" s="231"/>
    </row>
    <row r="85" spans="2:19" ht="14.25" customHeight="1" x14ac:dyDescent="0.25">
      <c r="B85" s="82"/>
      <c r="C85" s="242"/>
      <c r="D85" s="83"/>
      <c r="E85" s="83"/>
      <c r="F85" s="83"/>
      <c r="G85" s="83"/>
      <c r="H85" s="227"/>
      <c r="I85" s="225"/>
      <c r="J85" s="225"/>
      <c r="K85" s="226"/>
      <c r="L85" s="227"/>
      <c r="M85" s="227"/>
      <c r="N85" s="228"/>
      <c r="O85" s="229"/>
      <c r="P85" s="230"/>
      <c r="Q85" s="231"/>
      <c r="R85" s="231"/>
      <c r="S85" s="231"/>
    </row>
    <row r="86" spans="2:19" ht="14.25" customHeight="1" x14ac:dyDescent="0.25">
      <c r="B86" s="82"/>
      <c r="C86" s="242"/>
      <c r="D86" s="83"/>
      <c r="E86" s="83"/>
      <c r="F86" s="83"/>
      <c r="G86" s="83"/>
      <c r="H86" s="227"/>
      <c r="I86" s="225"/>
      <c r="J86" s="225"/>
      <c r="K86" s="226"/>
      <c r="L86" s="227"/>
      <c r="M86" s="227"/>
      <c r="N86" s="228"/>
      <c r="O86" s="229"/>
      <c r="P86" s="230"/>
      <c r="Q86" s="231"/>
      <c r="R86" s="231"/>
      <c r="S86" s="231"/>
    </row>
    <row r="87" spans="2:19" ht="14.25" customHeight="1" x14ac:dyDescent="0.25">
      <c r="B87" s="82"/>
      <c r="C87" s="242"/>
      <c r="D87" s="83"/>
      <c r="E87" s="83"/>
      <c r="F87" s="83"/>
      <c r="G87" s="83"/>
      <c r="H87" s="227"/>
      <c r="I87" s="225"/>
      <c r="J87" s="225"/>
      <c r="K87" s="226"/>
      <c r="L87" s="227"/>
      <c r="M87" s="227"/>
      <c r="N87" s="228"/>
      <c r="O87" s="229"/>
      <c r="P87" s="230"/>
      <c r="Q87" s="231"/>
      <c r="R87" s="231"/>
      <c r="S87" s="231"/>
    </row>
    <row r="88" spans="2:19" ht="14.25" customHeight="1" x14ac:dyDescent="0.25">
      <c r="B88" s="82"/>
      <c r="C88" s="242"/>
      <c r="D88" s="83"/>
      <c r="E88" s="83"/>
      <c r="F88" s="83"/>
      <c r="G88" s="83"/>
      <c r="H88" s="227"/>
      <c r="I88" s="225"/>
      <c r="J88" s="225"/>
      <c r="K88" s="226"/>
      <c r="L88" s="227"/>
      <c r="M88" s="227"/>
      <c r="N88" s="228"/>
      <c r="O88" s="229"/>
      <c r="P88" s="230"/>
      <c r="Q88" s="231"/>
      <c r="R88" s="231"/>
      <c r="S88" s="231"/>
    </row>
    <row r="89" spans="2:19" ht="14.25" customHeight="1" x14ac:dyDescent="0.25">
      <c r="B89" s="82"/>
      <c r="C89" s="242"/>
      <c r="D89" s="83"/>
      <c r="E89" s="83"/>
      <c r="F89" s="83"/>
      <c r="G89" s="83"/>
      <c r="H89" s="227"/>
      <c r="I89" s="225"/>
      <c r="J89" s="225"/>
      <c r="K89" s="226"/>
      <c r="L89" s="227"/>
      <c r="M89" s="227"/>
      <c r="N89" s="228"/>
      <c r="O89" s="229"/>
      <c r="P89" s="230"/>
      <c r="Q89" s="231"/>
      <c r="R89" s="231"/>
      <c r="S89" s="231"/>
    </row>
    <row r="90" spans="2:19" ht="14.25" customHeight="1" x14ac:dyDescent="0.25">
      <c r="B90" s="82"/>
      <c r="C90" s="242"/>
      <c r="D90" s="83"/>
      <c r="E90" s="83"/>
      <c r="F90" s="83"/>
      <c r="G90" s="83"/>
      <c r="H90" s="227"/>
      <c r="I90" s="225"/>
      <c r="J90" s="225"/>
      <c r="K90" s="226"/>
      <c r="L90" s="227"/>
      <c r="M90" s="227"/>
      <c r="N90" s="228"/>
      <c r="O90" s="229"/>
      <c r="P90" s="230"/>
      <c r="Q90" s="231"/>
      <c r="R90" s="231"/>
      <c r="S90" s="231"/>
    </row>
    <row r="91" spans="2:19" ht="14.25" customHeight="1" x14ac:dyDescent="0.25">
      <c r="B91" s="82"/>
      <c r="C91" s="242"/>
      <c r="D91" s="83"/>
      <c r="E91" s="83"/>
      <c r="F91" s="83"/>
      <c r="G91" s="83"/>
      <c r="H91" s="227"/>
      <c r="I91" s="225"/>
      <c r="J91" s="225"/>
      <c r="K91" s="226"/>
      <c r="L91" s="227"/>
      <c r="M91" s="227"/>
      <c r="N91" s="228"/>
      <c r="O91" s="229"/>
      <c r="P91" s="230"/>
      <c r="Q91" s="231"/>
      <c r="R91" s="231"/>
      <c r="S91" s="231"/>
    </row>
    <row r="92" spans="2:19" ht="14.25" customHeight="1" x14ac:dyDescent="0.25">
      <c r="B92" s="82"/>
      <c r="C92" s="242"/>
      <c r="D92" s="83"/>
      <c r="E92" s="83"/>
      <c r="F92" s="83"/>
      <c r="G92" s="83"/>
      <c r="H92" s="227"/>
      <c r="I92" s="225"/>
      <c r="J92" s="225"/>
      <c r="K92" s="226"/>
      <c r="L92" s="227"/>
      <c r="M92" s="227"/>
      <c r="N92" s="228"/>
      <c r="O92" s="229"/>
      <c r="P92" s="230"/>
      <c r="Q92" s="231"/>
      <c r="R92" s="231"/>
      <c r="S92" s="231"/>
    </row>
    <row r="93" spans="2:19" ht="14.25" customHeight="1" x14ac:dyDescent="0.25">
      <c r="B93" s="82"/>
      <c r="C93" s="242"/>
      <c r="D93" s="83"/>
      <c r="E93" s="83"/>
      <c r="F93" s="83"/>
      <c r="G93" s="83"/>
      <c r="H93" s="227"/>
      <c r="I93" s="225"/>
      <c r="J93" s="225"/>
      <c r="K93" s="226"/>
      <c r="L93" s="227"/>
      <c r="M93" s="227"/>
      <c r="N93" s="228"/>
      <c r="O93" s="229"/>
      <c r="P93" s="230"/>
      <c r="Q93" s="231"/>
      <c r="R93" s="231"/>
      <c r="S93" s="231"/>
    </row>
    <row r="94" spans="2:19" ht="14.25" customHeight="1" x14ac:dyDescent="0.25">
      <c r="B94" s="82"/>
      <c r="C94" s="242"/>
      <c r="D94" s="83"/>
      <c r="E94" s="83"/>
      <c r="F94" s="83"/>
      <c r="G94" s="83"/>
      <c r="H94" s="227"/>
      <c r="I94" s="225"/>
      <c r="J94" s="225"/>
      <c r="K94" s="226"/>
      <c r="L94" s="227"/>
      <c r="M94" s="227"/>
      <c r="N94" s="228"/>
      <c r="O94" s="229"/>
      <c r="P94" s="230"/>
      <c r="Q94" s="231"/>
      <c r="R94" s="231"/>
      <c r="S94" s="231"/>
    </row>
    <row r="95" spans="2:19" ht="14.25" customHeight="1" x14ac:dyDescent="0.25">
      <c r="B95" s="82"/>
      <c r="C95" s="242"/>
      <c r="D95" s="83"/>
      <c r="E95" s="83"/>
      <c r="F95" s="83"/>
      <c r="G95" s="83"/>
      <c r="H95" s="227"/>
      <c r="I95" s="225"/>
      <c r="J95" s="225"/>
      <c r="K95" s="226"/>
      <c r="L95" s="227"/>
      <c r="M95" s="227"/>
      <c r="N95" s="228"/>
      <c r="O95" s="229"/>
      <c r="P95" s="230"/>
      <c r="Q95" s="231"/>
      <c r="R95" s="231"/>
      <c r="S95" s="231"/>
    </row>
    <row r="96" spans="2:19" ht="14.25" customHeight="1" x14ac:dyDescent="0.25">
      <c r="B96" s="82"/>
      <c r="C96" s="242"/>
      <c r="D96" s="83"/>
      <c r="E96" s="83"/>
      <c r="F96" s="83"/>
      <c r="G96" s="83"/>
      <c r="H96" s="227"/>
      <c r="I96" s="225"/>
      <c r="J96" s="225"/>
      <c r="K96" s="226"/>
      <c r="L96" s="227"/>
      <c r="M96" s="227"/>
      <c r="N96" s="228"/>
      <c r="O96" s="229"/>
      <c r="P96" s="230"/>
      <c r="Q96" s="231"/>
      <c r="R96" s="231"/>
      <c r="S96" s="231"/>
    </row>
    <row r="97" spans="2:19" ht="14.25" customHeight="1" x14ac:dyDescent="0.25">
      <c r="B97" s="82"/>
      <c r="C97" s="242"/>
      <c r="D97" s="83"/>
      <c r="E97" s="83"/>
      <c r="F97" s="83"/>
      <c r="G97" s="83"/>
      <c r="H97" s="227"/>
      <c r="I97" s="225"/>
      <c r="J97" s="225"/>
      <c r="K97" s="226"/>
      <c r="L97" s="227"/>
      <c r="M97" s="227"/>
      <c r="N97" s="228"/>
      <c r="O97" s="229"/>
      <c r="P97" s="230"/>
      <c r="Q97" s="231"/>
      <c r="R97" s="231"/>
      <c r="S97" s="231"/>
    </row>
    <row r="98" spans="2:19" ht="14.25" customHeight="1" x14ac:dyDescent="0.25">
      <c r="B98" s="82"/>
      <c r="C98" s="242"/>
      <c r="D98" s="83"/>
      <c r="E98" s="83"/>
      <c r="F98" s="83"/>
      <c r="G98" s="83"/>
      <c r="H98" s="227"/>
      <c r="I98" s="225"/>
      <c r="J98" s="225"/>
      <c r="K98" s="226"/>
      <c r="L98" s="227"/>
      <c r="M98" s="227"/>
      <c r="N98" s="228"/>
      <c r="O98" s="229"/>
      <c r="P98" s="230"/>
      <c r="Q98" s="231"/>
      <c r="R98" s="231"/>
      <c r="S98" s="231"/>
    </row>
    <row r="99" spans="2:19" ht="14.25" customHeight="1" x14ac:dyDescent="0.25">
      <c r="B99" s="82"/>
      <c r="C99" s="242"/>
      <c r="D99" s="83"/>
      <c r="E99" s="83"/>
      <c r="F99" s="83"/>
      <c r="G99" s="83"/>
      <c r="H99" s="227"/>
      <c r="I99" s="225"/>
      <c r="J99" s="225"/>
      <c r="K99" s="226"/>
      <c r="L99" s="227"/>
      <c r="M99" s="227"/>
      <c r="N99" s="228"/>
      <c r="O99" s="229"/>
      <c r="P99" s="230"/>
      <c r="Q99" s="231"/>
      <c r="R99" s="231"/>
      <c r="S99" s="231"/>
    </row>
    <row r="100" spans="2:19" ht="14.25" customHeight="1" x14ac:dyDescent="0.25">
      <c r="B100" s="82"/>
      <c r="C100" s="242"/>
      <c r="D100" s="83"/>
      <c r="E100" s="83"/>
      <c r="F100" s="83"/>
      <c r="G100" s="83"/>
      <c r="H100" s="227"/>
      <c r="I100" s="225"/>
      <c r="J100" s="225"/>
      <c r="K100" s="226"/>
      <c r="L100" s="227"/>
      <c r="M100" s="227"/>
      <c r="N100" s="228"/>
      <c r="O100" s="229"/>
      <c r="P100" s="230"/>
      <c r="Q100" s="231"/>
      <c r="R100" s="231"/>
      <c r="S100" s="231"/>
    </row>
    <row r="101" spans="2:19" ht="14.25" customHeight="1" x14ac:dyDescent="0.25">
      <c r="B101" s="82"/>
      <c r="C101" s="242"/>
      <c r="D101" s="83"/>
      <c r="E101" s="83"/>
      <c r="F101" s="83"/>
      <c r="G101" s="83"/>
      <c r="H101" s="227"/>
      <c r="I101" s="225"/>
      <c r="J101" s="225"/>
      <c r="K101" s="226"/>
      <c r="L101" s="227"/>
      <c r="M101" s="227"/>
      <c r="N101" s="228"/>
      <c r="O101" s="229"/>
      <c r="P101" s="230"/>
      <c r="Q101" s="231"/>
      <c r="R101" s="231"/>
      <c r="S101" s="231"/>
    </row>
    <row r="102" spans="2:19" ht="14.25" customHeight="1" x14ac:dyDescent="0.25">
      <c r="B102" s="82"/>
      <c r="C102" s="242"/>
      <c r="D102" s="83"/>
      <c r="E102" s="83"/>
      <c r="F102" s="83"/>
      <c r="G102" s="83"/>
      <c r="H102" s="227"/>
      <c r="I102" s="225"/>
      <c r="J102" s="225"/>
      <c r="K102" s="226"/>
      <c r="L102" s="227"/>
      <c r="M102" s="227"/>
      <c r="N102" s="228"/>
      <c r="O102" s="229"/>
      <c r="P102" s="230"/>
      <c r="Q102" s="231"/>
      <c r="R102" s="231"/>
      <c r="S102" s="231"/>
    </row>
    <row r="103" spans="2:19" ht="14.25" customHeight="1" x14ac:dyDescent="0.25">
      <c r="B103" s="82"/>
      <c r="C103" s="242"/>
      <c r="D103" s="83"/>
      <c r="E103" s="83"/>
      <c r="F103" s="83"/>
      <c r="G103" s="83"/>
      <c r="H103" s="227"/>
      <c r="I103" s="225"/>
      <c r="J103" s="225"/>
      <c r="K103" s="226"/>
      <c r="L103" s="227"/>
      <c r="M103" s="227"/>
      <c r="N103" s="228"/>
      <c r="O103" s="229"/>
      <c r="P103" s="230"/>
      <c r="Q103" s="231"/>
      <c r="R103" s="231"/>
      <c r="S103" s="231"/>
    </row>
    <row r="104" spans="2:19" ht="14.25" customHeight="1" x14ac:dyDescent="0.25">
      <c r="B104" s="82"/>
      <c r="C104" s="242"/>
      <c r="D104" s="83"/>
      <c r="E104" s="83"/>
      <c r="F104" s="83"/>
      <c r="G104" s="83"/>
      <c r="H104" s="227"/>
      <c r="I104" s="225"/>
      <c r="J104" s="225"/>
      <c r="K104" s="226"/>
      <c r="L104" s="227"/>
      <c r="M104" s="227"/>
      <c r="N104" s="228"/>
      <c r="O104" s="229"/>
      <c r="P104" s="230"/>
      <c r="Q104" s="231"/>
      <c r="R104" s="231"/>
      <c r="S104" s="231"/>
    </row>
    <row r="105" spans="2:19" ht="14.25" customHeight="1" x14ac:dyDescent="0.25">
      <c r="B105" s="82"/>
      <c r="C105" s="242"/>
      <c r="D105" s="83"/>
      <c r="E105" s="83"/>
      <c r="F105" s="83"/>
      <c r="G105" s="83"/>
      <c r="H105" s="227"/>
      <c r="I105" s="225"/>
      <c r="J105" s="225"/>
      <c r="K105" s="226"/>
      <c r="L105" s="227"/>
      <c r="M105" s="227"/>
      <c r="N105" s="228"/>
      <c r="O105" s="229"/>
      <c r="P105" s="230"/>
      <c r="Q105" s="231"/>
      <c r="R105" s="231"/>
      <c r="S105" s="231"/>
    </row>
    <row r="106" spans="2:19" ht="14.25" customHeight="1" x14ac:dyDescent="0.25">
      <c r="B106" s="82"/>
      <c r="C106" s="242"/>
      <c r="D106" s="83"/>
      <c r="E106" s="83"/>
      <c r="F106" s="83"/>
      <c r="G106" s="83"/>
      <c r="H106" s="227"/>
      <c r="I106" s="225"/>
      <c r="J106" s="225"/>
      <c r="K106" s="226"/>
      <c r="L106" s="227"/>
      <c r="M106" s="227"/>
      <c r="N106" s="228"/>
      <c r="O106" s="229"/>
      <c r="P106" s="230"/>
      <c r="Q106" s="231"/>
      <c r="R106" s="231"/>
      <c r="S106" s="231"/>
    </row>
    <row r="107" spans="2:19" ht="14.25" customHeight="1" x14ac:dyDescent="0.25">
      <c r="B107" s="82"/>
      <c r="C107" s="242"/>
      <c r="D107" s="83"/>
      <c r="E107" s="83"/>
      <c r="F107" s="83"/>
      <c r="G107" s="83"/>
      <c r="H107" s="227"/>
      <c r="I107" s="225"/>
      <c r="J107" s="225"/>
      <c r="K107" s="226"/>
      <c r="L107" s="227"/>
      <c r="M107" s="227"/>
      <c r="N107" s="228"/>
      <c r="O107" s="229"/>
      <c r="P107" s="230"/>
      <c r="Q107" s="231"/>
      <c r="R107" s="231"/>
      <c r="S107" s="231"/>
    </row>
    <row r="108" spans="2:19" ht="14.25" customHeight="1" x14ac:dyDescent="0.25">
      <c r="B108" s="82"/>
      <c r="C108" s="242"/>
      <c r="D108" s="83"/>
      <c r="E108" s="83"/>
      <c r="F108" s="83"/>
      <c r="G108" s="83"/>
      <c r="H108" s="227"/>
      <c r="I108" s="225"/>
      <c r="J108" s="225"/>
      <c r="K108" s="226"/>
      <c r="L108" s="227"/>
      <c r="M108" s="227"/>
      <c r="N108" s="228"/>
      <c r="O108" s="229"/>
      <c r="P108" s="230"/>
      <c r="Q108" s="231"/>
      <c r="R108" s="231"/>
      <c r="S108" s="231"/>
    </row>
    <row r="109" spans="2:19" ht="14.25" customHeight="1" x14ac:dyDescent="0.25">
      <c r="B109" s="82"/>
      <c r="C109" s="242"/>
      <c r="D109" s="83"/>
      <c r="E109" s="83"/>
      <c r="F109" s="83"/>
      <c r="G109" s="83"/>
      <c r="H109" s="227"/>
      <c r="I109" s="225"/>
      <c r="J109" s="225"/>
      <c r="K109" s="226"/>
      <c r="L109" s="227"/>
      <c r="M109" s="227"/>
      <c r="N109" s="228"/>
      <c r="O109" s="229"/>
      <c r="P109" s="230"/>
      <c r="Q109" s="231"/>
      <c r="R109" s="231"/>
      <c r="S109" s="231"/>
    </row>
    <row r="110" spans="2:19" ht="14.25" customHeight="1" x14ac:dyDescent="0.25">
      <c r="B110" s="82"/>
      <c r="C110" s="242"/>
      <c r="D110" s="83"/>
      <c r="E110" s="83"/>
      <c r="F110" s="83"/>
      <c r="G110" s="83"/>
      <c r="H110" s="227"/>
      <c r="I110" s="225"/>
      <c r="J110" s="225"/>
      <c r="K110" s="226"/>
      <c r="L110" s="227"/>
      <c r="M110" s="227"/>
      <c r="N110" s="228"/>
      <c r="O110" s="229"/>
      <c r="P110" s="230"/>
      <c r="Q110" s="231"/>
      <c r="R110" s="231"/>
      <c r="S110" s="231"/>
    </row>
    <row r="111" spans="2:19" ht="14.25" customHeight="1" x14ac:dyDescent="0.25">
      <c r="B111" s="82"/>
      <c r="C111" s="242"/>
      <c r="D111" s="83"/>
      <c r="E111" s="83"/>
      <c r="F111" s="83"/>
      <c r="G111" s="83"/>
      <c r="H111" s="227"/>
      <c r="I111" s="225"/>
      <c r="J111" s="225"/>
      <c r="K111" s="226"/>
      <c r="L111" s="227"/>
      <c r="M111" s="227"/>
      <c r="N111" s="228"/>
      <c r="O111" s="229"/>
      <c r="P111" s="230"/>
      <c r="Q111" s="231"/>
      <c r="R111" s="231"/>
      <c r="S111" s="231"/>
    </row>
    <row r="112" spans="2:19" ht="14.25" customHeight="1" x14ac:dyDescent="0.25">
      <c r="B112" s="82"/>
      <c r="C112" s="242"/>
      <c r="D112" s="83"/>
      <c r="E112" s="83"/>
      <c r="F112" s="83"/>
      <c r="G112" s="83"/>
      <c r="H112" s="227"/>
      <c r="I112" s="225"/>
      <c r="J112" s="225"/>
      <c r="K112" s="226"/>
      <c r="L112" s="227"/>
      <c r="M112" s="227"/>
      <c r="N112" s="228"/>
      <c r="O112" s="229"/>
      <c r="P112" s="230"/>
      <c r="Q112" s="231"/>
      <c r="R112" s="231"/>
      <c r="S112" s="231"/>
    </row>
    <row r="113" spans="2:19" ht="14.25" customHeight="1" x14ac:dyDescent="0.25">
      <c r="B113" s="82"/>
      <c r="C113" s="242"/>
      <c r="D113" s="83"/>
      <c r="E113" s="83"/>
      <c r="F113" s="83"/>
      <c r="G113" s="83"/>
      <c r="H113" s="227"/>
      <c r="I113" s="225"/>
      <c r="J113" s="225"/>
      <c r="K113" s="226"/>
      <c r="L113" s="227"/>
      <c r="M113" s="227"/>
      <c r="N113" s="228"/>
      <c r="O113" s="229"/>
      <c r="P113" s="230"/>
      <c r="Q113" s="231"/>
      <c r="R113" s="231"/>
      <c r="S113" s="231"/>
    </row>
    <row r="114" spans="2:19" ht="14.25" customHeight="1" x14ac:dyDescent="0.25">
      <c r="B114" s="82"/>
      <c r="C114" s="242"/>
      <c r="D114" s="83"/>
      <c r="E114" s="83"/>
      <c r="F114" s="83"/>
      <c r="G114" s="83"/>
      <c r="H114" s="227"/>
      <c r="I114" s="225"/>
      <c r="J114" s="225"/>
      <c r="K114" s="226"/>
      <c r="L114" s="227"/>
      <c r="M114" s="227"/>
      <c r="N114" s="228"/>
      <c r="O114" s="229"/>
      <c r="P114" s="230"/>
      <c r="Q114" s="231"/>
      <c r="R114" s="231"/>
      <c r="S114" s="231"/>
    </row>
    <row r="115" spans="2:19" ht="14.25" customHeight="1" x14ac:dyDescent="0.25">
      <c r="B115" s="82"/>
      <c r="C115" s="242"/>
      <c r="D115" s="83"/>
      <c r="E115" s="83"/>
      <c r="F115" s="83"/>
      <c r="G115" s="83"/>
      <c r="H115" s="227"/>
      <c r="I115" s="225"/>
      <c r="J115" s="225"/>
      <c r="K115" s="226"/>
      <c r="L115" s="227"/>
      <c r="M115" s="227"/>
      <c r="N115" s="228"/>
      <c r="O115" s="229"/>
      <c r="P115" s="230"/>
      <c r="Q115" s="231"/>
      <c r="R115" s="231"/>
      <c r="S115" s="231"/>
    </row>
    <row r="116" spans="2:19" ht="14.25" customHeight="1" x14ac:dyDescent="0.25">
      <c r="B116" s="82"/>
      <c r="C116" s="242"/>
      <c r="D116" s="83"/>
      <c r="E116" s="83"/>
      <c r="F116" s="83"/>
      <c r="G116" s="83"/>
      <c r="H116" s="227"/>
      <c r="I116" s="225"/>
      <c r="J116" s="225"/>
      <c r="K116" s="226"/>
      <c r="L116" s="227"/>
      <c r="M116" s="227"/>
      <c r="N116" s="228"/>
      <c r="O116" s="229"/>
      <c r="P116" s="230"/>
      <c r="Q116" s="231"/>
      <c r="R116" s="231"/>
      <c r="S116" s="231"/>
    </row>
    <row r="117" spans="2:19" ht="14.25" customHeight="1" x14ac:dyDescent="0.25">
      <c r="B117" s="82"/>
      <c r="C117" s="242"/>
      <c r="D117" s="83"/>
      <c r="E117" s="83"/>
      <c r="F117" s="83"/>
      <c r="G117" s="83"/>
      <c r="H117" s="227"/>
      <c r="I117" s="225"/>
      <c r="J117" s="225"/>
      <c r="K117" s="226"/>
      <c r="L117" s="227"/>
      <c r="M117" s="227"/>
      <c r="N117" s="228"/>
      <c r="O117" s="229"/>
      <c r="P117" s="230"/>
      <c r="Q117" s="231"/>
      <c r="R117" s="231"/>
      <c r="S117" s="231"/>
    </row>
    <row r="118" spans="2:19" ht="14.25" customHeight="1" x14ac:dyDescent="0.25">
      <c r="B118" s="82"/>
      <c r="C118" s="242"/>
      <c r="D118" s="83"/>
      <c r="E118" s="83"/>
      <c r="F118" s="83"/>
      <c r="G118" s="83"/>
      <c r="H118" s="227"/>
      <c r="I118" s="225"/>
      <c r="J118" s="225"/>
      <c r="K118" s="226"/>
      <c r="L118" s="227"/>
      <c r="M118" s="227"/>
      <c r="N118" s="228"/>
      <c r="O118" s="229"/>
      <c r="P118" s="230"/>
      <c r="Q118" s="231"/>
      <c r="R118" s="231"/>
      <c r="S118" s="231"/>
    </row>
    <row r="119" spans="2:19" ht="14.25" customHeight="1" x14ac:dyDescent="0.25">
      <c r="B119" s="82"/>
      <c r="C119" s="242"/>
      <c r="D119" s="83"/>
      <c r="E119" s="83"/>
      <c r="F119" s="83"/>
      <c r="G119" s="83"/>
      <c r="H119" s="227"/>
      <c r="I119" s="225"/>
      <c r="J119" s="225"/>
      <c r="K119" s="226"/>
      <c r="L119" s="227"/>
      <c r="M119" s="227"/>
      <c r="N119" s="228"/>
      <c r="O119" s="229"/>
      <c r="P119" s="230"/>
      <c r="Q119" s="231"/>
      <c r="R119" s="231"/>
      <c r="S119" s="231"/>
    </row>
    <row r="120" spans="2:19" ht="14.25" customHeight="1" x14ac:dyDescent="0.25">
      <c r="B120" s="82"/>
      <c r="C120" s="242"/>
      <c r="D120" s="83"/>
      <c r="E120" s="83"/>
      <c r="F120" s="83"/>
      <c r="G120" s="83"/>
      <c r="H120" s="227"/>
      <c r="I120" s="225"/>
      <c r="J120" s="225"/>
      <c r="K120" s="226"/>
      <c r="L120" s="227"/>
      <c r="M120" s="227"/>
      <c r="N120" s="228"/>
      <c r="O120" s="229"/>
      <c r="P120" s="230"/>
      <c r="Q120" s="231"/>
      <c r="R120" s="231"/>
      <c r="S120" s="231"/>
    </row>
    <row r="121" spans="2:19" ht="14.25" customHeight="1" x14ac:dyDescent="0.25">
      <c r="B121" s="82"/>
      <c r="C121" s="242"/>
      <c r="D121" s="83"/>
      <c r="E121" s="83"/>
      <c r="F121" s="83"/>
      <c r="G121" s="83"/>
      <c r="H121" s="227"/>
      <c r="I121" s="225"/>
      <c r="J121" s="225"/>
      <c r="K121" s="226"/>
      <c r="L121" s="227"/>
      <c r="M121" s="227"/>
      <c r="N121" s="228"/>
      <c r="O121" s="229"/>
      <c r="P121" s="230"/>
      <c r="Q121" s="231"/>
      <c r="R121" s="231"/>
      <c r="S121" s="231"/>
    </row>
    <row r="122" spans="2:19" ht="14.25" customHeight="1" x14ac:dyDescent="0.25">
      <c r="B122" s="82"/>
      <c r="C122" s="242"/>
      <c r="D122" s="83"/>
      <c r="E122" s="83"/>
      <c r="F122" s="83"/>
      <c r="G122" s="83"/>
      <c r="H122" s="227"/>
      <c r="I122" s="225"/>
      <c r="J122" s="225"/>
      <c r="K122" s="226"/>
      <c r="L122" s="227"/>
      <c r="M122" s="227"/>
      <c r="N122" s="228"/>
      <c r="O122" s="229"/>
      <c r="P122" s="230"/>
      <c r="Q122" s="231"/>
      <c r="R122" s="231"/>
      <c r="S122" s="231"/>
    </row>
    <row r="123" spans="2:19" ht="14.25" customHeight="1" x14ac:dyDescent="0.25">
      <c r="B123" s="82"/>
      <c r="C123" s="242"/>
      <c r="D123" s="83"/>
      <c r="E123" s="83"/>
      <c r="F123" s="83"/>
      <c r="G123" s="83"/>
      <c r="H123" s="227"/>
      <c r="I123" s="225"/>
      <c r="J123" s="225"/>
      <c r="K123" s="226"/>
      <c r="L123" s="227"/>
      <c r="M123" s="227"/>
      <c r="N123" s="228"/>
      <c r="O123" s="229"/>
      <c r="P123" s="230"/>
      <c r="Q123" s="231"/>
      <c r="R123" s="231"/>
      <c r="S123" s="231"/>
    </row>
    <row r="124" spans="2:19" ht="14.25" customHeight="1" x14ac:dyDescent="0.25">
      <c r="B124" s="82"/>
      <c r="C124" s="242"/>
      <c r="D124" s="83"/>
      <c r="E124" s="83"/>
      <c r="F124" s="83"/>
      <c r="G124" s="83"/>
      <c r="H124" s="227"/>
      <c r="I124" s="225"/>
      <c r="J124" s="225"/>
      <c r="K124" s="226"/>
      <c r="L124" s="227"/>
      <c r="M124" s="227"/>
      <c r="N124" s="228"/>
      <c r="O124" s="229"/>
      <c r="P124" s="230"/>
      <c r="Q124" s="231"/>
      <c r="R124" s="231"/>
      <c r="S124" s="231"/>
    </row>
    <row r="125" spans="2:19" ht="14.25" customHeight="1" x14ac:dyDescent="0.25">
      <c r="B125" s="82"/>
      <c r="C125" s="242"/>
      <c r="D125" s="83"/>
      <c r="E125" s="83"/>
      <c r="F125" s="83"/>
      <c r="G125" s="83"/>
      <c r="H125" s="227"/>
      <c r="I125" s="225"/>
      <c r="J125" s="225"/>
      <c r="K125" s="226"/>
      <c r="L125" s="227"/>
      <c r="M125" s="227"/>
      <c r="N125" s="228"/>
      <c r="O125" s="229"/>
      <c r="P125" s="230"/>
      <c r="Q125" s="231"/>
      <c r="R125" s="231"/>
      <c r="S125" s="231"/>
    </row>
    <row r="126" spans="2:19" ht="14.25" customHeight="1" x14ac:dyDescent="0.25">
      <c r="B126" s="82"/>
      <c r="C126" s="242"/>
      <c r="D126" s="83"/>
      <c r="E126" s="83"/>
      <c r="F126" s="83"/>
      <c r="G126" s="83"/>
      <c r="H126" s="227"/>
      <c r="I126" s="225"/>
      <c r="J126" s="225"/>
      <c r="K126" s="226"/>
      <c r="L126" s="227"/>
      <c r="M126" s="227"/>
      <c r="N126" s="228"/>
      <c r="O126" s="229"/>
      <c r="P126" s="230"/>
      <c r="Q126" s="231"/>
      <c r="R126" s="231"/>
      <c r="S126" s="231"/>
    </row>
    <row r="127" spans="2:19" ht="14.25" customHeight="1" x14ac:dyDescent="0.25">
      <c r="B127" s="82"/>
      <c r="C127" s="242"/>
      <c r="D127" s="83"/>
      <c r="E127" s="83"/>
      <c r="F127" s="83"/>
      <c r="G127" s="83"/>
      <c r="H127" s="227"/>
      <c r="I127" s="225"/>
      <c r="J127" s="225"/>
      <c r="K127" s="226"/>
      <c r="L127" s="227"/>
      <c r="M127" s="227"/>
      <c r="N127" s="228"/>
      <c r="O127" s="229"/>
      <c r="P127" s="230"/>
      <c r="Q127" s="231"/>
      <c r="R127" s="231"/>
      <c r="S127" s="231"/>
    </row>
    <row r="128" spans="2:19" ht="14.25" customHeight="1" x14ac:dyDescent="0.25">
      <c r="B128" s="82"/>
      <c r="C128" s="242"/>
      <c r="D128" s="83"/>
      <c r="E128" s="83"/>
      <c r="F128" s="83"/>
      <c r="G128" s="83"/>
      <c r="H128" s="227"/>
      <c r="I128" s="225"/>
      <c r="J128" s="225"/>
      <c r="K128" s="226"/>
      <c r="L128" s="227"/>
      <c r="M128" s="227"/>
      <c r="N128" s="228"/>
      <c r="O128" s="229"/>
      <c r="P128" s="230"/>
      <c r="Q128" s="231"/>
      <c r="R128" s="231"/>
      <c r="S128" s="231"/>
    </row>
    <row r="129" spans="2:19" ht="14.25" customHeight="1" x14ac:dyDescent="0.25">
      <c r="B129" s="82"/>
      <c r="C129" s="242"/>
      <c r="D129" s="83"/>
      <c r="E129" s="83"/>
      <c r="F129" s="83"/>
      <c r="G129" s="83"/>
      <c r="H129" s="227"/>
      <c r="I129" s="225"/>
      <c r="J129" s="225"/>
      <c r="K129" s="226"/>
      <c r="L129" s="227"/>
      <c r="M129" s="227"/>
      <c r="N129" s="228"/>
      <c r="O129" s="229"/>
      <c r="P129" s="230"/>
      <c r="Q129" s="231"/>
      <c r="R129" s="231"/>
      <c r="S129" s="231"/>
    </row>
    <row r="130" spans="2:19" ht="14.25" customHeight="1" x14ac:dyDescent="0.25">
      <c r="B130" s="82"/>
      <c r="C130" s="242"/>
      <c r="D130" s="83"/>
      <c r="E130" s="83"/>
      <c r="F130" s="83"/>
      <c r="G130" s="83"/>
      <c r="H130" s="227"/>
      <c r="I130" s="225"/>
      <c r="J130" s="225"/>
      <c r="K130" s="226"/>
      <c r="L130" s="227"/>
      <c r="M130" s="227"/>
      <c r="N130" s="228"/>
      <c r="O130" s="229"/>
      <c r="P130" s="230"/>
      <c r="Q130" s="231"/>
      <c r="R130" s="231"/>
      <c r="S130" s="231"/>
    </row>
    <row r="131" spans="2:19" ht="14.25" customHeight="1" x14ac:dyDescent="0.25">
      <c r="B131" s="82"/>
      <c r="C131" s="242"/>
      <c r="D131" s="83"/>
      <c r="E131" s="83"/>
      <c r="F131" s="83"/>
      <c r="G131" s="83"/>
      <c r="H131" s="227"/>
      <c r="I131" s="225"/>
      <c r="J131" s="225"/>
      <c r="K131" s="226"/>
      <c r="L131" s="227"/>
      <c r="M131" s="227"/>
      <c r="N131" s="228"/>
      <c r="O131" s="229"/>
      <c r="P131" s="230"/>
      <c r="Q131" s="231"/>
      <c r="R131" s="231"/>
      <c r="S131" s="231"/>
    </row>
    <row r="132" spans="2:19" ht="14.25" customHeight="1" x14ac:dyDescent="0.25">
      <c r="B132" s="82"/>
      <c r="C132" s="242"/>
      <c r="D132" s="83"/>
      <c r="E132" s="83"/>
      <c r="F132" s="83"/>
      <c r="G132" s="83"/>
      <c r="H132" s="227"/>
      <c r="I132" s="225"/>
      <c r="J132" s="225"/>
      <c r="K132" s="226"/>
      <c r="L132" s="227"/>
      <c r="M132" s="227"/>
      <c r="N132" s="228"/>
      <c r="O132" s="229"/>
      <c r="P132" s="230"/>
      <c r="Q132" s="231"/>
      <c r="R132" s="231"/>
      <c r="S132" s="231"/>
    </row>
    <row r="133" spans="2:19" ht="14.25" customHeight="1" x14ac:dyDescent="0.25">
      <c r="B133" s="82"/>
      <c r="C133" s="242"/>
      <c r="D133" s="83"/>
      <c r="E133" s="83"/>
      <c r="F133" s="83"/>
      <c r="G133" s="83"/>
      <c r="H133" s="227"/>
      <c r="I133" s="225"/>
      <c r="J133" s="225"/>
      <c r="K133" s="226"/>
      <c r="L133" s="227"/>
      <c r="M133" s="227"/>
      <c r="N133" s="228"/>
      <c r="O133" s="229"/>
      <c r="P133" s="230"/>
      <c r="Q133" s="231"/>
      <c r="R133" s="231"/>
      <c r="S133" s="231"/>
    </row>
    <row r="134" spans="2:19" ht="14.25" customHeight="1" x14ac:dyDescent="0.25">
      <c r="B134" s="82"/>
      <c r="C134" s="242"/>
      <c r="D134" s="83"/>
      <c r="E134" s="83"/>
      <c r="F134" s="83"/>
      <c r="G134" s="83"/>
      <c r="H134" s="227"/>
      <c r="I134" s="225"/>
      <c r="J134" s="225"/>
      <c r="K134" s="226"/>
      <c r="L134" s="227"/>
      <c r="M134" s="227"/>
      <c r="N134" s="228"/>
      <c r="O134" s="229"/>
      <c r="P134" s="230"/>
      <c r="Q134" s="231"/>
      <c r="R134" s="231"/>
      <c r="S134" s="231"/>
    </row>
    <row r="135" spans="2:19" ht="14.25" customHeight="1" x14ac:dyDescent="0.25">
      <c r="B135" s="82"/>
      <c r="C135" s="242"/>
      <c r="D135" s="83"/>
      <c r="E135" s="83"/>
      <c r="F135" s="83"/>
      <c r="G135" s="83"/>
      <c r="H135" s="227"/>
      <c r="I135" s="225"/>
      <c r="J135" s="225"/>
      <c r="K135" s="226"/>
      <c r="L135" s="227"/>
      <c r="M135" s="227"/>
      <c r="N135" s="228"/>
      <c r="O135" s="229"/>
      <c r="P135" s="230"/>
      <c r="Q135" s="231"/>
      <c r="R135" s="231"/>
      <c r="S135" s="231"/>
    </row>
    <row r="136" spans="2:19" ht="14.25" customHeight="1" x14ac:dyDescent="0.25">
      <c r="B136" s="82"/>
      <c r="C136" s="242"/>
      <c r="D136" s="83"/>
      <c r="E136" s="83"/>
      <c r="F136" s="83"/>
      <c r="G136" s="83"/>
      <c r="H136" s="227"/>
      <c r="I136" s="225"/>
      <c r="J136" s="225"/>
      <c r="K136" s="226"/>
      <c r="L136" s="227"/>
      <c r="M136" s="227"/>
      <c r="N136" s="228"/>
      <c r="O136" s="229"/>
      <c r="P136" s="230"/>
      <c r="Q136" s="231"/>
      <c r="R136" s="231"/>
      <c r="S136" s="231"/>
    </row>
    <row r="137" spans="2:19" ht="14.25" customHeight="1" x14ac:dyDescent="0.25">
      <c r="B137" s="82"/>
      <c r="C137" s="242"/>
      <c r="D137" s="83"/>
      <c r="E137" s="83"/>
      <c r="F137" s="83"/>
      <c r="G137" s="83"/>
      <c r="H137" s="227"/>
      <c r="I137" s="225"/>
      <c r="J137" s="225"/>
      <c r="K137" s="226"/>
      <c r="L137" s="227"/>
      <c r="M137" s="227"/>
      <c r="N137" s="228"/>
      <c r="O137" s="229"/>
      <c r="P137" s="230"/>
      <c r="Q137" s="231"/>
      <c r="R137" s="231"/>
      <c r="S137" s="231"/>
    </row>
    <row r="138" spans="2:19" ht="14.25" customHeight="1" x14ac:dyDescent="0.25">
      <c r="B138" s="82"/>
      <c r="C138" s="242"/>
      <c r="D138" s="83"/>
      <c r="E138" s="83"/>
      <c r="F138" s="83"/>
      <c r="G138" s="83"/>
      <c r="H138" s="227"/>
      <c r="I138" s="225"/>
      <c r="J138" s="225"/>
      <c r="K138" s="226"/>
      <c r="L138" s="227"/>
      <c r="M138" s="227"/>
      <c r="N138" s="228"/>
      <c r="O138" s="229"/>
      <c r="P138" s="230"/>
      <c r="Q138" s="231"/>
      <c r="R138" s="231"/>
      <c r="S138" s="231"/>
    </row>
    <row r="139" spans="2:19" ht="14.25" customHeight="1" x14ac:dyDescent="0.25">
      <c r="B139" s="82"/>
      <c r="C139" s="242"/>
      <c r="D139" s="83"/>
      <c r="E139" s="83"/>
      <c r="F139" s="83"/>
      <c r="G139" s="83"/>
      <c r="H139" s="227"/>
      <c r="I139" s="225"/>
      <c r="J139" s="225"/>
      <c r="K139" s="226"/>
      <c r="L139" s="227"/>
      <c r="M139" s="227"/>
      <c r="N139" s="228"/>
      <c r="O139" s="229"/>
      <c r="P139" s="230"/>
      <c r="Q139" s="231"/>
      <c r="R139" s="231"/>
      <c r="S139" s="231"/>
    </row>
    <row r="140" spans="2:19" ht="14.25" customHeight="1" x14ac:dyDescent="0.25">
      <c r="B140" s="82"/>
      <c r="C140" s="242"/>
      <c r="D140" s="83"/>
      <c r="E140" s="83"/>
      <c r="F140" s="83"/>
      <c r="G140" s="83"/>
      <c r="H140" s="227"/>
      <c r="I140" s="225"/>
      <c r="J140" s="225"/>
      <c r="K140" s="226"/>
      <c r="L140" s="227"/>
      <c r="M140" s="227"/>
      <c r="N140" s="228"/>
      <c r="O140" s="229"/>
      <c r="P140" s="230"/>
      <c r="Q140" s="231"/>
      <c r="R140" s="231"/>
      <c r="S140" s="231"/>
    </row>
    <row r="141" spans="2:19" ht="14.25" customHeight="1" x14ac:dyDescent="0.25">
      <c r="B141" s="82"/>
      <c r="C141" s="242"/>
      <c r="D141" s="83"/>
      <c r="E141" s="83"/>
      <c r="F141" s="83"/>
      <c r="G141" s="83"/>
      <c r="H141" s="227"/>
      <c r="I141" s="225"/>
      <c r="J141" s="225"/>
      <c r="K141" s="226"/>
      <c r="L141" s="227"/>
      <c r="M141" s="227"/>
      <c r="N141" s="228"/>
      <c r="O141" s="229"/>
      <c r="P141" s="230"/>
      <c r="Q141" s="231"/>
      <c r="R141" s="231"/>
      <c r="S141" s="231"/>
    </row>
    <row r="142" spans="2:19" ht="14.25" customHeight="1" x14ac:dyDescent="0.25">
      <c r="B142" s="82"/>
      <c r="C142" s="242"/>
      <c r="D142" s="83"/>
      <c r="E142" s="83"/>
      <c r="F142" s="83"/>
      <c r="G142" s="83"/>
      <c r="H142" s="227"/>
      <c r="I142" s="225"/>
      <c r="J142" s="225"/>
      <c r="K142" s="226"/>
      <c r="L142" s="227"/>
      <c r="M142" s="227"/>
      <c r="N142" s="228"/>
      <c r="O142" s="229"/>
      <c r="P142" s="230"/>
      <c r="Q142" s="231"/>
      <c r="R142" s="231"/>
      <c r="S142" s="231"/>
    </row>
    <row r="143" spans="2:19" ht="14.25" customHeight="1" x14ac:dyDescent="0.25">
      <c r="B143" s="82"/>
      <c r="C143" s="242"/>
      <c r="D143" s="83"/>
      <c r="E143" s="83"/>
      <c r="F143" s="83"/>
      <c r="G143" s="83"/>
      <c r="H143" s="227"/>
      <c r="I143" s="225"/>
      <c r="J143" s="225"/>
      <c r="K143" s="226"/>
      <c r="L143" s="227"/>
      <c r="M143" s="227"/>
      <c r="N143" s="228"/>
      <c r="O143" s="229"/>
      <c r="P143" s="230"/>
      <c r="Q143" s="231"/>
      <c r="R143" s="231"/>
      <c r="S143" s="231"/>
    </row>
    <row r="144" spans="2:19" ht="14.25" customHeight="1" x14ac:dyDescent="0.25">
      <c r="B144" s="82"/>
      <c r="C144" s="242"/>
      <c r="D144" s="83"/>
      <c r="E144" s="83"/>
      <c r="F144" s="83"/>
      <c r="G144" s="83"/>
      <c r="H144" s="227"/>
      <c r="I144" s="225"/>
      <c r="J144" s="225"/>
      <c r="K144" s="226"/>
      <c r="L144" s="227"/>
      <c r="M144" s="227"/>
      <c r="N144" s="228"/>
      <c r="O144" s="229"/>
      <c r="P144" s="230"/>
      <c r="Q144" s="231"/>
      <c r="R144" s="231"/>
      <c r="S144" s="231"/>
    </row>
    <row r="145" spans="2:19" ht="14.25" customHeight="1" x14ac:dyDescent="0.25">
      <c r="B145" s="82"/>
      <c r="C145" s="242"/>
      <c r="D145" s="83"/>
      <c r="E145" s="83"/>
      <c r="F145" s="83"/>
      <c r="G145" s="83"/>
      <c r="H145" s="227"/>
      <c r="I145" s="225"/>
      <c r="J145" s="225"/>
      <c r="K145" s="226"/>
      <c r="L145" s="227"/>
      <c r="M145" s="227"/>
      <c r="N145" s="228"/>
      <c r="O145" s="229"/>
      <c r="P145" s="230"/>
      <c r="Q145" s="231"/>
      <c r="R145" s="231"/>
      <c r="S145" s="231"/>
    </row>
    <row r="146" spans="2:19" ht="14.25" customHeight="1" x14ac:dyDescent="0.25">
      <c r="B146" s="82"/>
      <c r="C146" s="242"/>
      <c r="D146" s="83"/>
      <c r="E146" s="83"/>
      <c r="F146" s="83"/>
      <c r="G146" s="83"/>
      <c r="H146" s="227"/>
      <c r="I146" s="225"/>
      <c r="J146" s="225"/>
      <c r="K146" s="226"/>
      <c r="L146" s="227"/>
      <c r="M146" s="227"/>
      <c r="N146" s="228"/>
      <c r="O146" s="229"/>
      <c r="P146" s="230"/>
      <c r="Q146" s="231"/>
      <c r="R146" s="231"/>
      <c r="S146" s="231"/>
    </row>
    <row r="147" spans="2:19" ht="14.25" customHeight="1" x14ac:dyDescent="0.25">
      <c r="B147" s="82"/>
      <c r="C147" s="242"/>
      <c r="D147" s="83"/>
      <c r="E147" s="83"/>
      <c r="F147" s="83"/>
      <c r="G147" s="83"/>
      <c r="H147" s="227"/>
      <c r="I147" s="225"/>
      <c r="J147" s="225"/>
      <c r="K147" s="226"/>
      <c r="L147" s="227"/>
      <c r="M147" s="227"/>
      <c r="N147" s="228"/>
      <c r="O147" s="229"/>
      <c r="P147" s="230"/>
      <c r="Q147" s="231"/>
      <c r="R147" s="231"/>
      <c r="S147" s="231"/>
    </row>
    <row r="148" spans="2:19" ht="14.25" customHeight="1" x14ac:dyDescent="0.25">
      <c r="B148" s="82"/>
      <c r="C148" s="242"/>
      <c r="D148" s="83"/>
      <c r="E148" s="83"/>
      <c r="F148" s="83"/>
      <c r="G148" s="83"/>
      <c r="H148" s="227"/>
      <c r="I148" s="225"/>
      <c r="J148" s="225"/>
      <c r="K148" s="226"/>
      <c r="L148" s="227"/>
      <c r="M148" s="227"/>
      <c r="N148" s="228"/>
      <c r="O148" s="229"/>
      <c r="P148" s="230"/>
      <c r="Q148" s="231"/>
      <c r="R148" s="231"/>
      <c r="S148" s="231"/>
    </row>
    <row r="149" spans="2:19" ht="14.25" customHeight="1" x14ac:dyDescent="0.25">
      <c r="B149" s="82"/>
      <c r="C149" s="242"/>
      <c r="D149" s="83"/>
      <c r="E149" s="83"/>
      <c r="F149" s="83"/>
      <c r="G149" s="83"/>
      <c r="H149" s="227"/>
      <c r="I149" s="225"/>
      <c r="J149" s="225"/>
      <c r="K149" s="226"/>
      <c r="L149" s="227"/>
      <c r="M149" s="227"/>
      <c r="N149" s="228"/>
      <c r="O149" s="229"/>
      <c r="P149" s="230"/>
      <c r="Q149" s="231"/>
      <c r="R149" s="231"/>
      <c r="S149" s="231"/>
    </row>
    <row r="150" spans="2:19" ht="14.25" customHeight="1" x14ac:dyDescent="0.25">
      <c r="B150" s="82"/>
      <c r="C150" s="242"/>
      <c r="D150" s="83"/>
      <c r="E150" s="83"/>
      <c r="F150" s="83"/>
      <c r="G150" s="83"/>
      <c r="H150" s="227"/>
      <c r="I150" s="225"/>
      <c r="J150" s="225"/>
      <c r="K150" s="226"/>
      <c r="L150" s="227"/>
      <c r="M150" s="227"/>
      <c r="N150" s="228"/>
      <c r="O150" s="229"/>
      <c r="P150" s="230"/>
      <c r="Q150" s="231"/>
      <c r="R150" s="231"/>
      <c r="S150" s="231"/>
    </row>
    <row r="151" spans="2:19" ht="14.25" customHeight="1" x14ac:dyDescent="0.25">
      <c r="B151" s="82"/>
      <c r="C151" s="242"/>
      <c r="D151" s="83"/>
      <c r="E151" s="83"/>
      <c r="F151" s="83"/>
      <c r="G151" s="83"/>
      <c r="H151" s="227"/>
      <c r="I151" s="225"/>
      <c r="J151" s="225"/>
      <c r="K151" s="226"/>
      <c r="L151" s="227"/>
      <c r="M151" s="227"/>
      <c r="N151" s="228"/>
      <c r="O151" s="229"/>
      <c r="P151" s="230"/>
      <c r="Q151" s="231"/>
      <c r="R151" s="231"/>
      <c r="S151" s="231"/>
    </row>
    <row r="152" spans="2:19" ht="14.25" customHeight="1" x14ac:dyDescent="0.25">
      <c r="B152" s="82"/>
      <c r="C152" s="242"/>
      <c r="D152" s="83"/>
      <c r="E152" s="83"/>
      <c r="F152" s="83"/>
      <c r="G152" s="83"/>
      <c r="H152" s="227"/>
      <c r="I152" s="225"/>
      <c r="J152" s="225"/>
      <c r="K152" s="226"/>
      <c r="L152" s="227"/>
      <c r="M152" s="227"/>
      <c r="N152" s="228"/>
      <c r="O152" s="229"/>
      <c r="P152" s="230"/>
      <c r="Q152" s="231"/>
      <c r="R152" s="231"/>
      <c r="S152" s="231"/>
    </row>
    <row r="153" spans="2:19" ht="14.25" customHeight="1" x14ac:dyDescent="0.25">
      <c r="B153" s="82"/>
      <c r="C153" s="242"/>
      <c r="D153" s="83"/>
      <c r="E153" s="83"/>
      <c r="F153" s="83"/>
      <c r="G153" s="83"/>
      <c r="H153" s="227"/>
      <c r="I153" s="225"/>
      <c r="J153" s="225"/>
      <c r="K153" s="226"/>
      <c r="L153" s="227"/>
      <c r="M153" s="227"/>
      <c r="N153" s="228"/>
      <c r="O153" s="229"/>
      <c r="P153" s="230"/>
      <c r="Q153" s="231"/>
      <c r="R153" s="231"/>
      <c r="S153" s="231"/>
    </row>
    <row r="154" spans="2:19" ht="14.25" customHeight="1" x14ac:dyDescent="0.25">
      <c r="B154" s="82"/>
      <c r="C154" s="242"/>
      <c r="D154" s="83"/>
      <c r="E154" s="83"/>
      <c r="F154" s="83"/>
      <c r="G154" s="83"/>
      <c r="H154" s="227"/>
      <c r="I154" s="225"/>
      <c r="J154" s="225"/>
      <c r="K154" s="226"/>
      <c r="L154" s="227"/>
      <c r="M154" s="227"/>
      <c r="N154" s="228"/>
      <c r="O154" s="229"/>
      <c r="P154" s="230"/>
      <c r="Q154" s="231"/>
      <c r="R154" s="231"/>
      <c r="S154" s="231"/>
    </row>
    <row r="155" spans="2:19" ht="14.25" customHeight="1" x14ac:dyDescent="0.25">
      <c r="B155" s="82"/>
      <c r="C155" s="242"/>
      <c r="D155" s="83"/>
      <c r="E155" s="83"/>
      <c r="F155" s="83"/>
      <c r="G155" s="83"/>
      <c r="H155" s="227"/>
      <c r="I155" s="225"/>
      <c r="J155" s="225"/>
      <c r="K155" s="226"/>
      <c r="L155" s="227"/>
      <c r="M155" s="227"/>
      <c r="N155" s="228"/>
      <c r="O155" s="229"/>
      <c r="P155" s="230"/>
      <c r="Q155" s="231"/>
      <c r="R155" s="231"/>
      <c r="S155" s="231"/>
    </row>
    <row r="156" spans="2:19" ht="14.25" customHeight="1" x14ac:dyDescent="0.25">
      <c r="B156" s="82"/>
      <c r="C156" s="242"/>
      <c r="D156" s="83"/>
      <c r="E156" s="83"/>
      <c r="F156" s="83"/>
      <c r="G156" s="83"/>
      <c r="H156" s="227"/>
      <c r="I156" s="225"/>
      <c r="J156" s="225"/>
      <c r="K156" s="226"/>
      <c r="L156" s="227"/>
      <c r="M156" s="227"/>
      <c r="N156" s="228"/>
      <c r="O156" s="229"/>
      <c r="P156" s="230"/>
      <c r="Q156" s="231"/>
      <c r="R156" s="231"/>
      <c r="S156" s="231"/>
    </row>
    <row r="157" spans="2:19" ht="14.25" customHeight="1" x14ac:dyDescent="0.25">
      <c r="B157" s="82"/>
      <c r="C157" s="242"/>
      <c r="D157" s="83"/>
      <c r="E157" s="83"/>
      <c r="F157" s="83"/>
      <c r="G157" s="83"/>
      <c r="H157" s="227"/>
      <c r="I157" s="225"/>
      <c r="J157" s="225"/>
      <c r="K157" s="226"/>
      <c r="L157" s="227"/>
      <c r="M157" s="227"/>
      <c r="N157" s="228"/>
      <c r="O157" s="229"/>
      <c r="P157" s="230"/>
      <c r="Q157" s="231"/>
      <c r="R157" s="231"/>
      <c r="S157" s="231"/>
    </row>
    <row r="158" spans="2:19" ht="14.25" customHeight="1" x14ac:dyDescent="0.25">
      <c r="B158" s="82"/>
      <c r="C158" s="242"/>
      <c r="D158" s="83"/>
      <c r="E158" s="83"/>
      <c r="F158" s="83"/>
      <c r="G158" s="83"/>
      <c r="H158" s="227"/>
      <c r="I158" s="225"/>
      <c r="J158" s="225"/>
      <c r="K158" s="226"/>
      <c r="L158" s="227"/>
      <c r="M158" s="227"/>
      <c r="N158" s="228"/>
      <c r="O158" s="229"/>
      <c r="P158" s="230"/>
      <c r="Q158" s="231"/>
      <c r="R158" s="231"/>
      <c r="S158" s="231"/>
    </row>
    <row r="159" spans="2:19" ht="14.25" customHeight="1" x14ac:dyDescent="0.25">
      <c r="B159" s="82"/>
      <c r="C159" s="242"/>
      <c r="D159" s="83"/>
      <c r="E159" s="83"/>
      <c r="F159" s="83"/>
      <c r="G159" s="83"/>
      <c r="H159" s="227"/>
      <c r="I159" s="225"/>
      <c r="J159" s="225"/>
      <c r="K159" s="226"/>
      <c r="L159" s="227"/>
      <c r="M159" s="227"/>
      <c r="N159" s="228"/>
      <c r="O159" s="229"/>
      <c r="P159" s="230"/>
      <c r="Q159" s="231"/>
      <c r="R159" s="231"/>
      <c r="S159" s="231"/>
    </row>
    <row r="160" spans="2:19" ht="14.25" customHeight="1" x14ac:dyDescent="0.25">
      <c r="B160" s="82"/>
      <c r="C160" s="242"/>
      <c r="D160" s="83"/>
      <c r="E160" s="83"/>
      <c r="F160" s="83"/>
      <c r="G160" s="83"/>
      <c r="H160" s="227"/>
      <c r="I160" s="225"/>
      <c r="J160" s="225"/>
      <c r="K160" s="226"/>
      <c r="L160" s="227"/>
      <c r="M160" s="227"/>
      <c r="N160" s="228"/>
      <c r="O160" s="229"/>
      <c r="P160" s="230"/>
      <c r="Q160" s="231"/>
      <c r="R160" s="231"/>
      <c r="S160" s="231"/>
    </row>
    <row r="161" spans="2:19" ht="14.25" customHeight="1" x14ac:dyDescent="0.25">
      <c r="B161" s="82"/>
      <c r="C161" s="242"/>
      <c r="D161" s="83"/>
      <c r="E161" s="83"/>
      <c r="F161" s="83"/>
      <c r="G161" s="83"/>
      <c r="H161" s="227"/>
      <c r="I161" s="225"/>
      <c r="J161" s="225"/>
      <c r="K161" s="226"/>
      <c r="L161" s="227"/>
      <c r="M161" s="227"/>
      <c r="N161" s="228"/>
      <c r="O161" s="229"/>
      <c r="P161" s="230"/>
      <c r="Q161" s="231"/>
      <c r="R161" s="231"/>
      <c r="S161" s="231"/>
    </row>
    <row r="162" spans="2:19" ht="14.25" customHeight="1" x14ac:dyDescent="0.25">
      <c r="B162" s="82"/>
      <c r="C162" s="242"/>
      <c r="D162" s="83"/>
      <c r="E162" s="83"/>
      <c r="F162" s="83"/>
      <c r="G162" s="83"/>
      <c r="H162" s="227"/>
      <c r="I162" s="225"/>
      <c r="J162" s="225"/>
      <c r="K162" s="226"/>
      <c r="L162" s="227"/>
      <c r="M162" s="227"/>
      <c r="N162" s="228"/>
      <c r="O162" s="229"/>
      <c r="P162" s="230"/>
      <c r="Q162" s="231"/>
      <c r="R162" s="231"/>
      <c r="S162" s="231"/>
    </row>
    <row r="163" spans="2:19" ht="14.25" customHeight="1" x14ac:dyDescent="0.25">
      <c r="B163" s="82"/>
      <c r="C163" s="242"/>
      <c r="D163" s="83"/>
      <c r="E163" s="83"/>
      <c r="F163" s="83"/>
      <c r="G163" s="83"/>
      <c r="H163" s="227"/>
      <c r="I163" s="225"/>
      <c r="J163" s="225"/>
      <c r="K163" s="226"/>
      <c r="L163" s="227"/>
      <c r="M163" s="227"/>
      <c r="N163" s="228"/>
      <c r="O163" s="229"/>
      <c r="P163" s="230"/>
      <c r="Q163" s="231"/>
      <c r="R163" s="231"/>
      <c r="S163" s="231"/>
    </row>
    <row r="164" spans="2:19" ht="14.25" customHeight="1" x14ac:dyDescent="0.25">
      <c r="B164" s="82"/>
      <c r="C164" s="242"/>
      <c r="D164" s="83"/>
      <c r="E164" s="83"/>
      <c r="F164" s="83"/>
      <c r="G164" s="83"/>
      <c r="H164" s="227"/>
      <c r="I164" s="225"/>
      <c r="J164" s="225"/>
      <c r="K164" s="226"/>
      <c r="L164" s="227"/>
      <c r="M164" s="227"/>
      <c r="N164" s="228"/>
      <c r="O164" s="229"/>
      <c r="P164" s="230"/>
      <c r="Q164" s="231"/>
      <c r="R164" s="231"/>
      <c r="S164" s="231"/>
    </row>
    <row r="165" spans="2:19" ht="14.25" customHeight="1" x14ac:dyDescent="0.25">
      <c r="B165" s="82"/>
      <c r="C165" s="242"/>
      <c r="D165" s="83"/>
      <c r="E165" s="83"/>
      <c r="F165" s="83"/>
      <c r="G165" s="83"/>
      <c r="H165" s="227"/>
      <c r="I165" s="225"/>
      <c r="J165" s="225"/>
      <c r="K165" s="226"/>
      <c r="L165" s="227"/>
      <c r="M165" s="227"/>
      <c r="N165" s="228"/>
      <c r="O165" s="229"/>
      <c r="P165" s="230"/>
      <c r="Q165" s="231"/>
      <c r="R165" s="231"/>
      <c r="S165" s="231"/>
    </row>
    <row r="166" spans="2:19" ht="14.25" customHeight="1" x14ac:dyDescent="0.25">
      <c r="B166" s="82"/>
      <c r="C166" s="242"/>
      <c r="D166" s="83"/>
      <c r="E166" s="83"/>
      <c r="F166" s="83"/>
      <c r="G166" s="83"/>
      <c r="H166" s="227"/>
      <c r="I166" s="225"/>
      <c r="J166" s="225"/>
      <c r="K166" s="226"/>
      <c r="L166" s="227"/>
      <c r="M166" s="227"/>
      <c r="N166" s="228"/>
      <c r="O166" s="229"/>
      <c r="P166" s="230"/>
      <c r="Q166" s="231"/>
      <c r="R166" s="231"/>
      <c r="S166" s="231"/>
    </row>
    <row r="167" spans="2:19" ht="14.25" customHeight="1" x14ac:dyDescent="0.25">
      <c r="B167" s="82"/>
      <c r="C167" s="242"/>
      <c r="D167" s="83"/>
      <c r="E167" s="83"/>
      <c r="F167" s="83"/>
      <c r="G167" s="83"/>
      <c r="H167" s="227"/>
      <c r="I167" s="225"/>
      <c r="J167" s="225"/>
      <c r="K167" s="226"/>
      <c r="L167" s="227"/>
      <c r="M167" s="227"/>
      <c r="N167" s="228"/>
      <c r="O167" s="229"/>
      <c r="P167" s="230"/>
      <c r="Q167" s="231"/>
      <c r="R167" s="231"/>
      <c r="S167" s="231"/>
    </row>
    <row r="168" spans="2:19" ht="14.25" customHeight="1" x14ac:dyDescent="0.25">
      <c r="B168" s="82"/>
      <c r="C168" s="242"/>
      <c r="D168" s="83"/>
      <c r="E168" s="83"/>
      <c r="F168" s="83"/>
      <c r="G168" s="83"/>
      <c r="H168" s="227"/>
      <c r="I168" s="225"/>
      <c r="J168" s="225"/>
      <c r="K168" s="226"/>
      <c r="L168" s="227"/>
      <c r="M168" s="227"/>
      <c r="N168" s="228"/>
      <c r="O168" s="229"/>
      <c r="P168" s="230"/>
      <c r="Q168" s="231"/>
      <c r="R168" s="231"/>
      <c r="S168" s="231"/>
    </row>
    <row r="169" spans="2:19" ht="14.25" customHeight="1" x14ac:dyDescent="0.25">
      <c r="B169" s="82"/>
      <c r="C169" s="242"/>
      <c r="D169" s="83"/>
      <c r="E169" s="83"/>
      <c r="F169" s="83"/>
      <c r="G169" s="83"/>
      <c r="H169" s="227"/>
      <c r="I169" s="225"/>
      <c r="J169" s="225"/>
      <c r="K169" s="226"/>
      <c r="L169" s="227"/>
      <c r="M169" s="227"/>
      <c r="N169" s="228"/>
      <c r="O169" s="229"/>
      <c r="P169" s="230"/>
      <c r="Q169" s="231"/>
      <c r="R169" s="231"/>
      <c r="S169" s="231"/>
    </row>
    <row r="170" spans="2:19" ht="14.25" customHeight="1" x14ac:dyDescent="0.25">
      <c r="B170" s="82"/>
      <c r="C170" s="242"/>
      <c r="D170" s="83"/>
      <c r="E170" s="83"/>
      <c r="F170" s="83"/>
      <c r="G170" s="83"/>
      <c r="H170" s="227"/>
      <c r="I170" s="225"/>
      <c r="J170" s="225"/>
      <c r="K170" s="226"/>
      <c r="L170" s="227"/>
      <c r="M170" s="227"/>
      <c r="N170" s="228"/>
      <c r="O170" s="229"/>
      <c r="P170" s="230"/>
      <c r="Q170" s="231"/>
      <c r="R170" s="231"/>
      <c r="S170" s="231"/>
    </row>
    <row r="171" spans="2:19" ht="14.25" customHeight="1" x14ac:dyDescent="0.25">
      <c r="B171" s="82"/>
      <c r="C171" s="242"/>
      <c r="D171" s="83"/>
      <c r="E171" s="83"/>
      <c r="F171" s="83"/>
      <c r="G171" s="83"/>
      <c r="H171" s="227"/>
      <c r="I171" s="225"/>
      <c r="J171" s="225"/>
      <c r="K171" s="226"/>
      <c r="L171" s="227"/>
      <c r="M171" s="227"/>
      <c r="N171" s="228"/>
      <c r="O171" s="229"/>
      <c r="P171" s="230"/>
      <c r="Q171" s="231"/>
      <c r="R171" s="231"/>
      <c r="S171" s="231"/>
    </row>
    <row r="172" spans="2:19" ht="14.25" customHeight="1" x14ac:dyDescent="0.25">
      <c r="B172" s="82"/>
      <c r="C172" s="242"/>
      <c r="D172" s="83"/>
      <c r="E172" s="83"/>
      <c r="F172" s="83"/>
      <c r="G172" s="83"/>
      <c r="H172" s="227"/>
      <c r="I172" s="225"/>
      <c r="J172" s="225"/>
      <c r="K172" s="226"/>
      <c r="L172" s="227"/>
      <c r="M172" s="227"/>
      <c r="N172" s="228"/>
      <c r="O172" s="229"/>
      <c r="P172" s="230"/>
      <c r="Q172" s="231"/>
      <c r="R172" s="231"/>
      <c r="S172" s="231"/>
    </row>
    <row r="173" spans="2:19" ht="14.25" customHeight="1" x14ac:dyDescent="0.25">
      <c r="B173" s="82"/>
      <c r="C173" s="242"/>
      <c r="D173" s="83"/>
      <c r="E173" s="83"/>
      <c r="F173" s="83"/>
      <c r="G173" s="83"/>
      <c r="H173" s="227"/>
      <c r="I173" s="225"/>
      <c r="J173" s="225"/>
      <c r="K173" s="226"/>
      <c r="L173" s="227"/>
      <c r="M173" s="227"/>
      <c r="N173" s="228"/>
      <c r="O173" s="229"/>
      <c r="P173" s="230"/>
      <c r="Q173" s="231"/>
      <c r="R173" s="231"/>
      <c r="S173" s="231"/>
    </row>
    <row r="174" spans="2:19" ht="14.25" customHeight="1" x14ac:dyDescent="0.25">
      <c r="B174" s="82"/>
      <c r="C174" s="242"/>
      <c r="D174" s="83"/>
      <c r="E174" s="83"/>
      <c r="F174" s="83"/>
      <c r="G174" s="83"/>
      <c r="H174" s="227"/>
      <c r="I174" s="225"/>
      <c r="J174" s="225"/>
      <c r="K174" s="226"/>
      <c r="L174" s="227"/>
      <c r="M174" s="227"/>
      <c r="N174" s="228"/>
      <c r="O174" s="229"/>
      <c r="P174" s="230"/>
      <c r="Q174" s="231"/>
      <c r="R174" s="231"/>
      <c r="S174" s="231"/>
    </row>
    <row r="175" spans="2:19" ht="14.25" customHeight="1" x14ac:dyDescent="0.25">
      <c r="B175" s="82"/>
      <c r="C175" s="242"/>
      <c r="D175" s="83"/>
      <c r="E175" s="83"/>
      <c r="F175" s="83"/>
      <c r="G175" s="83"/>
      <c r="H175" s="227"/>
      <c r="I175" s="225"/>
      <c r="J175" s="225"/>
      <c r="K175" s="226"/>
      <c r="L175" s="227"/>
      <c r="M175" s="227"/>
      <c r="N175" s="228"/>
      <c r="O175" s="229"/>
      <c r="P175" s="230"/>
      <c r="Q175" s="231"/>
      <c r="R175" s="231"/>
      <c r="S175" s="231"/>
    </row>
    <row r="176" spans="2:19" ht="14.25" customHeight="1" x14ac:dyDescent="0.25">
      <c r="B176" s="82"/>
      <c r="C176" s="242"/>
      <c r="D176" s="83"/>
      <c r="E176" s="83"/>
      <c r="F176" s="83"/>
      <c r="G176" s="83"/>
      <c r="H176" s="227"/>
      <c r="I176" s="225"/>
      <c r="J176" s="225"/>
      <c r="K176" s="226"/>
      <c r="L176" s="227"/>
      <c r="M176" s="227"/>
      <c r="N176" s="228"/>
      <c r="O176" s="229"/>
      <c r="P176" s="230"/>
      <c r="Q176" s="231"/>
      <c r="R176" s="231"/>
      <c r="S176" s="231"/>
    </row>
    <row r="177" spans="2:19" ht="14.25" customHeight="1" x14ac:dyDescent="0.25">
      <c r="B177" s="82"/>
      <c r="C177" s="242"/>
      <c r="D177" s="83"/>
      <c r="E177" s="83"/>
      <c r="F177" s="83"/>
      <c r="G177" s="83"/>
      <c r="H177" s="227"/>
      <c r="I177" s="225"/>
      <c r="J177" s="225"/>
      <c r="K177" s="226"/>
      <c r="L177" s="227"/>
      <c r="M177" s="227"/>
      <c r="N177" s="228"/>
      <c r="O177" s="229"/>
      <c r="P177" s="230"/>
      <c r="Q177" s="231"/>
      <c r="R177" s="231"/>
      <c r="S177" s="231"/>
    </row>
    <row r="178" spans="2:19" ht="14.25" customHeight="1" x14ac:dyDescent="0.25">
      <c r="B178" s="82"/>
      <c r="C178" s="242"/>
      <c r="D178" s="83"/>
      <c r="E178" s="83"/>
      <c r="F178" s="83"/>
      <c r="G178" s="83"/>
      <c r="H178" s="227"/>
      <c r="I178" s="225"/>
      <c r="J178" s="225"/>
      <c r="K178" s="226"/>
      <c r="L178" s="227"/>
      <c r="M178" s="227"/>
      <c r="N178" s="228"/>
      <c r="O178" s="229"/>
      <c r="P178" s="230"/>
      <c r="Q178" s="231"/>
      <c r="R178" s="231"/>
      <c r="S178" s="231"/>
    </row>
    <row r="179" spans="2:19" ht="14.25" customHeight="1" x14ac:dyDescent="0.25">
      <c r="B179" s="82"/>
      <c r="C179" s="242"/>
      <c r="D179" s="83"/>
      <c r="E179" s="83"/>
      <c r="F179" s="83"/>
      <c r="G179" s="83"/>
      <c r="H179" s="227"/>
      <c r="I179" s="225"/>
      <c r="J179" s="225"/>
      <c r="K179" s="226"/>
      <c r="L179" s="227"/>
      <c r="M179" s="227"/>
      <c r="N179" s="228"/>
      <c r="O179" s="229"/>
      <c r="P179" s="230"/>
      <c r="Q179" s="231"/>
      <c r="R179" s="231"/>
      <c r="S179" s="231"/>
    </row>
    <row r="180" spans="2:19" ht="14.25" customHeight="1" x14ac:dyDescent="0.25">
      <c r="B180" s="82"/>
      <c r="C180" s="242"/>
      <c r="D180" s="83"/>
      <c r="E180" s="83"/>
      <c r="F180" s="83"/>
      <c r="G180" s="83"/>
      <c r="H180" s="227"/>
      <c r="I180" s="225"/>
      <c r="J180" s="225"/>
      <c r="K180" s="226"/>
      <c r="L180" s="227"/>
      <c r="M180" s="227"/>
      <c r="N180" s="228"/>
      <c r="O180" s="229"/>
      <c r="P180" s="230"/>
      <c r="Q180" s="231"/>
      <c r="R180" s="231"/>
      <c r="S180" s="231"/>
    </row>
    <row r="181" spans="2:19" ht="14.25" customHeight="1" x14ac:dyDescent="0.25">
      <c r="B181" s="82"/>
      <c r="C181" s="242"/>
      <c r="D181" s="83"/>
      <c r="E181" s="83"/>
      <c r="F181" s="83"/>
      <c r="G181" s="83"/>
      <c r="H181" s="227"/>
      <c r="I181" s="225"/>
      <c r="J181" s="225"/>
      <c r="K181" s="226"/>
      <c r="L181" s="227"/>
      <c r="M181" s="227"/>
      <c r="N181" s="228"/>
      <c r="O181" s="229"/>
      <c r="P181" s="230"/>
      <c r="Q181" s="231"/>
      <c r="R181" s="231"/>
      <c r="S181" s="231"/>
    </row>
    <row r="182" spans="2:19" ht="14.25" customHeight="1" x14ac:dyDescent="0.25">
      <c r="B182" s="82"/>
      <c r="C182" s="242"/>
      <c r="D182" s="83"/>
      <c r="E182" s="83"/>
      <c r="F182" s="83"/>
      <c r="G182" s="83"/>
      <c r="H182" s="227"/>
      <c r="I182" s="225"/>
      <c r="J182" s="225"/>
      <c r="K182" s="226"/>
      <c r="L182" s="227"/>
      <c r="M182" s="227"/>
      <c r="N182" s="228"/>
      <c r="O182" s="229"/>
      <c r="P182" s="230"/>
      <c r="Q182" s="231"/>
      <c r="R182" s="231"/>
      <c r="S182" s="231"/>
    </row>
    <row r="183" spans="2:19" ht="14.25" customHeight="1" x14ac:dyDescent="0.25">
      <c r="B183" s="82"/>
      <c r="C183" s="242"/>
      <c r="D183" s="83"/>
      <c r="E183" s="83"/>
      <c r="F183" s="83"/>
      <c r="G183" s="83"/>
      <c r="H183" s="227"/>
      <c r="I183" s="225"/>
      <c r="J183" s="225"/>
      <c r="K183" s="226"/>
      <c r="L183" s="227"/>
      <c r="M183" s="227"/>
      <c r="N183" s="228"/>
      <c r="O183" s="229"/>
      <c r="P183" s="230"/>
      <c r="Q183" s="231"/>
      <c r="R183" s="231"/>
      <c r="S183" s="231"/>
    </row>
    <row r="184" spans="2:19" ht="14.25" customHeight="1" x14ac:dyDescent="0.25">
      <c r="B184" s="82"/>
      <c r="C184" s="242"/>
      <c r="D184" s="83"/>
      <c r="E184" s="83"/>
      <c r="F184" s="83"/>
      <c r="G184" s="83"/>
      <c r="H184" s="227"/>
      <c r="I184" s="225"/>
      <c r="J184" s="225"/>
      <c r="K184" s="226"/>
      <c r="L184" s="227"/>
      <c r="M184" s="227"/>
      <c r="N184" s="228"/>
      <c r="O184" s="229"/>
      <c r="P184" s="230"/>
      <c r="Q184" s="231"/>
      <c r="R184" s="231"/>
      <c r="S184" s="231"/>
    </row>
    <row r="185" spans="2:19" ht="14.25" customHeight="1" x14ac:dyDescent="0.25">
      <c r="B185" s="82"/>
      <c r="C185" s="242"/>
      <c r="D185" s="83"/>
      <c r="E185" s="83"/>
      <c r="F185" s="83"/>
      <c r="G185" s="83"/>
      <c r="H185" s="227"/>
      <c r="I185" s="225"/>
      <c r="J185" s="225"/>
      <c r="K185" s="226"/>
      <c r="L185" s="227"/>
      <c r="M185" s="227"/>
      <c r="N185" s="228"/>
      <c r="O185" s="229"/>
      <c r="P185" s="230"/>
      <c r="Q185" s="231"/>
      <c r="R185" s="231"/>
      <c r="S185" s="231"/>
    </row>
    <row r="186" spans="2:19" ht="14.25" customHeight="1" x14ac:dyDescent="0.25">
      <c r="B186" s="82"/>
      <c r="C186" s="242"/>
      <c r="D186" s="83"/>
      <c r="E186" s="83"/>
      <c r="F186" s="83"/>
      <c r="G186" s="83"/>
      <c r="H186" s="227"/>
      <c r="I186" s="225"/>
      <c r="J186" s="225"/>
      <c r="K186" s="226"/>
      <c r="L186" s="227"/>
      <c r="M186" s="227"/>
      <c r="N186" s="228"/>
      <c r="O186" s="229"/>
      <c r="P186" s="230"/>
      <c r="Q186" s="231"/>
      <c r="R186" s="231"/>
      <c r="S186" s="231"/>
    </row>
    <row r="187" spans="2:19" ht="14.25" customHeight="1" x14ac:dyDescent="0.25">
      <c r="B187" s="82"/>
      <c r="C187" s="242"/>
      <c r="D187" s="83"/>
      <c r="E187" s="83"/>
      <c r="F187" s="83"/>
      <c r="G187" s="83"/>
      <c r="H187" s="227"/>
      <c r="I187" s="225"/>
      <c r="J187" s="225"/>
      <c r="K187" s="226"/>
      <c r="L187" s="227"/>
      <c r="M187" s="227"/>
      <c r="N187" s="228"/>
      <c r="O187" s="229"/>
      <c r="P187" s="230"/>
      <c r="Q187" s="231"/>
      <c r="R187" s="231"/>
      <c r="S187" s="231"/>
    </row>
    <row r="188" spans="2:19" ht="14.25" customHeight="1" x14ac:dyDescent="0.25">
      <c r="B188" s="82"/>
      <c r="C188" s="242"/>
      <c r="D188" s="83"/>
      <c r="E188" s="83"/>
      <c r="F188" s="83"/>
      <c r="G188" s="83"/>
      <c r="H188" s="227"/>
      <c r="I188" s="225"/>
      <c r="J188" s="225"/>
      <c r="K188" s="226"/>
      <c r="L188" s="227"/>
      <c r="M188" s="227"/>
      <c r="N188" s="228"/>
      <c r="O188" s="229"/>
      <c r="P188" s="230"/>
      <c r="Q188" s="231"/>
      <c r="R188" s="231"/>
      <c r="S188" s="231"/>
    </row>
    <row r="189" spans="2:19" ht="14.25" customHeight="1" x14ac:dyDescent="0.25">
      <c r="B189" s="82"/>
      <c r="C189" s="242"/>
      <c r="D189" s="83"/>
      <c r="E189" s="83"/>
      <c r="F189" s="83"/>
      <c r="G189" s="83"/>
      <c r="H189" s="227"/>
      <c r="I189" s="225"/>
      <c r="J189" s="225"/>
      <c r="K189" s="226"/>
      <c r="L189" s="227"/>
      <c r="M189" s="227"/>
      <c r="N189" s="228"/>
      <c r="O189" s="229"/>
      <c r="P189" s="230"/>
      <c r="Q189" s="231"/>
      <c r="R189" s="231"/>
      <c r="S189" s="231"/>
    </row>
    <row r="190" spans="2:19" ht="14.25" customHeight="1" x14ac:dyDescent="0.25">
      <c r="B190" s="82"/>
      <c r="C190" s="242"/>
      <c r="D190" s="83"/>
      <c r="E190" s="83"/>
      <c r="F190" s="83"/>
      <c r="G190" s="83"/>
      <c r="H190" s="227"/>
      <c r="I190" s="225"/>
      <c r="J190" s="225"/>
      <c r="K190" s="226"/>
      <c r="L190" s="227"/>
      <c r="M190" s="227"/>
      <c r="N190" s="228"/>
      <c r="O190" s="229"/>
      <c r="P190" s="230"/>
      <c r="Q190" s="231"/>
      <c r="R190" s="231"/>
      <c r="S190" s="231"/>
    </row>
    <row r="191" spans="2:19" ht="14.25" customHeight="1" x14ac:dyDescent="0.25">
      <c r="B191" s="82"/>
      <c r="C191" s="242"/>
      <c r="D191" s="83"/>
      <c r="E191" s="83"/>
      <c r="F191" s="83"/>
      <c r="G191" s="83"/>
      <c r="H191" s="227"/>
      <c r="I191" s="225"/>
      <c r="J191" s="225"/>
      <c r="K191" s="226"/>
      <c r="L191" s="227"/>
      <c r="M191" s="227"/>
      <c r="N191" s="228"/>
      <c r="O191" s="229"/>
      <c r="P191" s="230"/>
      <c r="Q191" s="231"/>
      <c r="R191" s="231"/>
      <c r="S191" s="231"/>
    </row>
    <row r="192" spans="2:19" ht="14.25" customHeight="1" x14ac:dyDescent="0.25">
      <c r="B192" s="82"/>
      <c r="C192" s="242"/>
      <c r="D192" s="83"/>
      <c r="E192" s="83"/>
      <c r="F192" s="83"/>
      <c r="G192" s="83"/>
      <c r="H192" s="227"/>
      <c r="I192" s="225"/>
      <c r="J192" s="225"/>
      <c r="K192" s="226"/>
      <c r="L192" s="227"/>
      <c r="M192" s="227"/>
      <c r="N192" s="228"/>
      <c r="O192" s="229"/>
      <c r="P192" s="230"/>
      <c r="Q192" s="231"/>
      <c r="R192" s="231"/>
      <c r="S192" s="231"/>
    </row>
    <row r="193" spans="2:19" ht="14.25" customHeight="1" x14ac:dyDescent="0.25">
      <c r="B193" s="82"/>
      <c r="C193" s="242"/>
      <c r="D193" s="83"/>
      <c r="E193" s="83"/>
      <c r="F193" s="83"/>
      <c r="G193" s="83"/>
      <c r="H193" s="227"/>
      <c r="I193" s="225"/>
      <c r="J193" s="225"/>
      <c r="K193" s="226"/>
      <c r="L193" s="227"/>
      <c r="M193" s="227"/>
      <c r="N193" s="228"/>
      <c r="O193" s="229"/>
      <c r="P193" s="230"/>
      <c r="Q193" s="231"/>
      <c r="R193" s="231"/>
      <c r="S193" s="231"/>
    </row>
    <row r="194" spans="2:19" ht="14.25" customHeight="1" x14ac:dyDescent="0.25">
      <c r="B194" s="82"/>
      <c r="C194" s="242"/>
      <c r="D194" s="83"/>
      <c r="E194" s="83"/>
      <c r="F194" s="83"/>
      <c r="G194" s="83"/>
      <c r="H194" s="227"/>
      <c r="I194" s="225"/>
      <c r="J194" s="225"/>
      <c r="K194" s="226"/>
      <c r="L194" s="227"/>
      <c r="M194" s="227"/>
      <c r="N194" s="228"/>
      <c r="O194" s="229"/>
      <c r="P194" s="230"/>
      <c r="Q194" s="231"/>
      <c r="R194" s="231"/>
      <c r="S194" s="231"/>
    </row>
    <row r="195" spans="2:19" ht="14.25" customHeight="1" x14ac:dyDescent="0.25">
      <c r="B195" s="82"/>
      <c r="C195" s="242"/>
      <c r="D195" s="83"/>
      <c r="E195" s="83"/>
      <c r="F195" s="83"/>
      <c r="G195" s="83"/>
      <c r="H195" s="227"/>
      <c r="I195" s="225"/>
      <c r="J195" s="225"/>
      <c r="K195" s="226"/>
      <c r="L195" s="227"/>
      <c r="M195" s="227"/>
      <c r="N195" s="228"/>
      <c r="O195" s="229"/>
      <c r="P195" s="230"/>
      <c r="Q195" s="231"/>
      <c r="R195" s="231"/>
      <c r="S195" s="231"/>
    </row>
    <row r="196" spans="2:19" ht="14.25" customHeight="1" x14ac:dyDescent="0.25">
      <c r="B196" s="82"/>
      <c r="C196" s="242"/>
      <c r="D196" s="83"/>
      <c r="E196" s="83"/>
      <c r="F196" s="83"/>
      <c r="G196" s="83"/>
      <c r="H196" s="227"/>
      <c r="I196" s="225"/>
      <c r="J196" s="225"/>
      <c r="K196" s="226"/>
      <c r="L196" s="227"/>
      <c r="M196" s="227"/>
      <c r="N196" s="228"/>
      <c r="O196" s="229"/>
      <c r="P196" s="230"/>
      <c r="Q196" s="231"/>
      <c r="R196" s="231"/>
      <c r="S196" s="231"/>
    </row>
    <row r="197" spans="2:19" ht="14.25" customHeight="1" x14ac:dyDescent="0.25">
      <c r="B197" s="82"/>
      <c r="C197" s="242"/>
      <c r="D197" s="83"/>
      <c r="E197" s="83"/>
      <c r="F197" s="83"/>
      <c r="G197" s="83"/>
      <c r="H197" s="227"/>
      <c r="I197" s="225"/>
      <c r="J197" s="225"/>
      <c r="K197" s="226"/>
      <c r="L197" s="227"/>
      <c r="M197" s="227"/>
      <c r="N197" s="228"/>
      <c r="O197" s="229"/>
      <c r="P197" s="230"/>
      <c r="Q197" s="231"/>
      <c r="R197" s="231"/>
      <c r="S197" s="231"/>
    </row>
    <row r="198" spans="2:19" ht="14.25" customHeight="1" x14ac:dyDescent="0.25">
      <c r="B198" s="82"/>
      <c r="C198" s="242"/>
      <c r="D198" s="83"/>
      <c r="E198" s="83"/>
      <c r="F198" s="83"/>
      <c r="G198" s="83"/>
      <c r="H198" s="227"/>
      <c r="I198" s="225"/>
      <c r="J198" s="225"/>
      <c r="K198" s="226"/>
      <c r="L198" s="227"/>
      <c r="M198" s="227"/>
      <c r="N198" s="228"/>
      <c r="O198" s="229"/>
      <c r="P198" s="230"/>
      <c r="Q198" s="231"/>
      <c r="R198" s="231"/>
      <c r="S198" s="231"/>
    </row>
    <row r="199" spans="2:19" ht="14.25" customHeight="1" x14ac:dyDescent="0.25">
      <c r="B199" s="82"/>
      <c r="C199" s="242"/>
      <c r="D199" s="83"/>
      <c r="E199" s="83"/>
      <c r="F199" s="83"/>
      <c r="G199" s="83"/>
      <c r="H199" s="227"/>
      <c r="I199" s="225"/>
      <c r="J199" s="225"/>
      <c r="K199" s="226"/>
      <c r="L199" s="227"/>
      <c r="M199" s="227"/>
      <c r="N199" s="228"/>
      <c r="O199" s="229"/>
      <c r="P199" s="230"/>
      <c r="Q199" s="231"/>
      <c r="R199" s="231"/>
      <c r="S199" s="231"/>
    </row>
    <row r="200" spans="2:19" ht="14.25" customHeight="1" x14ac:dyDescent="0.25">
      <c r="B200" s="82"/>
      <c r="C200" s="242"/>
      <c r="D200" s="83"/>
      <c r="E200" s="83"/>
      <c r="F200" s="83"/>
      <c r="G200" s="83"/>
      <c r="H200" s="227"/>
      <c r="I200" s="225"/>
      <c r="J200" s="225"/>
      <c r="K200" s="226"/>
      <c r="L200" s="227"/>
      <c r="M200" s="227"/>
      <c r="N200" s="228"/>
      <c r="O200" s="229"/>
      <c r="P200" s="230"/>
      <c r="Q200" s="231"/>
      <c r="R200" s="231"/>
      <c r="S200" s="231"/>
    </row>
    <row r="201" spans="2:19" ht="14.25" customHeight="1" x14ac:dyDescent="0.25">
      <c r="B201" s="82"/>
      <c r="C201" s="242"/>
      <c r="D201" s="83"/>
      <c r="E201" s="83"/>
      <c r="F201" s="83"/>
      <c r="G201" s="83"/>
      <c r="H201" s="227"/>
      <c r="I201" s="225"/>
      <c r="J201" s="225"/>
      <c r="K201" s="226"/>
      <c r="L201" s="227"/>
      <c r="M201" s="227"/>
      <c r="N201" s="228"/>
      <c r="O201" s="229"/>
      <c r="P201" s="230"/>
      <c r="Q201" s="231"/>
      <c r="R201" s="231"/>
      <c r="S201" s="231"/>
    </row>
    <row r="202" spans="2:19" ht="14.25" customHeight="1" x14ac:dyDescent="0.25">
      <c r="B202" s="82"/>
      <c r="C202" s="242"/>
      <c r="D202" s="83"/>
      <c r="E202" s="83"/>
      <c r="F202" s="83"/>
      <c r="G202" s="83"/>
      <c r="H202" s="227"/>
      <c r="I202" s="225"/>
      <c r="J202" s="225"/>
      <c r="K202" s="226"/>
      <c r="L202" s="227"/>
      <c r="M202" s="227"/>
      <c r="N202" s="228"/>
      <c r="O202" s="229"/>
      <c r="P202" s="230"/>
      <c r="Q202" s="231"/>
      <c r="R202" s="231"/>
      <c r="S202" s="231"/>
    </row>
    <row r="203" spans="2:19" ht="14.25" customHeight="1" x14ac:dyDescent="0.25">
      <c r="B203" s="82"/>
      <c r="C203" s="242"/>
      <c r="D203" s="83"/>
      <c r="E203" s="83"/>
      <c r="F203" s="83"/>
      <c r="G203" s="83"/>
      <c r="H203" s="227"/>
      <c r="I203" s="225"/>
      <c r="J203" s="225"/>
      <c r="K203" s="226"/>
      <c r="L203" s="227"/>
      <c r="M203" s="227"/>
      <c r="N203" s="228"/>
      <c r="O203" s="229"/>
      <c r="P203" s="230"/>
      <c r="Q203" s="231"/>
      <c r="R203" s="231"/>
      <c r="S203" s="231"/>
    </row>
    <row r="204" spans="2:19" ht="14.25" customHeight="1" x14ac:dyDescent="0.25">
      <c r="B204" s="82"/>
      <c r="C204" s="242"/>
      <c r="D204" s="83"/>
      <c r="E204" s="83"/>
      <c r="F204" s="83"/>
      <c r="G204" s="83"/>
      <c r="H204" s="227"/>
      <c r="I204" s="225"/>
      <c r="J204" s="225"/>
      <c r="K204" s="226"/>
      <c r="L204" s="227"/>
      <c r="M204" s="227"/>
      <c r="N204" s="228"/>
      <c r="O204" s="229"/>
      <c r="P204" s="230"/>
      <c r="Q204" s="231"/>
      <c r="R204" s="231"/>
      <c r="S204" s="231"/>
    </row>
    <row r="205" spans="2:19" ht="14.25" customHeight="1" x14ac:dyDescent="0.25">
      <c r="B205" s="82"/>
      <c r="C205" s="242"/>
      <c r="D205" s="83"/>
      <c r="E205" s="83"/>
      <c r="F205" s="83"/>
      <c r="G205" s="83"/>
      <c r="H205" s="227"/>
      <c r="I205" s="225"/>
      <c r="J205" s="225"/>
      <c r="K205" s="226"/>
      <c r="L205" s="227"/>
      <c r="M205" s="227"/>
      <c r="N205" s="228"/>
      <c r="O205" s="229"/>
      <c r="P205" s="230"/>
      <c r="Q205" s="231"/>
      <c r="R205" s="231"/>
      <c r="S205" s="231"/>
    </row>
    <row r="206" spans="2:19" ht="14.25" customHeight="1" x14ac:dyDescent="0.25">
      <c r="B206" s="82"/>
      <c r="C206" s="242"/>
      <c r="D206" s="83"/>
      <c r="E206" s="83"/>
      <c r="F206" s="83"/>
      <c r="G206" s="83"/>
      <c r="H206" s="227"/>
      <c r="I206" s="225"/>
      <c r="J206" s="225"/>
      <c r="K206" s="226"/>
      <c r="L206" s="227"/>
      <c r="M206" s="227"/>
      <c r="N206" s="228"/>
      <c r="O206" s="229"/>
      <c r="P206" s="230"/>
      <c r="Q206" s="231"/>
      <c r="R206" s="231"/>
      <c r="S206" s="231"/>
    </row>
    <row r="207" spans="2:19" ht="14.25" customHeight="1" x14ac:dyDescent="0.25">
      <c r="B207" s="82"/>
      <c r="C207" s="242"/>
      <c r="D207" s="83"/>
      <c r="E207" s="83"/>
      <c r="F207" s="83"/>
      <c r="G207" s="83"/>
      <c r="H207" s="227"/>
      <c r="I207" s="225"/>
      <c r="J207" s="225"/>
      <c r="K207" s="226"/>
      <c r="L207" s="227"/>
      <c r="M207" s="227"/>
      <c r="N207" s="228"/>
      <c r="O207" s="229"/>
      <c r="P207" s="230"/>
      <c r="Q207" s="231"/>
      <c r="R207" s="231"/>
      <c r="S207" s="231"/>
    </row>
    <row r="208" spans="2:19" ht="14.25" customHeight="1" x14ac:dyDescent="0.25">
      <c r="B208" s="82"/>
      <c r="C208" s="242"/>
      <c r="D208" s="83"/>
      <c r="E208" s="83"/>
      <c r="F208" s="83"/>
      <c r="G208" s="83"/>
      <c r="H208" s="227"/>
      <c r="I208" s="225"/>
      <c r="J208" s="225"/>
      <c r="K208" s="226"/>
      <c r="L208" s="227"/>
      <c r="M208" s="227"/>
      <c r="N208" s="228"/>
      <c r="O208" s="229"/>
      <c r="P208" s="230"/>
      <c r="Q208" s="231"/>
      <c r="R208" s="231"/>
      <c r="S208" s="231"/>
    </row>
    <row r="209" spans="2:19" ht="14.25" customHeight="1" x14ac:dyDescent="0.25">
      <c r="B209" s="82"/>
      <c r="C209" s="242"/>
      <c r="D209" s="83"/>
      <c r="E209" s="83"/>
      <c r="F209" s="83"/>
      <c r="G209" s="83"/>
      <c r="H209" s="227"/>
      <c r="I209" s="225"/>
      <c r="J209" s="225"/>
      <c r="K209" s="226"/>
      <c r="L209" s="227"/>
      <c r="M209" s="227"/>
      <c r="N209" s="228"/>
      <c r="O209" s="229"/>
      <c r="P209" s="230"/>
      <c r="Q209" s="231"/>
      <c r="R209" s="231"/>
      <c r="S209" s="231"/>
    </row>
    <row r="210" spans="2:19" ht="14.25" customHeight="1" x14ac:dyDescent="0.25">
      <c r="B210" s="82"/>
      <c r="C210" s="242"/>
      <c r="D210" s="83"/>
      <c r="E210" s="83"/>
      <c r="F210" s="83"/>
      <c r="G210" s="83"/>
      <c r="H210" s="227"/>
      <c r="I210" s="225"/>
      <c r="J210" s="225"/>
      <c r="K210" s="226"/>
      <c r="L210" s="227"/>
      <c r="M210" s="227"/>
      <c r="N210" s="228"/>
      <c r="O210" s="229"/>
      <c r="P210" s="230"/>
      <c r="Q210" s="231"/>
      <c r="R210" s="231"/>
      <c r="S210" s="231"/>
    </row>
    <row r="211" spans="2:19" ht="14.25" customHeight="1" x14ac:dyDescent="0.25">
      <c r="B211" s="82"/>
      <c r="C211" s="242"/>
      <c r="D211" s="83"/>
      <c r="E211" s="83"/>
      <c r="F211" s="83"/>
      <c r="G211" s="83"/>
      <c r="H211" s="227"/>
      <c r="I211" s="225"/>
      <c r="J211" s="225"/>
      <c r="K211" s="226"/>
      <c r="L211" s="227"/>
      <c r="M211" s="227"/>
      <c r="N211" s="228"/>
      <c r="O211" s="229"/>
      <c r="P211" s="230"/>
      <c r="Q211" s="231"/>
      <c r="R211" s="231"/>
      <c r="S211" s="231"/>
    </row>
    <row r="212" spans="2:19" ht="14.25" customHeight="1" x14ac:dyDescent="0.25">
      <c r="B212" s="82"/>
      <c r="C212" s="242"/>
      <c r="D212" s="83"/>
      <c r="E212" s="83"/>
      <c r="F212" s="83"/>
      <c r="G212" s="83"/>
      <c r="H212" s="227"/>
      <c r="I212" s="225"/>
      <c r="J212" s="225"/>
      <c r="K212" s="226"/>
      <c r="L212" s="227"/>
      <c r="M212" s="227"/>
      <c r="N212" s="228"/>
      <c r="O212" s="229"/>
      <c r="P212" s="230"/>
      <c r="Q212" s="231"/>
      <c r="R212" s="231"/>
      <c r="S212" s="231"/>
    </row>
    <row r="213" spans="2:19" ht="14.25" customHeight="1" x14ac:dyDescent="0.25">
      <c r="B213" s="82"/>
      <c r="C213" s="242"/>
      <c r="D213" s="83"/>
      <c r="E213" s="83"/>
      <c r="F213" s="83"/>
      <c r="G213" s="83"/>
      <c r="H213" s="227"/>
      <c r="I213" s="225"/>
      <c r="J213" s="225"/>
      <c r="K213" s="226"/>
      <c r="L213" s="227"/>
      <c r="M213" s="227"/>
      <c r="N213" s="228"/>
      <c r="O213" s="229"/>
      <c r="P213" s="230"/>
      <c r="Q213" s="231"/>
      <c r="R213" s="231"/>
      <c r="S213" s="231"/>
    </row>
    <row r="214" spans="2:19" ht="14.25" customHeight="1" x14ac:dyDescent="0.25">
      <c r="B214" s="82"/>
      <c r="C214" s="242"/>
      <c r="D214" s="83"/>
      <c r="E214" s="83"/>
      <c r="F214" s="83"/>
      <c r="G214" s="83"/>
      <c r="H214" s="227"/>
      <c r="I214" s="225"/>
      <c r="J214" s="225"/>
      <c r="K214" s="226"/>
      <c r="L214" s="227"/>
      <c r="M214" s="227"/>
      <c r="N214" s="228"/>
      <c r="O214" s="229"/>
      <c r="P214" s="230"/>
      <c r="Q214" s="231"/>
      <c r="R214" s="231"/>
      <c r="S214" s="231"/>
    </row>
    <row r="215" spans="2:19" ht="14.25" customHeight="1" x14ac:dyDescent="0.25">
      <c r="B215" s="82"/>
      <c r="C215" s="242"/>
      <c r="D215" s="83"/>
      <c r="E215" s="83"/>
      <c r="F215" s="83"/>
      <c r="G215" s="83"/>
      <c r="H215" s="227"/>
      <c r="I215" s="225"/>
      <c r="J215" s="225"/>
      <c r="K215" s="226"/>
      <c r="L215" s="227"/>
      <c r="M215" s="227"/>
      <c r="N215" s="228"/>
      <c r="O215" s="229"/>
      <c r="P215" s="230"/>
      <c r="Q215" s="231"/>
      <c r="R215" s="231"/>
      <c r="S215" s="231"/>
    </row>
    <row r="216" spans="2:19" ht="14.25" customHeight="1" x14ac:dyDescent="0.25">
      <c r="B216" s="82"/>
      <c r="C216" s="242"/>
      <c r="D216" s="83"/>
      <c r="E216" s="83"/>
      <c r="F216" s="83"/>
      <c r="G216" s="83"/>
      <c r="H216" s="227"/>
      <c r="I216" s="225"/>
      <c r="J216" s="225"/>
      <c r="K216" s="226"/>
      <c r="L216" s="227"/>
      <c r="M216" s="227"/>
      <c r="N216" s="228"/>
      <c r="O216" s="229"/>
      <c r="P216" s="230"/>
      <c r="Q216" s="231"/>
      <c r="R216" s="231"/>
      <c r="S216" s="231"/>
    </row>
    <row r="217" spans="2:19" ht="14.25" customHeight="1" x14ac:dyDescent="0.25">
      <c r="B217" s="82"/>
      <c r="C217" s="242"/>
      <c r="D217" s="83"/>
      <c r="E217" s="83"/>
      <c r="F217" s="83"/>
      <c r="G217" s="83"/>
      <c r="H217" s="227"/>
      <c r="I217" s="225"/>
      <c r="J217" s="225"/>
      <c r="K217" s="226"/>
      <c r="L217" s="227"/>
      <c r="M217" s="227"/>
      <c r="N217" s="228"/>
      <c r="O217" s="229"/>
      <c r="P217" s="230"/>
      <c r="Q217" s="231"/>
      <c r="R217" s="231"/>
      <c r="S217" s="231"/>
    </row>
    <row r="218" spans="2:19" ht="14.25" customHeight="1" x14ac:dyDescent="0.25">
      <c r="B218" s="82"/>
      <c r="C218" s="242"/>
      <c r="D218" s="83"/>
      <c r="E218" s="83"/>
      <c r="F218" s="83"/>
      <c r="G218" s="83"/>
      <c r="H218" s="227"/>
      <c r="I218" s="225"/>
      <c r="J218" s="225"/>
      <c r="K218" s="226"/>
      <c r="L218" s="227"/>
      <c r="M218" s="227"/>
      <c r="N218" s="228"/>
      <c r="O218" s="229"/>
      <c r="P218" s="230"/>
      <c r="Q218" s="231"/>
      <c r="R218" s="231"/>
      <c r="S218" s="231"/>
    </row>
    <row r="219" spans="2:19" ht="14.25" customHeight="1" x14ac:dyDescent="0.25">
      <c r="B219" s="82"/>
      <c r="C219" s="242"/>
      <c r="D219" s="83"/>
      <c r="E219" s="83"/>
      <c r="F219" s="83"/>
      <c r="G219" s="83"/>
      <c r="H219" s="227"/>
      <c r="I219" s="225"/>
      <c r="J219" s="225"/>
      <c r="K219" s="226"/>
      <c r="L219" s="227"/>
      <c r="M219" s="227"/>
      <c r="N219" s="228"/>
      <c r="O219" s="229"/>
      <c r="P219" s="230"/>
      <c r="Q219" s="231"/>
      <c r="R219" s="231"/>
      <c r="S219" s="231"/>
    </row>
    <row r="220" spans="2:19" ht="14.25" customHeight="1" x14ac:dyDescent="0.25">
      <c r="B220" s="82"/>
      <c r="C220" s="242"/>
      <c r="D220" s="83"/>
      <c r="E220" s="83"/>
      <c r="F220" s="83"/>
      <c r="G220" s="83"/>
      <c r="H220" s="227"/>
      <c r="I220" s="225"/>
      <c r="J220" s="225"/>
      <c r="K220" s="226"/>
      <c r="L220" s="227"/>
      <c r="M220" s="227"/>
      <c r="N220" s="228"/>
      <c r="O220" s="229"/>
      <c r="P220" s="230"/>
      <c r="Q220" s="231"/>
      <c r="R220" s="231"/>
      <c r="S220" s="231"/>
    </row>
    <row r="221" spans="2:19" ht="14.25" customHeight="1" x14ac:dyDescent="0.25">
      <c r="B221" s="82"/>
      <c r="C221" s="242"/>
      <c r="D221" s="83"/>
      <c r="E221" s="83"/>
      <c r="F221" s="83"/>
      <c r="G221" s="83"/>
      <c r="H221" s="227"/>
      <c r="I221" s="225"/>
      <c r="J221" s="225"/>
      <c r="K221" s="226"/>
      <c r="L221" s="227"/>
      <c r="M221" s="227"/>
      <c r="N221" s="228"/>
      <c r="O221" s="229"/>
      <c r="P221" s="230"/>
      <c r="Q221" s="231"/>
      <c r="R221" s="231"/>
      <c r="S221" s="231"/>
    </row>
    <row r="222" spans="2:19" ht="14.25" customHeight="1" x14ac:dyDescent="0.25">
      <c r="B222" s="82"/>
      <c r="C222" s="242"/>
      <c r="D222" s="83"/>
      <c r="E222" s="83"/>
      <c r="F222" s="83"/>
      <c r="G222" s="83"/>
      <c r="H222" s="227"/>
      <c r="I222" s="225"/>
      <c r="J222" s="225"/>
      <c r="K222" s="226"/>
      <c r="L222" s="227"/>
      <c r="M222" s="227"/>
      <c r="N222" s="228"/>
      <c r="O222" s="229"/>
      <c r="P222" s="230"/>
      <c r="Q222" s="231"/>
      <c r="R222" s="231"/>
      <c r="S222" s="231"/>
    </row>
    <row r="223" spans="2:19" ht="14.25" customHeight="1" x14ac:dyDescent="0.25">
      <c r="B223" s="82"/>
      <c r="C223" s="242"/>
      <c r="D223" s="83"/>
      <c r="E223" s="83"/>
      <c r="F223" s="83"/>
      <c r="G223" s="83"/>
      <c r="H223" s="227"/>
      <c r="I223" s="225"/>
      <c r="J223" s="225"/>
      <c r="K223" s="226"/>
      <c r="L223" s="227"/>
      <c r="M223" s="227"/>
      <c r="N223" s="228"/>
      <c r="O223" s="229"/>
      <c r="P223" s="230"/>
      <c r="Q223" s="231"/>
      <c r="R223" s="231"/>
      <c r="S223" s="231"/>
    </row>
    <row r="224" spans="2:19" ht="14.25" customHeight="1" x14ac:dyDescent="0.25">
      <c r="B224" s="82"/>
      <c r="C224" s="242"/>
      <c r="D224" s="83"/>
      <c r="E224" s="83"/>
      <c r="F224" s="83"/>
      <c r="G224" s="83"/>
      <c r="H224" s="227"/>
      <c r="I224" s="225"/>
      <c r="J224" s="225"/>
      <c r="K224" s="226"/>
      <c r="L224" s="227"/>
      <c r="M224" s="227"/>
      <c r="N224" s="228"/>
      <c r="O224" s="229"/>
      <c r="P224" s="230"/>
      <c r="Q224" s="231"/>
      <c r="R224" s="231"/>
      <c r="S224" s="231"/>
    </row>
    <row r="225" spans="2:19" ht="14.25" customHeight="1" x14ac:dyDescent="0.25">
      <c r="B225" s="82"/>
      <c r="C225" s="242"/>
      <c r="D225" s="83"/>
      <c r="E225" s="83"/>
      <c r="F225" s="83"/>
      <c r="G225" s="83"/>
      <c r="H225" s="227"/>
      <c r="I225" s="225"/>
      <c r="J225" s="225"/>
      <c r="K225" s="226"/>
      <c r="L225" s="227"/>
      <c r="M225" s="227"/>
      <c r="N225" s="228"/>
      <c r="O225" s="229"/>
      <c r="P225" s="230"/>
      <c r="Q225" s="231"/>
      <c r="R225" s="231"/>
      <c r="S225" s="231"/>
    </row>
    <row r="226" spans="2:19" ht="14.25" customHeight="1" x14ac:dyDescent="0.25">
      <c r="B226" s="82"/>
      <c r="C226" s="242"/>
      <c r="D226" s="83"/>
      <c r="E226" s="83"/>
      <c r="F226" s="83"/>
      <c r="G226" s="83"/>
      <c r="H226" s="227"/>
      <c r="I226" s="225"/>
      <c r="J226" s="225"/>
      <c r="K226" s="226"/>
      <c r="L226" s="227"/>
      <c r="M226" s="227"/>
      <c r="N226" s="228"/>
      <c r="O226" s="229"/>
      <c r="P226" s="230"/>
      <c r="Q226" s="231"/>
      <c r="R226" s="231"/>
      <c r="S226" s="231"/>
    </row>
    <row r="227" spans="2:19" ht="14.25" customHeight="1" x14ac:dyDescent="0.25">
      <c r="B227" s="82"/>
      <c r="C227" s="242"/>
      <c r="D227" s="83"/>
      <c r="E227" s="83"/>
      <c r="F227" s="83"/>
      <c r="G227" s="83"/>
      <c r="H227" s="227"/>
      <c r="I227" s="225"/>
      <c r="J227" s="225"/>
      <c r="K227" s="226"/>
      <c r="L227" s="227"/>
      <c r="M227" s="227"/>
      <c r="N227" s="228"/>
      <c r="O227" s="229"/>
      <c r="P227" s="230"/>
      <c r="Q227" s="231"/>
      <c r="R227" s="231"/>
      <c r="S227" s="231"/>
    </row>
    <row r="228" spans="2:19" ht="14.25" customHeight="1" x14ac:dyDescent="0.25">
      <c r="B228" s="82"/>
      <c r="C228" s="242"/>
      <c r="D228" s="83"/>
      <c r="E228" s="83"/>
      <c r="F228" s="83"/>
      <c r="G228" s="83"/>
      <c r="H228" s="227"/>
      <c r="I228" s="225"/>
      <c r="J228" s="225"/>
      <c r="K228" s="226"/>
      <c r="L228" s="227"/>
      <c r="M228" s="227"/>
      <c r="N228" s="228"/>
      <c r="O228" s="229"/>
      <c r="P228" s="230"/>
      <c r="Q228" s="231"/>
      <c r="R228" s="231"/>
      <c r="S228" s="231"/>
    </row>
    <row r="229" spans="2:19" ht="14.25" customHeight="1" x14ac:dyDescent="0.25">
      <c r="B229" s="82"/>
      <c r="C229" s="242"/>
      <c r="D229" s="83"/>
      <c r="E229" s="83"/>
      <c r="F229" s="83"/>
      <c r="G229" s="83"/>
      <c r="H229" s="227"/>
      <c r="I229" s="225"/>
      <c r="J229" s="225"/>
      <c r="K229" s="226"/>
      <c r="L229" s="227"/>
      <c r="M229" s="227"/>
      <c r="N229" s="228"/>
      <c r="O229" s="229"/>
      <c r="P229" s="230"/>
      <c r="Q229" s="231"/>
      <c r="R229" s="231"/>
      <c r="S229" s="231"/>
    </row>
    <row r="230" spans="2:19" ht="14.25" customHeight="1" x14ac:dyDescent="0.25">
      <c r="B230" s="82"/>
      <c r="C230" s="242"/>
      <c r="D230" s="83"/>
      <c r="E230" s="83"/>
      <c r="F230" s="83"/>
      <c r="G230" s="83"/>
      <c r="H230" s="227"/>
      <c r="I230" s="225"/>
      <c r="J230" s="225"/>
      <c r="K230" s="226"/>
      <c r="L230" s="227"/>
      <c r="M230" s="227"/>
      <c r="N230" s="228"/>
      <c r="O230" s="229"/>
      <c r="P230" s="230"/>
      <c r="Q230" s="231"/>
      <c r="R230" s="231"/>
      <c r="S230" s="231"/>
    </row>
    <row r="231" spans="2:19" ht="14.25" customHeight="1" x14ac:dyDescent="0.25">
      <c r="B231" s="82"/>
      <c r="C231" s="242"/>
      <c r="D231" s="83"/>
      <c r="E231" s="83"/>
      <c r="F231" s="83"/>
      <c r="G231" s="83"/>
      <c r="H231" s="227"/>
      <c r="I231" s="225"/>
      <c r="J231" s="225"/>
      <c r="K231" s="226"/>
      <c r="L231" s="227"/>
      <c r="M231" s="227"/>
      <c r="N231" s="228"/>
      <c r="O231" s="229"/>
      <c r="P231" s="230"/>
      <c r="Q231" s="231"/>
      <c r="R231" s="231"/>
      <c r="S231" s="231"/>
    </row>
    <row r="232" spans="2:19" ht="14.25" customHeight="1" x14ac:dyDescent="0.25">
      <c r="B232" s="82"/>
      <c r="C232" s="242"/>
      <c r="D232" s="83"/>
      <c r="E232" s="83"/>
      <c r="F232" s="83"/>
      <c r="G232" s="83"/>
      <c r="H232" s="227"/>
      <c r="I232" s="225"/>
      <c r="J232" s="225"/>
      <c r="K232" s="226"/>
      <c r="L232" s="227"/>
      <c r="M232" s="227"/>
      <c r="N232" s="228"/>
      <c r="O232" s="229"/>
      <c r="P232" s="230"/>
      <c r="Q232" s="231"/>
      <c r="R232" s="231"/>
      <c r="S232" s="231"/>
    </row>
    <row r="233" spans="2:19" ht="14.25" customHeight="1" x14ac:dyDescent="0.25">
      <c r="B233" s="82"/>
      <c r="C233" s="242"/>
      <c r="D233" s="83"/>
      <c r="E233" s="83"/>
      <c r="F233" s="83"/>
      <c r="G233" s="83"/>
      <c r="H233" s="227"/>
      <c r="I233" s="225"/>
      <c r="J233" s="225"/>
      <c r="K233" s="226"/>
      <c r="L233" s="227"/>
      <c r="M233" s="227"/>
      <c r="N233" s="228"/>
      <c r="O233" s="229"/>
      <c r="P233" s="230"/>
      <c r="Q233" s="231"/>
      <c r="R233" s="231"/>
      <c r="S233" s="231"/>
    </row>
    <row r="234" spans="2:19" ht="14.25" customHeight="1" x14ac:dyDescent="0.25">
      <c r="B234" s="82"/>
      <c r="C234" s="242"/>
      <c r="D234" s="83"/>
      <c r="E234" s="83"/>
      <c r="F234" s="83"/>
      <c r="G234" s="83"/>
      <c r="H234" s="227"/>
      <c r="I234" s="225"/>
      <c r="J234" s="225"/>
      <c r="K234" s="226"/>
      <c r="L234" s="227"/>
      <c r="M234" s="227"/>
      <c r="N234" s="228"/>
      <c r="O234" s="229"/>
      <c r="P234" s="230"/>
      <c r="Q234" s="231"/>
      <c r="R234" s="231"/>
      <c r="S234" s="231"/>
    </row>
    <row r="235" spans="2:19" ht="14.25" customHeight="1" x14ac:dyDescent="0.25">
      <c r="B235" s="82"/>
      <c r="C235" s="242"/>
      <c r="D235" s="83"/>
      <c r="E235" s="83"/>
      <c r="F235" s="83"/>
      <c r="G235" s="83"/>
      <c r="H235" s="227"/>
      <c r="I235" s="225"/>
      <c r="J235" s="225"/>
      <c r="K235" s="226"/>
      <c r="L235" s="227"/>
      <c r="M235" s="227"/>
      <c r="N235" s="228"/>
      <c r="O235" s="229"/>
      <c r="P235" s="230"/>
      <c r="Q235" s="231"/>
      <c r="R235" s="231"/>
      <c r="S235" s="231"/>
    </row>
    <row r="236" spans="2:19" ht="14.25" customHeight="1" x14ac:dyDescent="0.25">
      <c r="B236" s="82"/>
      <c r="C236" s="242"/>
      <c r="D236" s="83"/>
      <c r="E236" s="83"/>
      <c r="F236" s="83"/>
      <c r="G236" s="83"/>
      <c r="H236" s="227"/>
      <c r="I236" s="225"/>
      <c r="J236" s="225"/>
      <c r="K236" s="226"/>
      <c r="L236" s="227"/>
      <c r="M236" s="227"/>
      <c r="N236" s="228"/>
      <c r="O236" s="229"/>
      <c r="P236" s="230"/>
      <c r="Q236" s="231"/>
      <c r="R236" s="231"/>
      <c r="S236" s="231"/>
    </row>
    <row r="237" spans="2:19" ht="14.25" customHeight="1" x14ac:dyDescent="0.25">
      <c r="B237" s="82"/>
      <c r="C237" s="242"/>
      <c r="D237" s="83"/>
      <c r="E237" s="83"/>
      <c r="F237" s="83"/>
      <c r="G237" s="83"/>
      <c r="H237" s="227"/>
      <c r="I237" s="225"/>
      <c r="J237" s="225"/>
      <c r="K237" s="226"/>
      <c r="L237" s="227"/>
      <c r="M237" s="227"/>
      <c r="N237" s="228"/>
      <c r="O237" s="229"/>
      <c r="P237" s="230"/>
      <c r="Q237" s="231"/>
      <c r="R237" s="231"/>
      <c r="S237" s="231"/>
    </row>
    <row r="238" spans="2:19" ht="14.25" customHeight="1" x14ac:dyDescent="0.25">
      <c r="B238" s="82"/>
      <c r="C238" s="242"/>
      <c r="D238" s="83"/>
      <c r="E238" s="83"/>
      <c r="F238" s="83"/>
      <c r="G238" s="83"/>
      <c r="H238" s="227"/>
      <c r="I238" s="225"/>
      <c r="J238" s="225"/>
      <c r="K238" s="226"/>
      <c r="L238" s="227"/>
      <c r="M238" s="227"/>
      <c r="N238" s="228"/>
      <c r="O238" s="229"/>
      <c r="P238" s="230"/>
      <c r="Q238" s="231"/>
      <c r="R238" s="231"/>
      <c r="S238" s="231"/>
    </row>
    <row r="239" spans="2:19" ht="14.25" customHeight="1" x14ac:dyDescent="0.25">
      <c r="B239" s="82"/>
      <c r="C239" s="242"/>
      <c r="D239" s="83"/>
      <c r="E239" s="83"/>
      <c r="F239" s="83"/>
      <c r="G239" s="83"/>
      <c r="H239" s="227"/>
      <c r="I239" s="225"/>
      <c r="J239" s="225"/>
      <c r="K239" s="226"/>
      <c r="L239" s="227"/>
      <c r="M239" s="227"/>
      <c r="N239" s="228"/>
      <c r="O239" s="229"/>
      <c r="P239" s="230"/>
      <c r="Q239" s="231"/>
      <c r="R239" s="231"/>
      <c r="S239" s="231"/>
    </row>
    <row r="240" spans="2:19" ht="14.25" customHeight="1" x14ac:dyDescent="0.25">
      <c r="B240" s="82"/>
      <c r="C240" s="242"/>
      <c r="D240" s="83"/>
      <c r="E240" s="83"/>
      <c r="F240" s="83"/>
      <c r="G240" s="83"/>
      <c r="H240" s="227"/>
      <c r="I240" s="225"/>
      <c r="J240" s="225"/>
      <c r="K240" s="226"/>
      <c r="L240" s="227"/>
      <c r="M240" s="227"/>
      <c r="N240" s="228"/>
      <c r="O240" s="229"/>
      <c r="P240" s="230"/>
      <c r="Q240" s="231"/>
      <c r="R240" s="231"/>
      <c r="S240" s="231"/>
    </row>
    <row r="241" spans="2:19" ht="14.25" customHeight="1" x14ac:dyDescent="0.25">
      <c r="B241" s="82"/>
      <c r="C241" s="242"/>
      <c r="D241" s="83"/>
      <c r="E241" s="83"/>
      <c r="F241" s="83"/>
      <c r="G241" s="83"/>
      <c r="H241" s="227"/>
      <c r="I241" s="225"/>
      <c r="J241" s="225"/>
      <c r="K241" s="226"/>
      <c r="L241" s="227"/>
      <c r="M241" s="227"/>
      <c r="N241" s="228"/>
      <c r="O241" s="229"/>
      <c r="P241" s="230"/>
      <c r="Q241" s="231"/>
      <c r="R241" s="231"/>
      <c r="S241" s="231"/>
    </row>
    <row r="242" spans="2:19" ht="14.25" customHeight="1" x14ac:dyDescent="0.25">
      <c r="B242" s="82"/>
      <c r="C242" s="242"/>
      <c r="D242" s="83"/>
      <c r="E242" s="83"/>
      <c r="F242" s="83"/>
      <c r="G242" s="83"/>
      <c r="H242" s="227"/>
      <c r="I242" s="225"/>
      <c r="J242" s="225"/>
      <c r="K242" s="226"/>
      <c r="L242" s="227"/>
      <c r="M242" s="227"/>
      <c r="N242" s="228"/>
      <c r="O242" s="229"/>
      <c r="P242" s="230"/>
      <c r="Q242" s="231"/>
      <c r="R242" s="231"/>
      <c r="S242" s="231"/>
    </row>
    <row r="243" spans="2:19" ht="14.25" customHeight="1" x14ac:dyDescent="0.25">
      <c r="B243" s="82"/>
      <c r="C243" s="242"/>
      <c r="D243" s="83"/>
      <c r="E243" s="83"/>
      <c r="F243" s="83"/>
      <c r="G243" s="83"/>
      <c r="H243" s="227"/>
      <c r="I243" s="225"/>
      <c r="J243" s="225"/>
      <c r="K243" s="226"/>
      <c r="L243" s="227"/>
      <c r="M243" s="227"/>
      <c r="N243" s="228"/>
      <c r="O243" s="229"/>
      <c r="P243" s="230"/>
      <c r="Q243" s="231"/>
      <c r="R243" s="231"/>
      <c r="S243" s="231"/>
    </row>
    <row r="244" spans="2:19" ht="14.25" customHeight="1" x14ac:dyDescent="0.25">
      <c r="B244" s="82"/>
      <c r="C244" s="242"/>
      <c r="D244" s="83"/>
      <c r="E244" s="83"/>
      <c r="F244" s="83"/>
      <c r="G244" s="83"/>
      <c r="H244" s="227"/>
      <c r="I244" s="225"/>
      <c r="J244" s="225"/>
      <c r="K244" s="226"/>
      <c r="L244" s="227"/>
      <c r="M244" s="227"/>
      <c r="N244" s="228"/>
      <c r="O244" s="229"/>
      <c r="P244" s="230"/>
      <c r="Q244" s="231"/>
      <c r="R244" s="231"/>
      <c r="S244" s="231"/>
    </row>
    <row r="245" spans="2:19" ht="14.25" customHeight="1" x14ac:dyDescent="0.25">
      <c r="B245" s="82"/>
      <c r="C245" s="242"/>
      <c r="D245" s="83"/>
      <c r="E245" s="83"/>
      <c r="F245" s="83"/>
      <c r="G245" s="83"/>
      <c r="H245" s="227"/>
      <c r="I245" s="225"/>
      <c r="J245" s="225"/>
      <c r="K245" s="226"/>
      <c r="L245" s="227"/>
      <c r="M245" s="227"/>
      <c r="N245" s="228"/>
      <c r="O245" s="229"/>
      <c r="P245" s="230"/>
      <c r="Q245" s="231"/>
      <c r="R245" s="231"/>
      <c r="S245" s="231"/>
    </row>
    <row r="246" spans="2:19" ht="14.25" customHeight="1" x14ac:dyDescent="0.25">
      <c r="B246" s="82"/>
      <c r="C246" s="242"/>
      <c r="D246" s="83"/>
      <c r="E246" s="83"/>
      <c r="F246" s="83"/>
      <c r="G246" s="83"/>
      <c r="H246" s="227"/>
      <c r="I246" s="225"/>
      <c r="J246" s="225"/>
      <c r="K246" s="226"/>
      <c r="L246" s="227"/>
      <c r="M246" s="227"/>
      <c r="N246" s="228"/>
      <c r="O246" s="229"/>
      <c r="P246" s="230"/>
      <c r="Q246" s="231"/>
      <c r="R246" s="231"/>
      <c r="S246" s="231"/>
    </row>
    <row r="247" spans="2:19" ht="14.25" customHeight="1" x14ac:dyDescent="0.25">
      <c r="B247" s="82"/>
      <c r="C247" s="242"/>
      <c r="D247" s="83"/>
      <c r="E247" s="83"/>
      <c r="F247" s="83"/>
      <c r="G247" s="83"/>
      <c r="H247" s="227"/>
      <c r="I247" s="225"/>
      <c r="J247" s="225"/>
      <c r="K247" s="226"/>
      <c r="L247" s="227"/>
      <c r="M247" s="227"/>
      <c r="N247" s="228"/>
      <c r="O247" s="229"/>
      <c r="P247" s="230"/>
      <c r="Q247" s="231"/>
      <c r="R247" s="231"/>
      <c r="S247" s="231"/>
    </row>
    <row r="248" spans="2:19" ht="14.25" customHeight="1" x14ac:dyDescent="0.25">
      <c r="B248" s="82"/>
      <c r="C248" s="242"/>
      <c r="D248" s="83"/>
      <c r="E248" s="83"/>
      <c r="F248" s="83"/>
      <c r="G248" s="83"/>
      <c r="H248" s="227"/>
      <c r="I248" s="225"/>
      <c r="J248" s="225"/>
      <c r="K248" s="226"/>
      <c r="L248" s="227"/>
      <c r="M248" s="227"/>
      <c r="N248" s="228"/>
      <c r="O248" s="229"/>
      <c r="P248" s="230"/>
      <c r="Q248" s="231"/>
      <c r="R248" s="231"/>
      <c r="S248" s="231"/>
    </row>
    <row r="249" spans="2:19" ht="14.25" customHeight="1" x14ac:dyDescent="0.25">
      <c r="B249" s="82"/>
      <c r="C249" s="242"/>
      <c r="D249" s="83"/>
      <c r="E249" s="83"/>
      <c r="F249" s="83"/>
      <c r="G249" s="83"/>
      <c r="H249" s="227"/>
      <c r="I249" s="225"/>
      <c r="J249" s="225"/>
      <c r="K249" s="226"/>
      <c r="L249" s="227"/>
      <c r="M249" s="227"/>
      <c r="N249" s="228"/>
      <c r="O249" s="229"/>
      <c r="P249" s="230"/>
      <c r="Q249" s="231"/>
      <c r="R249" s="231"/>
      <c r="S249" s="231"/>
    </row>
    <row r="250" spans="2:19" ht="14.25" customHeight="1" x14ac:dyDescent="0.25">
      <c r="B250" s="82"/>
      <c r="C250" s="242"/>
      <c r="D250" s="83"/>
      <c r="E250" s="83"/>
      <c r="F250" s="83"/>
      <c r="G250" s="83"/>
      <c r="H250" s="227"/>
      <c r="I250" s="225"/>
      <c r="J250" s="225"/>
      <c r="K250" s="226"/>
      <c r="L250" s="227"/>
      <c r="M250" s="227"/>
      <c r="N250" s="228"/>
      <c r="O250" s="229"/>
      <c r="P250" s="230"/>
      <c r="Q250" s="231"/>
      <c r="R250" s="231"/>
      <c r="S250" s="231"/>
    </row>
    <row r="251" spans="2:19" ht="14.25" customHeight="1" x14ac:dyDescent="0.25">
      <c r="B251" s="82"/>
      <c r="C251" s="242"/>
      <c r="D251" s="83"/>
      <c r="E251" s="83"/>
      <c r="F251" s="83"/>
      <c r="G251" s="83"/>
      <c r="H251" s="227"/>
      <c r="I251" s="225"/>
      <c r="J251" s="225"/>
      <c r="K251" s="226"/>
      <c r="L251" s="227"/>
      <c r="M251" s="227"/>
      <c r="N251" s="228"/>
      <c r="O251" s="229"/>
      <c r="P251" s="230"/>
      <c r="Q251" s="231"/>
      <c r="R251" s="231"/>
      <c r="S251" s="231"/>
    </row>
    <row r="252" spans="2:19" ht="14.25" customHeight="1" x14ac:dyDescent="0.25">
      <c r="B252" s="82"/>
      <c r="C252" s="242"/>
      <c r="D252" s="83"/>
      <c r="E252" s="83"/>
      <c r="F252" s="83"/>
      <c r="G252" s="83"/>
      <c r="H252" s="227"/>
      <c r="I252" s="225"/>
      <c r="J252" s="225"/>
      <c r="K252" s="226"/>
      <c r="L252" s="227"/>
      <c r="M252" s="227"/>
      <c r="N252" s="228"/>
      <c r="O252" s="229"/>
      <c r="P252" s="230"/>
      <c r="Q252" s="231"/>
      <c r="R252" s="231"/>
      <c r="S252" s="231"/>
    </row>
    <row r="253" spans="2:19" ht="14.25" customHeight="1" x14ac:dyDescent="0.25">
      <c r="B253" s="82"/>
      <c r="C253" s="242"/>
      <c r="D253" s="83"/>
      <c r="E253" s="83"/>
      <c r="F253" s="83"/>
      <c r="G253" s="83"/>
      <c r="H253" s="227"/>
      <c r="I253" s="225"/>
      <c r="J253" s="225"/>
      <c r="K253" s="226"/>
      <c r="L253" s="227"/>
      <c r="M253" s="227"/>
      <c r="N253" s="228"/>
      <c r="O253" s="229"/>
      <c r="P253" s="230"/>
      <c r="Q253" s="231"/>
      <c r="R253" s="231"/>
      <c r="S253" s="231"/>
    </row>
    <row r="254" spans="2:19" ht="14.25" customHeight="1" x14ac:dyDescent="0.25">
      <c r="B254" s="82"/>
      <c r="C254" s="242"/>
      <c r="D254" s="83"/>
      <c r="E254" s="83"/>
      <c r="F254" s="83"/>
      <c r="G254" s="83"/>
      <c r="H254" s="227"/>
      <c r="I254" s="225"/>
      <c r="J254" s="225"/>
      <c r="K254" s="226"/>
      <c r="L254" s="227"/>
      <c r="M254" s="227"/>
      <c r="N254" s="228"/>
      <c r="O254" s="229"/>
      <c r="P254" s="230"/>
      <c r="Q254" s="231"/>
      <c r="R254" s="231"/>
      <c r="S254" s="231"/>
    </row>
    <row r="255" spans="2:19" ht="14.25" customHeight="1" x14ac:dyDescent="0.25">
      <c r="B255" s="82"/>
      <c r="C255" s="242"/>
      <c r="D255" s="83"/>
      <c r="E255" s="83"/>
      <c r="F255" s="83"/>
      <c r="G255" s="83"/>
      <c r="H255" s="227"/>
      <c r="I255" s="225"/>
      <c r="J255" s="225"/>
      <c r="K255" s="226"/>
      <c r="L255" s="227"/>
      <c r="M255" s="227"/>
      <c r="N255" s="228"/>
      <c r="O255" s="229"/>
      <c r="P255" s="230"/>
      <c r="Q255" s="231"/>
      <c r="R255" s="231"/>
      <c r="S255" s="231"/>
    </row>
    <row r="256" spans="2:19" ht="14.25" customHeight="1" x14ac:dyDescent="0.25">
      <c r="B256" s="82"/>
      <c r="C256" s="242"/>
      <c r="D256" s="83"/>
      <c r="E256" s="83"/>
      <c r="F256" s="83"/>
      <c r="G256" s="83"/>
      <c r="H256" s="227"/>
      <c r="I256" s="225"/>
      <c r="J256" s="225"/>
      <c r="K256" s="226"/>
      <c r="L256" s="227"/>
      <c r="M256" s="227"/>
      <c r="N256" s="228"/>
      <c r="O256" s="229"/>
      <c r="P256" s="230"/>
      <c r="Q256" s="231"/>
      <c r="R256" s="231"/>
      <c r="S256" s="231"/>
    </row>
    <row r="257" spans="2:19" ht="14.25" customHeight="1" x14ac:dyDescent="0.25">
      <c r="B257" s="82"/>
      <c r="C257" s="242"/>
      <c r="D257" s="83"/>
      <c r="E257" s="83"/>
      <c r="F257" s="83"/>
      <c r="G257" s="83"/>
      <c r="H257" s="227"/>
      <c r="I257" s="225"/>
      <c r="J257" s="225"/>
      <c r="K257" s="226"/>
      <c r="L257" s="227"/>
      <c r="M257" s="227"/>
      <c r="N257" s="228"/>
      <c r="O257" s="229"/>
      <c r="P257" s="230"/>
      <c r="Q257" s="231"/>
      <c r="R257" s="231"/>
      <c r="S257" s="231"/>
    </row>
    <row r="258" spans="2:19" ht="14.25" customHeight="1" x14ac:dyDescent="0.25">
      <c r="B258" s="82"/>
      <c r="C258" s="242"/>
      <c r="D258" s="83"/>
      <c r="E258" s="83"/>
      <c r="F258" s="83"/>
      <c r="G258" s="83"/>
      <c r="H258" s="227"/>
      <c r="I258" s="225"/>
      <c r="J258" s="225"/>
      <c r="K258" s="226"/>
      <c r="L258" s="227"/>
      <c r="M258" s="227"/>
      <c r="N258" s="228"/>
      <c r="O258" s="229"/>
      <c r="P258" s="230"/>
      <c r="Q258" s="231"/>
      <c r="R258" s="231"/>
      <c r="S258" s="231"/>
    </row>
    <row r="259" spans="2:19" ht="14.25" customHeight="1" x14ac:dyDescent="0.25">
      <c r="B259" s="82"/>
      <c r="C259" s="242"/>
      <c r="D259" s="83"/>
      <c r="E259" s="83"/>
      <c r="F259" s="83"/>
      <c r="G259" s="83"/>
      <c r="H259" s="227"/>
      <c r="I259" s="225"/>
      <c r="J259" s="225"/>
      <c r="K259" s="226"/>
      <c r="L259" s="227"/>
      <c r="M259" s="227"/>
      <c r="N259" s="228"/>
      <c r="O259" s="229"/>
      <c r="P259" s="230"/>
      <c r="Q259" s="231"/>
      <c r="R259" s="231"/>
      <c r="S259" s="231"/>
    </row>
    <row r="260" spans="2:19" ht="14.25" customHeight="1" x14ac:dyDescent="0.25">
      <c r="B260" s="82"/>
      <c r="C260" s="242"/>
      <c r="D260" s="83"/>
      <c r="E260" s="83"/>
      <c r="F260" s="83"/>
      <c r="G260" s="83"/>
      <c r="H260" s="227"/>
      <c r="I260" s="225"/>
      <c r="J260" s="225"/>
      <c r="K260" s="226"/>
      <c r="L260" s="227"/>
      <c r="M260" s="227"/>
      <c r="N260" s="228"/>
      <c r="O260" s="229"/>
      <c r="P260" s="230"/>
      <c r="Q260" s="231"/>
      <c r="R260" s="231"/>
      <c r="S260" s="231"/>
    </row>
    <row r="261" spans="2:19" ht="14.25" customHeight="1" x14ac:dyDescent="0.25">
      <c r="B261" s="82"/>
      <c r="C261" s="242"/>
      <c r="D261" s="83"/>
      <c r="E261" s="83"/>
      <c r="F261" s="83"/>
      <c r="G261" s="83"/>
      <c r="H261" s="227"/>
      <c r="I261" s="225"/>
      <c r="J261" s="225"/>
      <c r="K261" s="226"/>
      <c r="L261" s="227"/>
      <c r="M261" s="227"/>
      <c r="N261" s="228"/>
      <c r="O261" s="229"/>
      <c r="P261" s="230"/>
      <c r="Q261" s="231"/>
      <c r="R261" s="231"/>
      <c r="S261" s="231"/>
    </row>
    <row r="262" spans="2:19" ht="14.25" customHeight="1" x14ac:dyDescent="0.25">
      <c r="B262" s="82"/>
      <c r="C262" s="242"/>
      <c r="D262" s="83"/>
      <c r="E262" s="83"/>
      <c r="F262" s="83"/>
      <c r="G262" s="83"/>
      <c r="H262" s="227"/>
      <c r="I262" s="225"/>
      <c r="J262" s="225"/>
      <c r="K262" s="226"/>
      <c r="L262" s="227"/>
      <c r="M262" s="227"/>
      <c r="N262" s="228"/>
      <c r="O262" s="229"/>
      <c r="P262" s="230"/>
      <c r="Q262" s="231"/>
      <c r="R262" s="231"/>
      <c r="S262" s="231"/>
    </row>
    <row r="263" spans="2:19" ht="14.25" customHeight="1" x14ac:dyDescent="0.25">
      <c r="B263" s="82"/>
      <c r="C263" s="242"/>
      <c r="D263" s="83"/>
      <c r="E263" s="83"/>
      <c r="F263" s="83"/>
      <c r="G263" s="83"/>
      <c r="H263" s="227"/>
      <c r="I263" s="225"/>
      <c r="J263" s="225"/>
      <c r="K263" s="226"/>
      <c r="L263" s="227"/>
      <c r="M263" s="227"/>
      <c r="N263" s="228"/>
      <c r="O263" s="229"/>
      <c r="P263" s="230"/>
      <c r="Q263" s="231"/>
      <c r="R263" s="231"/>
      <c r="S263" s="231"/>
    </row>
    <row r="264" spans="2:19" ht="14.25" customHeight="1" x14ac:dyDescent="0.25">
      <c r="B264" s="82"/>
      <c r="C264" s="242"/>
      <c r="D264" s="83"/>
      <c r="E264" s="83"/>
      <c r="F264" s="83"/>
      <c r="G264" s="83"/>
      <c r="H264" s="227"/>
      <c r="I264" s="225"/>
      <c r="J264" s="225"/>
      <c r="K264" s="226"/>
      <c r="L264" s="227"/>
      <c r="M264" s="227"/>
      <c r="N264" s="228"/>
      <c r="O264" s="229"/>
      <c r="P264" s="230"/>
      <c r="Q264" s="231"/>
      <c r="R264" s="231"/>
      <c r="S264" s="231"/>
    </row>
    <row r="265" spans="2:19" ht="14.25" customHeight="1" x14ac:dyDescent="0.25">
      <c r="B265" s="82"/>
      <c r="C265" s="242"/>
      <c r="D265" s="83"/>
      <c r="E265" s="83"/>
      <c r="F265" s="83"/>
      <c r="G265" s="83"/>
      <c r="H265" s="227"/>
      <c r="I265" s="225"/>
      <c r="J265" s="225"/>
      <c r="K265" s="226"/>
      <c r="L265" s="227"/>
      <c r="M265" s="227"/>
      <c r="N265" s="228"/>
      <c r="O265" s="229"/>
      <c r="P265" s="230"/>
      <c r="Q265" s="231"/>
      <c r="R265" s="231"/>
      <c r="S265" s="231"/>
    </row>
    <row r="266" spans="2:19" ht="14.25" customHeight="1" x14ac:dyDescent="0.25">
      <c r="B266" s="82"/>
      <c r="C266" s="242"/>
      <c r="D266" s="83"/>
      <c r="E266" s="83"/>
      <c r="F266" s="83"/>
      <c r="G266" s="83"/>
      <c r="H266" s="227"/>
      <c r="I266" s="225"/>
      <c r="J266" s="225"/>
      <c r="K266" s="226"/>
      <c r="L266" s="227"/>
      <c r="M266" s="227"/>
      <c r="N266" s="228"/>
      <c r="O266" s="229"/>
      <c r="P266" s="230"/>
      <c r="Q266" s="231"/>
      <c r="R266" s="231"/>
      <c r="S266" s="231"/>
    </row>
    <row r="267" spans="2:19" ht="14.25" customHeight="1" x14ac:dyDescent="0.25">
      <c r="B267" s="82"/>
      <c r="C267" s="242"/>
      <c r="D267" s="83"/>
      <c r="E267" s="83"/>
      <c r="F267" s="83"/>
      <c r="G267" s="83"/>
      <c r="H267" s="227"/>
      <c r="I267" s="225"/>
      <c r="J267" s="225"/>
      <c r="K267" s="226"/>
      <c r="L267" s="227"/>
      <c r="M267" s="227"/>
      <c r="N267" s="228"/>
      <c r="O267" s="229"/>
      <c r="P267" s="230"/>
      <c r="Q267" s="231"/>
      <c r="R267" s="231"/>
      <c r="S267" s="231"/>
    </row>
    <row r="268" spans="2:19" ht="14.25" customHeight="1" x14ac:dyDescent="0.25">
      <c r="B268" s="82"/>
      <c r="C268" s="242"/>
      <c r="D268" s="83"/>
      <c r="E268" s="83"/>
      <c r="F268" s="83"/>
      <c r="G268" s="83"/>
      <c r="H268" s="227"/>
      <c r="I268" s="225"/>
      <c r="J268" s="225"/>
      <c r="K268" s="226"/>
      <c r="L268" s="227"/>
      <c r="M268" s="227"/>
      <c r="N268" s="228"/>
      <c r="O268" s="229"/>
      <c r="P268" s="230"/>
      <c r="Q268" s="231"/>
      <c r="R268" s="231"/>
      <c r="S268" s="231"/>
    </row>
    <row r="269" spans="2:19" ht="14.25" customHeight="1" x14ac:dyDescent="0.25">
      <c r="B269" s="82"/>
      <c r="C269" s="242"/>
      <c r="D269" s="83"/>
      <c r="E269" s="83"/>
      <c r="F269" s="83"/>
      <c r="G269" s="83"/>
      <c r="H269" s="227"/>
      <c r="I269" s="225"/>
      <c r="J269" s="225"/>
      <c r="K269" s="226"/>
      <c r="L269" s="227"/>
      <c r="M269" s="227"/>
      <c r="N269" s="228"/>
      <c r="O269" s="229"/>
      <c r="P269" s="230"/>
      <c r="Q269" s="231"/>
      <c r="R269" s="231"/>
      <c r="S269" s="231"/>
    </row>
    <row r="270" spans="2:19" ht="14.25" customHeight="1" x14ac:dyDescent="0.25">
      <c r="B270" s="82"/>
      <c r="C270" s="242"/>
      <c r="D270" s="83"/>
      <c r="E270" s="83"/>
      <c r="F270" s="83"/>
      <c r="G270" s="83"/>
      <c r="H270" s="227"/>
      <c r="I270" s="225"/>
      <c r="J270" s="225"/>
      <c r="K270" s="226"/>
      <c r="L270" s="227"/>
      <c r="M270" s="227"/>
      <c r="N270" s="228"/>
      <c r="O270" s="229"/>
      <c r="P270" s="230"/>
      <c r="Q270" s="231"/>
      <c r="R270" s="231"/>
      <c r="S270" s="231"/>
    </row>
    <row r="271" spans="2:19" ht="14.25" customHeight="1" x14ac:dyDescent="0.25">
      <c r="B271" s="82"/>
      <c r="C271" s="242"/>
      <c r="D271" s="83"/>
      <c r="E271" s="83"/>
      <c r="F271" s="83"/>
      <c r="G271" s="83"/>
      <c r="H271" s="227"/>
      <c r="I271" s="225"/>
      <c r="J271" s="225"/>
      <c r="K271" s="226"/>
      <c r="L271" s="227"/>
      <c r="M271" s="227"/>
      <c r="N271" s="228"/>
      <c r="O271" s="229"/>
      <c r="P271" s="230"/>
      <c r="Q271" s="231"/>
      <c r="R271" s="231"/>
      <c r="S271" s="231"/>
    </row>
    <row r="272" spans="2:19" ht="14.25" customHeight="1" x14ac:dyDescent="0.25">
      <c r="B272" s="82"/>
      <c r="C272" s="242"/>
      <c r="D272" s="83"/>
      <c r="E272" s="83"/>
      <c r="F272" s="83"/>
      <c r="G272" s="83"/>
      <c r="H272" s="227"/>
      <c r="I272" s="225"/>
      <c r="J272" s="225"/>
      <c r="K272" s="226"/>
      <c r="L272" s="227"/>
      <c r="M272" s="227"/>
      <c r="N272" s="228"/>
      <c r="O272" s="229"/>
      <c r="P272" s="230"/>
      <c r="Q272" s="231"/>
      <c r="R272" s="231"/>
      <c r="S272" s="231"/>
    </row>
    <row r="273" spans="2:19" ht="14.25" customHeight="1" x14ac:dyDescent="0.25">
      <c r="B273" s="82"/>
      <c r="C273" s="242"/>
      <c r="D273" s="83"/>
      <c r="E273" s="83"/>
      <c r="F273" s="83"/>
      <c r="G273" s="83"/>
      <c r="H273" s="227"/>
      <c r="I273" s="225"/>
      <c r="J273" s="225"/>
      <c r="K273" s="226"/>
      <c r="L273" s="227"/>
      <c r="M273" s="227"/>
      <c r="N273" s="228"/>
      <c r="O273" s="229"/>
      <c r="P273" s="230"/>
      <c r="Q273" s="231"/>
      <c r="R273" s="231"/>
      <c r="S273" s="231"/>
    </row>
    <row r="274" spans="2:19" ht="14.25" customHeight="1" x14ac:dyDescent="0.25">
      <c r="B274" s="82"/>
      <c r="C274" s="242"/>
      <c r="D274" s="83"/>
      <c r="E274" s="83"/>
      <c r="F274" s="83"/>
      <c r="G274" s="83"/>
      <c r="H274" s="227"/>
      <c r="I274" s="225"/>
      <c r="J274" s="225"/>
      <c r="K274" s="226"/>
      <c r="L274" s="227"/>
      <c r="M274" s="227"/>
      <c r="N274" s="228"/>
      <c r="O274" s="229"/>
      <c r="P274" s="230"/>
      <c r="Q274" s="231"/>
      <c r="R274" s="231"/>
      <c r="S274" s="231"/>
    </row>
    <row r="275" spans="2:19" ht="14.25" customHeight="1" x14ac:dyDescent="0.25">
      <c r="B275" s="82"/>
      <c r="C275" s="242"/>
      <c r="D275" s="83"/>
      <c r="E275" s="83"/>
      <c r="F275" s="83"/>
      <c r="G275" s="83"/>
      <c r="H275" s="227"/>
      <c r="I275" s="225"/>
      <c r="J275" s="225"/>
      <c r="K275" s="226"/>
      <c r="L275" s="227"/>
      <c r="M275" s="227"/>
      <c r="N275" s="228"/>
      <c r="O275" s="229"/>
      <c r="P275" s="230"/>
      <c r="Q275" s="231"/>
      <c r="R275" s="231"/>
      <c r="S275" s="231"/>
    </row>
    <row r="276" spans="2:19" ht="14.25" customHeight="1" x14ac:dyDescent="0.25">
      <c r="B276" s="82"/>
      <c r="C276" s="242"/>
      <c r="D276" s="83"/>
      <c r="E276" s="83"/>
      <c r="F276" s="83"/>
      <c r="G276" s="83"/>
      <c r="H276" s="227"/>
      <c r="I276" s="225"/>
      <c r="J276" s="225"/>
      <c r="K276" s="226"/>
      <c r="L276" s="227"/>
      <c r="M276" s="227"/>
      <c r="N276" s="228"/>
      <c r="O276" s="229"/>
      <c r="P276" s="230"/>
      <c r="Q276" s="231"/>
      <c r="R276" s="231"/>
      <c r="S276" s="231"/>
    </row>
    <row r="277" spans="2:19" ht="14.25" customHeight="1" x14ac:dyDescent="0.25">
      <c r="B277" s="82"/>
      <c r="C277" s="242"/>
      <c r="D277" s="83"/>
      <c r="E277" s="83"/>
      <c r="F277" s="83"/>
      <c r="G277" s="83"/>
      <c r="H277" s="227"/>
      <c r="I277" s="225"/>
      <c r="J277" s="225"/>
      <c r="K277" s="226"/>
      <c r="L277" s="227"/>
      <c r="M277" s="227"/>
      <c r="N277" s="228"/>
      <c r="O277" s="229"/>
      <c r="P277" s="230"/>
      <c r="Q277" s="231"/>
      <c r="R277" s="231"/>
      <c r="S277" s="231"/>
    </row>
    <row r="278" spans="2:19" ht="14.25" customHeight="1" x14ac:dyDescent="0.25">
      <c r="B278" s="82"/>
      <c r="C278" s="242"/>
      <c r="D278" s="83"/>
      <c r="E278" s="83"/>
      <c r="F278" s="83"/>
      <c r="G278" s="83"/>
      <c r="H278" s="227"/>
      <c r="I278" s="225"/>
      <c r="J278" s="225"/>
      <c r="K278" s="226"/>
      <c r="L278" s="227"/>
      <c r="M278" s="227"/>
      <c r="N278" s="228"/>
      <c r="O278" s="229"/>
      <c r="P278" s="230"/>
      <c r="Q278" s="231"/>
      <c r="R278" s="231"/>
      <c r="S278" s="231"/>
    </row>
    <row r="279" spans="2:19" ht="14.25" customHeight="1" x14ac:dyDescent="0.25">
      <c r="B279" s="82"/>
      <c r="C279" s="242"/>
      <c r="D279" s="83"/>
      <c r="E279" s="83"/>
      <c r="F279" s="83"/>
      <c r="G279" s="83"/>
      <c r="H279" s="227"/>
      <c r="I279" s="225"/>
      <c r="J279" s="225"/>
      <c r="K279" s="226"/>
      <c r="L279" s="227"/>
      <c r="M279" s="227"/>
      <c r="N279" s="228"/>
      <c r="O279" s="229"/>
      <c r="P279" s="230"/>
      <c r="Q279" s="231"/>
      <c r="R279" s="231"/>
      <c r="S279" s="231"/>
    </row>
    <row r="280" spans="2:19" ht="14.25" customHeight="1" x14ac:dyDescent="0.25">
      <c r="B280" s="82"/>
      <c r="C280" s="242"/>
      <c r="D280" s="83"/>
      <c r="E280" s="83"/>
      <c r="F280" s="83"/>
      <c r="G280" s="83"/>
      <c r="H280" s="227"/>
      <c r="I280" s="225"/>
      <c r="J280" s="225"/>
      <c r="K280" s="226"/>
      <c r="L280" s="227"/>
      <c r="M280" s="227"/>
      <c r="N280" s="228"/>
      <c r="O280" s="229"/>
      <c r="P280" s="230"/>
      <c r="Q280" s="231"/>
      <c r="R280" s="231"/>
      <c r="S280" s="231"/>
    </row>
    <row r="281" spans="2:19" ht="14.25" customHeight="1" x14ac:dyDescent="0.25">
      <c r="B281" s="82"/>
      <c r="C281" s="242"/>
      <c r="D281" s="83"/>
      <c r="E281" s="83"/>
      <c r="F281" s="83"/>
      <c r="G281" s="83"/>
      <c r="H281" s="227"/>
      <c r="I281" s="225"/>
      <c r="J281" s="225"/>
      <c r="K281" s="226"/>
      <c r="L281" s="227"/>
      <c r="M281" s="227"/>
      <c r="N281" s="228"/>
      <c r="O281" s="229"/>
      <c r="P281" s="230"/>
      <c r="Q281" s="231"/>
      <c r="R281" s="231"/>
      <c r="S281" s="231"/>
    </row>
    <row r="282" spans="2:19" ht="14.25" customHeight="1" x14ac:dyDescent="0.25">
      <c r="B282" s="82"/>
      <c r="C282" s="242"/>
      <c r="D282" s="83"/>
      <c r="E282" s="83"/>
      <c r="F282" s="83"/>
      <c r="G282" s="83"/>
      <c r="H282" s="227"/>
      <c r="I282" s="225"/>
      <c r="J282" s="225"/>
      <c r="K282" s="226"/>
      <c r="L282" s="227"/>
      <c r="M282" s="227"/>
      <c r="N282" s="228"/>
      <c r="O282" s="229"/>
      <c r="P282" s="230"/>
      <c r="Q282" s="231"/>
      <c r="R282" s="231"/>
      <c r="S282" s="231"/>
    </row>
    <row r="283" spans="2:19" ht="14.25" customHeight="1" x14ac:dyDescent="0.25">
      <c r="B283" s="82"/>
      <c r="C283" s="242"/>
      <c r="D283" s="83"/>
      <c r="E283" s="83"/>
      <c r="F283" s="83"/>
      <c r="G283" s="83"/>
      <c r="H283" s="227"/>
      <c r="I283" s="225"/>
      <c r="J283" s="225"/>
      <c r="K283" s="226"/>
      <c r="L283" s="227"/>
      <c r="M283" s="227"/>
      <c r="N283" s="228"/>
      <c r="O283" s="229"/>
      <c r="P283" s="230"/>
      <c r="Q283" s="231"/>
      <c r="R283" s="231"/>
      <c r="S283" s="231"/>
    </row>
    <row r="284" spans="2:19" ht="14.25" customHeight="1" x14ac:dyDescent="0.25">
      <c r="B284" s="82"/>
      <c r="C284" s="242"/>
      <c r="D284" s="83"/>
      <c r="E284" s="83"/>
      <c r="F284" s="83"/>
      <c r="G284" s="83"/>
      <c r="H284" s="227"/>
      <c r="I284" s="225"/>
      <c r="J284" s="225"/>
      <c r="K284" s="226"/>
      <c r="L284" s="227"/>
      <c r="M284" s="227"/>
      <c r="N284" s="228"/>
      <c r="O284" s="229"/>
      <c r="P284" s="230"/>
      <c r="Q284" s="231"/>
      <c r="R284" s="231"/>
      <c r="S284" s="231"/>
    </row>
    <row r="285" spans="2:19" ht="14.25" customHeight="1" x14ac:dyDescent="0.25">
      <c r="B285" s="82"/>
      <c r="C285" s="242"/>
      <c r="D285" s="83"/>
      <c r="E285" s="83"/>
      <c r="F285" s="83"/>
      <c r="G285" s="83"/>
      <c r="H285" s="227"/>
      <c r="I285" s="225"/>
      <c r="J285" s="225"/>
      <c r="K285" s="226"/>
      <c r="L285" s="227"/>
      <c r="M285" s="227"/>
      <c r="N285" s="228"/>
      <c r="O285" s="229"/>
      <c r="P285" s="230"/>
      <c r="Q285" s="231"/>
      <c r="R285" s="231"/>
      <c r="S285" s="231"/>
    </row>
    <row r="286" spans="2:19" ht="14.25" customHeight="1" x14ac:dyDescent="0.25">
      <c r="B286" s="82"/>
      <c r="C286" s="242"/>
      <c r="D286" s="83"/>
      <c r="E286" s="83"/>
      <c r="F286" s="83"/>
      <c r="G286" s="83"/>
      <c r="H286" s="227"/>
      <c r="I286" s="225"/>
      <c r="J286" s="225"/>
      <c r="K286" s="226"/>
      <c r="L286" s="227"/>
      <c r="M286" s="227"/>
      <c r="N286" s="228"/>
      <c r="O286" s="229"/>
      <c r="P286" s="230"/>
      <c r="Q286" s="231"/>
      <c r="R286" s="231"/>
      <c r="S286" s="231"/>
    </row>
    <row r="287" spans="2:19" ht="14.25" customHeight="1" x14ac:dyDescent="0.25">
      <c r="B287" s="82"/>
      <c r="C287" s="242"/>
      <c r="D287" s="83"/>
      <c r="E287" s="83"/>
      <c r="F287" s="83"/>
      <c r="G287" s="83"/>
      <c r="H287" s="227"/>
      <c r="I287" s="225"/>
      <c r="J287" s="225"/>
      <c r="K287" s="226"/>
      <c r="L287" s="227"/>
      <c r="M287" s="227"/>
      <c r="N287" s="228"/>
      <c r="O287" s="229"/>
      <c r="P287" s="230"/>
      <c r="Q287" s="231"/>
      <c r="R287" s="231"/>
      <c r="S287" s="231"/>
    </row>
    <row r="288" spans="2:19" ht="14.25" customHeight="1" x14ac:dyDescent="0.25">
      <c r="B288" s="82"/>
      <c r="C288" s="242"/>
      <c r="D288" s="83"/>
      <c r="E288" s="83"/>
      <c r="F288" s="83"/>
      <c r="G288" s="83"/>
      <c r="H288" s="227"/>
      <c r="I288" s="225"/>
      <c r="J288" s="225"/>
      <c r="K288" s="226"/>
      <c r="L288" s="227"/>
      <c r="M288" s="227"/>
      <c r="N288" s="228"/>
      <c r="O288" s="229"/>
      <c r="P288" s="230"/>
      <c r="Q288" s="231"/>
      <c r="R288" s="231"/>
      <c r="S288" s="231"/>
    </row>
    <row r="289" spans="2:19" ht="14.25" customHeight="1" x14ac:dyDescent="0.25">
      <c r="B289" s="82"/>
      <c r="C289" s="242"/>
      <c r="D289" s="83"/>
      <c r="E289" s="83"/>
      <c r="F289" s="83"/>
      <c r="G289" s="83"/>
      <c r="H289" s="227"/>
      <c r="I289" s="225"/>
      <c r="J289" s="225"/>
      <c r="K289" s="226"/>
      <c r="L289" s="227"/>
      <c r="M289" s="227"/>
      <c r="N289" s="228"/>
      <c r="O289" s="229"/>
      <c r="P289" s="230"/>
      <c r="Q289" s="231"/>
      <c r="R289" s="231"/>
      <c r="S289" s="231"/>
    </row>
    <row r="290" spans="2:19" ht="14.25" customHeight="1" x14ac:dyDescent="0.25">
      <c r="B290" s="82"/>
      <c r="C290" s="242"/>
      <c r="D290" s="83"/>
      <c r="E290" s="83"/>
      <c r="F290" s="83"/>
      <c r="G290" s="83"/>
      <c r="H290" s="227"/>
      <c r="I290" s="225"/>
      <c r="J290" s="225"/>
      <c r="K290" s="226"/>
      <c r="L290" s="227"/>
      <c r="M290" s="227"/>
      <c r="N290" s="228"/>
      <c r="O290" s="229"/>
      <c r="P290" s="230"/>
      <c r="Q290" s="231"/>
      <c r="R290" s="231"/>
      <c r="S290" s="231"/>
    </row>
    <row r="291" spans="2:19" ht="14.25" customHeight="1" x14ac:dyDescent="0.25">
      <c r="B291" s="82"/>
      <c r="C291" s="242"/>
      <c r="D291" s="83"/>
      <c r="E291" s="83"/>
      <c r="F291" s="83"/>
      <c r="G291" s="83"/>
      <c r="H291" s="227"/>
      <c r="I291" s="225"/>
      <c r="J291" s="225"/>
      <c r="K291" s="226"/>
      <c r="L291" s="227"/>
      <c r="M291" s="227"/>
      <c r="N291" s="228"/>
      <c r="O291" s="229"/>
      <c r="P291" s="230"/>
      <c r="Q291" s="231"/>
      <c r="R291" s="231"/>
      <c r="S291" s="231"/>
    </row>
    <row r="292" spans="2:19" ht="14.25" customHeight="1" x14ac:dyDescent="0.25">
      <c r="B292" s="82"/>
      <c r="C292" s="242"/>
      <c r="D292" s="83"/>
      <c r="E292" s="83"/>
      <c r="F292" s="83"/>
      <c r="G292" s="83"/>
      <c r="H292" s="227"/>
      <c r="I292" s="225"/>
      <c r="J292" s="225"/>
      <c r="K292" s="226"/>
      <c r="L292" s="227"/>
      <c r="M292" s="227"/>
      <c r="N292" s="228"/>
      <c r="O292" s="229"/>
      <c r="P292" s="230"/>
      <c r="Q292" s="231"/>
      <c r="R292" s="231"/>
      <c r="S292" s="231"/>
    </row>
    <row r="293" spans="2:19" ht="14.25" customHeight="1" x14ac:dyDescent="0.25">
      <c r="B293" s="82"/>
      <c r="C293" s="242"/>
      <c r="D293" s="83"/>
      <c r="E293" s="83"/>
      <c r="F293" s="83"/>
      <c r="G293" s="83"/>
      <c r="H293" s="227"/>
      <c r="I293" s="225"/>
      <c r="J293" s="225"/>
      <c r="K293" s="226"/>
      <c r="L293" s="227"/>
      <c r="M293" s="227"/>
      <c r="N293" s="228"/>
      <c r="O293" s="229"/>
      <c r="P293" s="230"/>
      <c r="Q293" s="231"/>
      <c r="R293" s="231"/>
      <c r="S293" s="231"/>
    </row>
    <row r="294" spans="2:19" ht="14.25" customHeight="1" x14ac:dyDescent="0.25">
      <c r="B294" s="82"/>
      <c r="C294" s="242"/>
      <c r="D294" s="83"/>
      <c r="E294" s="83"/>
      <c r="F294" s="83"/>
      <c r="G294" s="83"/>
      <c r="H294" s="227"/>
      <c r="I294" s="225"/>
      <c r="J294" s="225"/>
      <c r="K294" s="226"/>
      <c r="L294" s="227"/>
      <c r="M294" s="227"/>
      <c r="N294" s="228"/>
      <c r="O294" s="229"/>
      <c r="P294" s="230"/>
      <c r="Q294" s="231"/>
      <c r="R294" s="231"/>
      <c r="S294" s="231"/>
    </row>
    <row r="295" spans="2:19" ht="14.25" customHeight="1" x14ac:dyDescent="0.25">
      <c r="B295" s="82"/>
      <c r="C295" s="242"/>
      <c r="D295" s="83"/>
      <c r="E295" s="83"/>
      <c r="F295" s="83"/>
      <c r="G295" s="83"/>
      <c r="H295" s="227"/>
      <c r="I295" s="225"/>
      <c r="J295" s="225"/>
      <c r="K295" s="226"/>
      <c r="L295" s="227"/>
      <c r="M295" s="227"/>
      <c r="N295" s="228"/>
      <c r="O295" s="229"/>
      <c r="P295" s="230"/>
      <c r="Q295" s="231"/>
      <c r="R295" s="231"/>
      <c r="S295" s="231"/>
    </row>
    <row r="296" spans="2:19" ht="14.25" customHeight="1" x14ac:dyDescent="0.25">
      <c r="B296" s="82"/>
      <c r="C296" s="242"/>
      <c r="D296" s="83"/>
      <c r="E296" s="83"/>
      <c r="F296" s="83"/>
      <c r="G296" s="83"/>
      <c r="H296" s="227"/>
      <c r="I296" s="225"/>
      <c r="J296" s="225"/>
      <c r="K296" s="226"/>
      <c r="L296" s="227"/>
      <c r="M296" s="227"/>
      <c r="N296" s="228"/>
      <c r="O296" s="229"/>
      <c r="P296" s="230"/>
      <c r="Q296" s="231"/>
      <c r="R296" s="231"/>
      <c r="S296" s="231"/>
    </row>
    <row r="297" spans="2:19" ht="14.25" customHeight="1" x14ac:dyDescent="0.25">
      <c r="B297" s="82"/>
      <c r="C297" s="242"/>
      <c r="D297" s="83"/>
      <c r="E297" s="83"/>
      <c r="F297" s="83"/>
      <c r="G297" s="83"/>
      <c r="H297" s="227"/>
      <c r="I297" s="225"/>
      <c r="J297" s="225"/>
      <c r="K297" s="226"/>
      <c r="L297" s="227"/>
      <c r="M297" s="227"/>
      <c r="N297" s="228"/>
      <c r="O297" s="229"/>
      <c r="P297" s="230"/>
      <c r="Q297" s="231"/>
      <c r="R297" s="231"/>
      <c r="S297" s="231"/>
    </row>
    <row r="298" spans="2:19" ht="14.25" customHeight="1" x14ac:dyDescent="0.25">
      <c r="B298" s="82"/>
      <c r="C298" s="242"/>
      <c r="D298" s="83"/>
      <c r="E298" s="83"/>
      <c r="F298" s="83"/>
      <c r="G298" s="83"/>
      <c r="H298" s="227"/>
      <c r="I298" s="225"/>
      <c r="J298" s="225"/>
      <c r="K298" s="226"/>
      <c r="L298" s="227"/>
      <c r="M298" s="227"/>
      <c r="N298" s="228"/>
      <c r="O298" s="229"/>
      <c r="P298" s="230"/>
      <c r="Q298" s="231"/>
      <c r="R298" s="231"/>
      <c r="S298" s="231"/>
    </row>
    <row r="299" spans="2:19" ht="14.25" customHeight="1" x14ac:dyDescent="0.25">
      <c r="B299" s="82"/>
      <c r="C299" s="242"/>
      <c r="D299" s="83"/>
      <c r="E299" s="83"/>
      <c r="F299" s="83"/>
      <c r="G299" s="83"/>
      <c r="H299" s="227"/>
      <c r="I299" s="225"/>
      <c r="J299" s="225"/>
      <c r="K299" s="226"/>
      <c r="L299" s="227"/>
      <c r="M299" s="227"/>
      <c r="N299" s="228"/>
      <c r="O299" s="229"/>
      <c r="P299" s="230"/>
      <c r="Q299" s="231"/>
      <c r="R299" s="231"/>
      <c r="S299" s="231"/>
    </row>
    <row r="300" spans="2:19" ht="14.25" customHeight="1" x14ac:dyDescent="0.25">
      <c r="B300" s="82"/>
      <c r="C300" s="242"/>
      <c r="D300" s="83"/>
      <c r="E300" s="83"/>
      <c r="F300" s="83"/>
      <c r="G300" s="83"/>
      <c r="H300" s="227"/>
      <c r="I300" s="225"/>
      <c r="J300" s="225"/>
      <c r="K300" s="226"/>
      <c r="L300" s="227"/>
      <c r="M300" s="227"/>
      <c r="N300" s="228"/>
      <c r="O300" s="229"/>
      <c r="P300" s="230"/>
      <c r="Q300" s="231"/>
      <c r="R300" s="231"/>
      <c r="S300" s="231"/>
    </row>
    <row r="301" spans="2:19" ht="14.25" customHeight="1" x14ac:dyDescent="0.25">
      <c r="B301" s="82"/>
      <c r="C301" s="242"/>
      <c r="D301" s="83"/>
      <c r="E301" s="83"/>
      <c r="F301" s="83"/>
      <c r="G301" s="83"/>
      <c r="H301" s="227"/>
      <c r="I301" s="225"/>
      <c r="J301" s="225"/>
      <c r="K301" s="226"/>
      <c r="L301" s="227"/>
      <c r="M301" s="227"/>
      <c r="N301" s="228"/>
      <c r="O301" s="229"/>
      <c r="P301" s="230"/>
      <c r="Q301" s="231"/>
      <c r="R301" s="231"/>
      <c r="S301" s="231"/>
    </row>
    <row r="302" spans="2:19" ht="14.25" customHeight="1" x14ac:dyDescent="0.25">
      <c r="B302" s="82"/>
      <c r="C302" s="242"/>
      <c r="D302" s="83"/>
      <c r="E302" s="83"/>
      <c r="F302" s="83"/>
      <c r="G302" s="83"/>
      <c r="H302" s="227"/>
      <c r="I302" s="225"/>
      <c r="J302" s="225"/>
      <c r="K302" s="226"/>
      <c r="L302" s="227"/>
      <c r="M302" s="227"/>
      <c r="N302" s="228"/>
      <c r="O302" s="229"/>
      <c r="P302" s="230"/>
      <c r="Q302" s="231"/>
      <c r="R302" s="231"/>
      <c r="S302" s="231"/>
    </row>
    <row r="303" spans="2:19" ht="14.25" customHeight="1" x14ac:dyDescent="0.25">
      <c r="B303" s="82"/>
      <c r="C303" s="242"/>
      <c r="D303" s="83"/>
      <c r="E303" s="83"/>
      <c r="F303" s="83"/>
      <c r="G303" s="83"/>
      <c r="H303" s="227"/>
      <c r="I303" s="225"/>
      <c r="J303" s="225"/>
      <c r="K303" s="226"/>
      <c r="L303" s="227"/>
      <c r="M303" s="227"/>
      <c r="N303" s="228"/>
      <c r="O303" s="229"/>
      <c r="P303" s="230"/>
      <c r="Q303" s="231"/>
      <c r="R303" s="231"/>
      <c r="S303" s="231"/>
    </row>
    <row r="304" spans="2:19" ht="14.25" customHeight="1" x14ac:dyDescent="0.25">
      <c r="B304" s="82"/>
      <c r="C304" s="242"/>
      <c r="D304" s="83"/>
      <c r="E304" s="83"/>
      <c r="F304" s="83"/>
      <c r="G304" s="83"/>
      <c r="H304" s="227"/>
      <c r="I304" s="225"/>
      <c r="J304" s="225"/>
      <c r="K304" s="226"/>
      <c r="L304" s="227"/>
      <c r="M304" s="227"/>
      <c r="N304" s="228"/>
      <c r="O304" s="229"/>
      <c r="P304" s="230"/>
      <c r="Q304" s="231"/>
      <c r="R304" s="231"/>
      <c r="S304" s="231"/>
    </row>
    <row r="305" spans="2:19" ht="14.25" customHeight="1" x14ac:dyDescent="0.25">
      <c r="B305" s="82"/>
      <c r="C305" s="242"/>
      <c r="D305" s="83"/>
      <c r="E305" s="83"/>
      <c r="F305" s="83"/>
      <c r="G305" s="83"/>
      <c r="H305" s="227"/>
      <c r="I305" s="225"/>
      <c r="J305" s="225"/>
      <c r="K305" s="226"/>
      <c r="L305" s="227"/>
      <c r="M305" s="227"/>
      <c r="N305" s="228"/>
      <c r="O305" s="229"/>
      <c r="P305" s="230"/>
      <c r="Q305" s="231"/>
      <c r="R305" s="231"/>
      <c r="S305" s="231"/>
    </row>
    <row r="306" spans="2:19" ht="14.25" customHeight="1" x14ac:dyDescent="0.25">
      <c r="B306" s="82"/>
      <c r="C306" s="242"/>
      <c r="D306" s="83"/>
      <c r="E306" s="83"/>
      <c r="F306" s="83"/>
      <c r="G306" s="83"/>
      <c r="H306" s="227"/>
      <c r="I306" s="225"/>
      <c r="J306" s="225"/>
      <c r="K306" s="226"/>
      <c r="L306" s="227"/>
      <c r="M306" s="227"/>
      <c r="N306" s="228"/>
      <c r="O306" s="229"/>
      <c r="P306" s="230"/>
      <c r="Q306" s="231"/>
      <c r="R306" s="231"/>
      <c r="S306" s="231"/>
    </row>
    <row r="307" spans="2:19" ht="14.25" customHeight="1" x14ac:dyDescent="0.25">
      <c r="B307" s="82"/>
      <c r="C307" s="242"/>
      <c r="D307" s="83"/>
      <c r="E307" s="83"/>
      <c r="F307" s="83"/>
      <c r="G307" s="83"/>
      <c r="H307" s="227"/>
      <c r="I307" s="225"/>
      <c r="J307" s="225"/>
      <c r="K307" s="226"/>
      <c r="L307" s="227"/>
      <c r="M307" s="227"/>
      <c r="N307" s="228"/>
      <c r="O307" s="229"/>
      <c r="P307" s="230"/>
      <c r="Q307" s="231"/>
      <c r="R307" s="231"/>
      <c r="S307" s="231"/>
    </row>
    <row r="308" spans="2:19" ht="14.25" customHeight="1" x14ac:dyDescent="0.25">
      <c r="B308" s="82"/>
      <c r="C308" s="242"/>
      <c r="D308" s="83"/>
      <c r="E308" s="83"/>
      <c r="F308" s="83"/>
      <c r="G308" s="83"/>
      <c r="H308" s="227"/>
      <c r="I308" s="225"/>
      <c r="J308" s="225"/>
      <c r="K308" s="226"/>
      <c r="L308" s="227"/>
      <c r="M308" s="227"/>
      <c r="N308" s="228"/>
      <c r="O308" s="229"/>
      <c r="P308" s="230"/>
      <c r="Q308" s="231"/>
      <c r="R308" s="231"/>
      <c r="S308" s="231"/>
    </row>
    <row r="309" spans="2:19" ht="14.25" customHeight="1" x14ac:dyDescent="0.25">
      <c r="B309" s="82"/>
      <c r="C309" s="242"/>
      <c r="D309" s="83"/>
      <c r="E309" s="83"/>
      <c r="F309" s="83"/>
      <c r="G309" s="83"/>
      <c r="H309" s="227"/>
      <c r="I309" s="225"/>
      <c r="J309" s="225"/>
      <c r="K309" s="226"/>
      <c r="L309" s="227"/>
      <c r="M309" s="227"/>
      <c r="N309" s="228"/>
      <c r="O309" s="229"/>
      <c r="P309" s="230"/>
      <c r="Q309" s="231"/>
      <c r="R309" s="231"/>
      <c r="S309" s="231"/>
    </row>
    <row r="310" spans="2:19" ht="14.25" customHeight="1" x14ac:dyDescent="0.25">
      <c r="B310" s="82"/>
      <c r="C310" s="242"/>
      <c r="D310" s="83"/>
      <c r="E310" s="83"/>
      <c r="F310" s="83"/>
      <c r="G310" s="83"/>
      <c r="H310" s="227"/>
      <c r="I310" s="225"/>
      <c r="J310" s="225"/>
      <c r="K310" s="226"/>
      <c r="L310" s="227"/>
      <c r="M310" s="227"/>
      <c r="N310" s="228"/>
      <c r="O310" s="229"/>
      <c r="P310" s="230"/>
      <c r="Q310" s="231"/>
      <c r="R310" s="231"/>
      <c r="S310" s="231"/>
    </row>
    <row r="311" spans="2:19" ht="14.25" customHeight="1" x14ac:dyDescent="0.25">
      <c r="B311" s="82"/>
      <c r="C311" s="242"/>
      <c r="D311" s="83"/>
      <c r="E311" s="83"/>
      <c r="F311" s="83"/>
      <c r="G311" s="83"/>
      <c r="H311" s="227"/>
      <c r="I311" s="225"/>
      <c r="J311" s="225"/>
      <c r="K311" s="226"/>
      <c r="L311" s="227"/>
      <c r="M311" s="227"/>
      <c r="N311" s="228"/>
      <c r="O311" s="229"/>
      <c r="P311" s="230"/>
      <c r="Q311" s="231"/>
      <c r="R311" s="231"/>
      <c r="S311" s="231"/>
    </row>
    <row r="312" spans="2:19" ht="14.25" customHeight="1" x14ac:dyDescent="0.25">
      <c r="B312" s="82"/>
      <c r="C312" s="242"/>
      <c r="D312" s="83"/>
      <c r="E312" s="83"/>
      <c r="F312" s="83"/>
      <c r="G312" s="83"/>
      <c r="H312" s="227"/>
      <c r="I312" s="225"/>
      <c r="J312" s="225"/>
      <c r="K312" s="226"/>
      <c r="L312" s="227"/>
      <c r="M312" s="227"/>
      <c r="N312" s="228"/>
      <c r="O312" s="229"/>
      <c r="P312" s="230"/>
      <c r="Q312" s="231"/>
      <c r="R312" s="231"/>
      <c r="S312" s="231"/>
    </row>
    <row r="313" spans="2:19" ht="14.25" customHeight="1" x14ac:dyDescent="0.25">
      <c r="B313" s="82"/>
      <c r="C313" s="242"/>
      <c r="D313" s="83"/>
      <c r="E313" s="83"/>
      <c r="F313" s="83"/>
      <c r="G313" s="83"/>
      <c r="H313" s="227"/>
      <c r="I313" s="225"/>
      <c r="J313" s="225"/>
      <c r="K313" s="226"/>
      <c r="L313" s="227"/>
      <c r="M313" s="227"/>
      <c r="N313" s="228"/>
      <c r="O313" s="229"/>
      <c r="P313" s="230"/>
      <c r="Q313" s="231"/>
      <c r="R313" s="231"/>
      <c r="S313" s="231"/>
    </row>
    <row r="314" spans="2:19" ht="14.25" customHeight="1" x14ac:dyDescent="0.25">
      <c r="B314" s="82"/>
      <c r="C314" s="242"/>
      <c r="D314" s="83"/>
      <c r="E314" s="83"/>
      <c r="F314" s="83"/>
      <c r="G314" s="83"/>
      <c r="H314" s="227"/>
      <c r="I314" s="225"/>
      <c r="J314" s="225"/>
      <c r="K314" s="226"/>
      <c r="L314" s="227"/>
      <c r="M314" s="227"/>
      <c r="N314" s="228"/>
      <c r="O314" s="229"/>
      <c r="P314" s="230"/>
      <c r="Q314" s="231"/>
      <c r="R314" s="231"/>
      <c r="S314" s="231"/>
    </row>
    <row r="315" spans="2:19" ht="14.25" customHeight="1" x14ac:dyDescent="0.25">
      <c r="B315" s="82"/>
      <c r="C315" s="242"/>
      <c r="D315" s="83"/>
      <c r="E315" s="83"/>
      <c r="F315" s="83"/>
      <c r="G315" s="83"/>
      <c r="H315" s="227"/>
      <c r="I315" s="225"/>
      <c r="J315" s="225"/>
      <c r="K315" s="226"/>
      <c r="L315" s="227"/>
      <c r="M315" s="227"/>
      <c r="N315" s="228"/>
      <c r="O315" s="229"/>
      <c r="P315" s="230"/>
      <c r="Q315" s="231"/>
      <c r="R315" s="231"/>
      <c r="S315" s="231"/>
    </row>
    <row r="316" spans="2:19" ht="14.25" customHeight="1" x14ac:dyDescent="0.25">
      <c r="B316" s="82"/>
      <c r="C316" s="242"/>
      <c r="D316" s="83"/>
      <c r="E316" s="83"/>
      <c r="F316" s="83"/>
      <c r="G316" s="83"/>
      <c r="H316" s="227"/>
      <c r="I316" s="225"/>
      <c r="J316" s="225"/>
      <c r="K316" s="226"/>
      <c r="L316" s="227"/>
      <c r="M316" s="227"/>
      <c r="N316" s="228"/>
      <c r="O316" s="229"/>
      <c r="P316" s="230"/>
      <c r="Q316" s="231"/>
      <c r="R316" s="231"/>
      <c r="S316" s="231"/>
    </row>
    <row r="317" spans="2:19" ht="14.25" customHeight="1" x14ac:dyDescent="0.25">
      <c r="B317" s="82"/>
      <c r="C317" s="242"/>
      <c r="D317" s="83"/>
      <c r="E317" s="83"/>
      <c r="F317" s="83"/>
      <c r="G317" s="83"/>
      <c r="H317" s="227"/>
      <c r="I317" s="225"/>
      <c r="J317" s="225"/>
      <c r="K317" s="226"/>
      <c r="L317" s="227"/>
      <c r="M317" s="227"/>
      <c r="N317" s="228"/>
      <c r="O317" s="229"/>
      <c r="P317" s="230"/>
      <c r="Q317" s="231"/>
      <c r="R317" s="231"/>
      <c r="S317" s="231"/>
    </row>
    <row r="318" spans="2:19" ht="14.25" customHeight="1" x14ac:dyDescent="0.25">
      <c r="B318" s="82"/>
      <c r="C318" s="242"/>
      <c r="D318" s="83"/>
      <c r="E318" s="83"/>
      <c r="F318" s="83"/>
      <c r="G318" s="83"/>
      <c r="H318" s="227"/>
      <c r="I318" s="225"/>
      <c r="J318" s="225"/>
      <c r="K318" s="226"/>
      <c r="L318" s="227"/>
      <c r="M318" s="227"/>
      <c r="N318" s="228"/>
      <c r="O318" s="229"/>
      <c r="P318" s="230"/>
      <c r="Q318" s="231"/>
      <c r="R318" s="231"/>
      <c r="S318" s="231"/>
    </row>
    <row r="319" spans="2:19" ht="14.25" customHeight="1" x14ac:dyDescent="0.25">
      <c r="B319" s="82"/>
      <c r="C319" s="242"/>
      <c r="D319" s="83"/>
      <c r="E319" s="83"/>
      <c r="F319" s="83"/>
      <c r="G319" s="83"/>
      <c r="H319" s="227"/>
      <c r="I319" s="225"/>
      <c r="J319" s="225"/>
      <c r="K319" s="226"/>
      <c r="L319" s="227"/>
      <c r="M319" s="227"/>
      <c r="N319" s="228"/>
      <c r="O319" s="229"/>
      <c r="P319" s="230"/>
      <c r="Q319" s="231"/>
      <c r="R319" s="231"/>
      <c r="S319" s="231"/>
    </row>
    <row r="320" spans="2:19" ht="14.25" customHeight="1" x14ac:dyDescent="0.25">
      <c r="B320" s="82"/>
      <c r="C320" s="242"/>
      <c r="D320" s="83"/>
      <c r="E320" s="83"/>
      <c r="F320" s="83"/>
      <c r="G320" s="83"/>
      <c r="H320" s="227"/>
      <c r="I320" s="225"/>
      <c r="J320" s="225"/>
      <c r="K320" s="226"/>
      <c r="L320" s="227"/>
      <c r="M320" s="227"/>
      <c r="N320" s="228"/>
      <c r="O320" s="229"/>
      <c r="P320" s="230"/>
      <c r="Q320" s="231"/>
      <c r="R320" s="231"/>
      <c r="S320" s="231"/>
    </row>
    <row r="321" spans="2:19" ht="14.25" customHeight="1" x14ac:dyDescent="0.25">
      <c r="B321" s="82"/>
      <c r="C321" s="242"/>
      <c r="D321" s="83"/>
      <c r="E321" s="83"/>
      <c r="F321" s="83"/>
      <c r="G321" s="83"/>
      <c r="H321" s="227"/>
      <c r="I321" s="225"/>
      <c r="J321" s="225"/>
      <c r="K321" s="226"/>
      <c r="L321" s="227"/>
      <c r="M321" s="227"/>
      <c r="N321" s="228"/>
      <c r="O321" s="229"/>
      <c r="P321" s="230"/>
      <c r="Q321" s="231"/>
      <c r="R321" s="231"/>
      <c r="S321" s="231"/>
    </row>
    <row r="322" spans="2:19" ht="14.25" customHeight="1" x14ac:dyDescent="0.25">
      <c r="B322" s="82"/>
      <c r="C322" s="242"/>
      <c r="D322" s="83"/>
      <c r="E322" s="83"/>
      <c r="F322" s="83"/>
      <c r="G322" s="83"/>
      <c r="H322" s="227"/>
      <c r="I322" s="225"/>
      <c r="J322" s="225"/>
      <c r="K322" s="226"/>
      <c r="L322" s="227"/>
      <c r="M322" s="227"/>
      <c r="N322" s="228"/>
      <c r="O322" s="229"/>
      <c r="P322" s="230"/>
      <c r="Q322" s="231"/>
      <c r="R322" s="231"/>
      <c r="S322" s="231"/>
    </row>
    <row r="323" spans="2:19" ht="14.25" customHeight="1" x14ac:dyDescent="0.25">
      <c r="B323" s="82"/>
      <c r="C323" s="242"/>
      <c r="D323" s="83"/>
      <c r="E323" s="83"/>
      <c r="F323" s="83"/>
      <c r="G323" s="83"/>
      <c r="H323" s="227"/>
      <c r="I323" s="225"/>
      <c r="J323" s="225"/>
      <c r="K323" s="226"/>
      <c r="L323" s="227"/>
      <c r="M323" s="227"/>
      <c r="N323" s="228"/>
      <c r="O323" s="229"/>
      <c r="P323" s="230"/>
      <c r="Q323" s="231"/>
      <c r="R323" s="231"/>
      <c r="S323" s="231"/>
    </row>
    <row r="324" spans="2:19" ht="14.25" customHeight="1" x14ac:dyDescent="0.25">
      <c r="B324" s="82"/>
      <c r="C324" s="242"/>
      <c r="D324" s="83"/>
      <c r="E324" s="83"/>
      <c r="F324" s="83"/>
      <c r="G324" s="83"/>
      <c r="H324" s="227"/>
      <c r="I324" s="225"/>
      <c r="J324" s="225"/>
      <c r="K324" s="226"/>
      <c r="L324" s="227"/>
      <c r="M324" s="227"/>
      <c r="N324" s="228"/>
      <c r="O324" s="229"/>
      <c r="P324" s="230"/>
      <c r="Q324" s="231"/>
      <c r="R324" s="231"/>
      <c r="S324" s="231"/>
    </row>
    <row r="325" spans="2:19" ht="14.25" customHeight="1" x14ac:dyDescent="0.25">
      <c r="B325" s="82"/>
      <c r="C325" s="242"/>
      <c r="D325" s="83"/>
      <c r="E325" s="83"/>
      <c r="F325" s="83"/>
      <c r="G325" s="83"/>
      <c r="H325" s="227"/>
      <c r="I325" s="225"/>
      <c r="J325" s="225"/>
      <c r="K325" s="226"/>
      <c r="L325" s="227"/>
      <c r="M325" s="227"/>
      <c r="N325" s="228"/>
      <c r="O325" s="229"/>
      <c r="P325" s="230"/>
      <c r="Q325" s="231"/>
      <c r="R325" s="231"/>
      <c r="S325" s="231"/>
    </row>
    <row r="326" spans="2:19" ht="14.25" customHeight="1" x14ac:dyDescent="0.25">
      <c r="B326" s="82"/>
      <c r="C326" s="242"/>
      <c r="D326" s="83"/>
      <c r="E326" s="83"/>
      <c r="F326" s="83"/>
      <c r="G326" s="83"/>
      <c r="H326" s="227"/>
      <c r="I326" s="225"/>
      <c r="J326" s="225"/>
      <c r="K326" s="226"/>
      <c r="L326" s="227"/>
      <c r="M326" s="227"/>
      <c r="N326" s="228"/>
      <c r="O326" s="229"/>
      <c r="P326" s="230"/>
      <c r="Q326" s="231"/>
      <c r="R326" s="231"/>
      <c r="S326" s="231"/>
    </row>
    <row r="327" spans="2:19" ht="14.25" customHeight="1" x14ac:dyDescent="0.25">
      <c r="B327" s="82"/>
      <c r="C327" s="242"/>
      <c r="D327" s="83"/>
      <c r="E327" s="83"/>
      <c r="F327" s="83"/>
      <c r="G327" s="83"/>
      <c r="H327" s="227"/>
      <c r="I327" s="225"/>
      <c r="J327" s="225"/>
      <c r="K327" s="226"/>
      <c r="L327" s="227"/>
      <c r="M327" s="227"/>
      <c r="N327" s="228"/>
      <c r="O327" s="229"/>
      <c r="P327" s="230"/>
      <c r="Q327" s="231"/>
      <c r="R327" s="231"/>
      <c r="S327" s="231"/>
    </row>
    <row r="328" spans="2:19" ht="14.25" customHeight="1" x14ac:dyDescent="0.25">
      <c r="B328" s="82"/>
      <c r="C328" s="242"/>
      <c r="D328" s="83"/>
      <c r="E328" s="83"/>
      <c r="F328" s="83"/>
      <c r="G328" s="83"/>
      <c r="H328" s="227"/>
      <c r="I328" s="225"/>
      <c r="J328" s="225"/>
      <c r="K328" s="226"/>
      <c r="L328" s="227"/>
      <c r="M328" s="227"/>
      <c r="N328" s="228"/>
      <c r="O328" s="229"/>
      <c r="P328" s="230"/>
      <c r="Q328" s="231"/>
      <c r="R328" s="231"/>
      <c r="S328" s="231"/>
    </row>
    <row r="329" spans="2:19" ht="14.25" customHeight="1" x14ac:dyDescent="0.25">
      <c r="B329" s="82"/>
      <c r="C329" s="242"/>
      <c r="D329" s="83"/>
      <c r="E329" s="83"/>
      <c r="F329" s="83"/>
      <c r="G329" s="83"/>
      <c r="H329" s="227"/>
      <c r="I329" s="225"/>
      <c r="J329" s="225"/>
      <c r="K329" s="226"/>
      <c r="L329" s="227"/>
      <c r="M329" s="227"/>
      <c r="N329" s="228"/>
      <c r="O329" s="229"/>
      <c r="P329" s="230"/>
      <c r="Q329" s="231"/>
      <c r="R329" s="231"/>
      <c r="S329" s="231"/>
    </row>
    <row r="330" spans="2:19" ht="14.25" customHeight="1" x14ac:dyDescent="0.25">
      <c r="B330" s="82"/>
      <c r="C330" s="242"/>
      <c r="D330" s="83"/>
      <c r="E330" s="83"/>
      <c r="F330" s="83"/>
      <c r="G330" s="83"/>
      <c r="H330" s="227"/>
      <c r="I330" s="225"/>
      <c r="J330" s="225"/>
      <c r="K330" s="226"/>
      <c r="L330" s="227"/>
      <c r="M330" s="227"/>
      <c r="N330" s="228"/>
      <c r="O330" s="229"/>
      <c r="P330" s="230"/>
      <c r="Q330" s="231"/>
      <c r="R330" s="231"/>
      <c r="S330" s="231"/>
    </row>
    <row r="331" spans="2:19" ht="14.25" customHeight="1" x14ac:dyDescent="0.25">
      <c r="B331" s="82"/>
      <c r="C331" s="242"/>
      <c r="D331" s="83"/>
      <c r="E331" s="83"/>
      <c r="F331" s="83"/>
      <c r="G331" s="83"/>
      <c r="H331" s="227"/>
      <c r="I331" s="225"/>
      <c r="J331" s="225"/>
      <c r="K331" s="226"/>
      <c r="L331" s="227"/>
      <c r="M331" s="227"/>
      <c r="N331" s="228"/>
      <c r="O331" s="229"/>
      <c r="P331" s="230"/>
      <c r="Q331" s="231"/>
      <c r="R331" s="231"/>
      <c r="S331" s="231"/>
    </row>
    <row r="332" spans="2:19" ht="14.25" customHeight="1" x14ac:dyDescent="0.25">
      <c r="B332" s="82"/>
      <c r="C332" s="242"/>
      <c r="D332" s="83"/>
      <c r="E332" s="83"/>
      <c r="F332" s="83"/>
      <c r="G332" s="83"/>
      <c r="H332" s="227"/>
      <c r="I332" s="225"/>
      <c r="J332" s="225"/>
      <c r="K332" s="226"/>
      <c r="L332" s="227"/>
      <c r="M332" s="227"/>
      <c r="N332" s="228"/>
      <c r="O332" s="229"/>
      <c r="P332" s="230"/>
      <c r="Q332" s="231"/>
      <c r="R332" s="231"/>
      <c r="S332" s="231"/>
    </row>
    <row r="333" spans="2:19" ht="14.25" customHeight="1" x14ac:dyDescent="0.25">
      <c r="B333" s="82"/>
      <c r="C333" s="242"/>
      <c r="D333" s="83"/>
      <c r="E333" s="83"/>
      <c r="F333" s="83"/>
      <c r="G333" s="83"/>
      <c r="H333" s="227"/>
      <c r="I333" s="225"/>
      <c r="J333" s="225"/>
      <c r="K333" s="226"/>
      <c r="L333" s="227"/>
      <c r="M333" s="227"/>
      <c r="N333" s="228"/>
      <c r="O333" s="229"/>
      <c r="P333" s="230"/>
      <c r="Q333" s="231"/>
      <c r="R333" s="231"/>
      <c r="S333" s="231"/>
    </row>
    <row r="334" spans="2:19" ht="14.25" customHeight="1" x14ac:dyDescent="0.25">
      <c r="B334" s="82"/>
      <c r="C334" s="242"/>
      <c r="D334" s="83"/>
      <c r="E334" s="83"/>
      <c r="F334" s="83"/>
      <c r="G334" s="83"/>
      <c r="H334" s="227"/>
      <c r="I334" s="225"/>
      <c r="J334" s="225"/>
      <c r="K334" s="226"/>
      <c r="L334" s="227"/>
      <c r="M334" s="227"/>
      <c r="N334" s="228"/>
      <c r="O334" s="229"/>
      <c r="P334" s="230"/>
      <c r="Q334" s="231"/>
      <c r="R334" s="231"/>
      <c r="S334" s="231"/>
    </row>
    <row r="335" spans="2:19" ht="14.25" customHeight="1" x14ac:dyDescent="0.25">
      <c r="B335" s="82"/>
      <c r="C335" s="242"/>
      <c r="D335" s="83"/>
      <c r="E335" s="83"/>
      <c r="F335" s="83"/>
      <c r="G335" s="83"/>
      <c r="H335" s="227"/>
      <c r="I335" s="225"/>
      <c r="J335" s="225"/>
      <c r="K335" s="226"/>
      <c r="L335" s="227"/>
      <c r="M335" s="227"/>
      <c r="N335" s="228"/>
      <c r="O335" s="229"/>
      <c r="P335" s="230"/>
      <c r="Q335" s="231"/>
      <c r="R335" s="231"/>
      <c r="S335" s="231"/>
    </row>
    <row r="336" spans="2:19" ht="14.25" customHeight="1" x14ac:dyDescent="0.25">
      <c r="B336" s="82"/>
      <c r="C336" s="242"/>
      <c r="D336" s="83"/>
      <c r="E336" s="83"/>
      <c r="F336" s="83"/>
      <c r="G336" s="83"/>
      <c r="H336" s="227"/>
      <c r="I336" s="225"/>
      <c r="J336" s="225"/>
      <c r="K336" s="226"/>
      <c r="L336" s="227"/>
      <c r="M336" s="227"/>
      <c r="N336" s="228"/>
      <c r="O336" s="229"/>
      <c r="P336" s="230"/>
      <c r="Q336" s="231"/>
      <c r="R336" s="231"/>
      <c r="S336" s="231"/>
    </row>
    <row r="337" spans="2:19" ht="14.25" customHeight="1" x14ac:dyDescent="0.25">
      <c r="B337" s="82"/>
      <c r="C337" s="242"/>
      <c r="D337" s="83"/>
      <c r="E337" s="83"/>
      <c r="F337" s="83"/>
      <c r="G337" s="83"/>
      <c r="H337" s="227"/>
      <c r="I337" s="225"/>
      <c r="J337" s="225"/>
      <c r="K337" s="226"/>
      <c r="L337" s="227"/>
      <c r="M337" s="227"/>
      <c r="N337" s="228"/>
      <c r="O337" s="229"/>
      <c r="P337" s="230"/>
      <c r="Q337" s="231"/>
      <c r="R337" s="231"/>
      <c r="S337" s="231"/>
    </row>
    <row r="338" spans="2:19" ht="14.25" customHeight="1" x14ac:dyDescent="0.25">
      <c r="B338" s="82"/>
      <c r="C338" s="242"/>
      <c r="D338" s="83"/>
      <c r="E338" s="83"/>
      <c r="F338" s="83"/>
      <c r="G338" s="83"/>
      <c r="H338" s="227"/>
      <c r="I338" s="225"/>
      <c r="J338" s="225"/>
      <c r="K338" s="226"/>
      <c r="L338" s="227"/>
      <c r="M338" s="227"/>
      <c r="N338" s="228"/>
      <c r="O338" s="229"/>
      <c r="P338" s="230"/>
      <c r="Q338" s="231"/>
      <c r="R338" s="231"/>
      <c r="S338" s="231"/>
    </row>
    <row r="339" spans="2:19" ht="14.25" customHeight="1" x14ac:dyDescent="0.25">
      <c r="B339" s="82"/>
      <c r="C339" s="242"/>
      <c r="D339" s="83"/>
      <c r="E339" s="83"/>
      <c r="F339" s="83"/>
      <c r="G339" s="83"/>
      <c r="H339" s="227"/>
      <c r="I339" s="225"/>
      <c r="J339" s="225"/>
      <c r="K339" s="226"/>
      <c r="L339" s="227"/>
      <c r="M339" s="227"/>
      <c r="N339" s="228"/>
      <c r="O339" s="229"/>
      <c r="P339" s="230"/>
      <c r="Q339" s="231"/>
      <c r="R339" s="231"/>
      <c r="S339" s="231"/>
    </row>
    <row r="340" spans="2:19" ht="14.25" customHeight="1" x14ac:dyDescent="0.25">
      <c r="B340" s="82"/>
      <c r="C340" s="242"/>
      <c r="D340" s="83"/>
      <c r="E340" s="83"/>
      <c r="F340" s="83"/>
      <c r="G340" s="83"/>
      <c r="H340" s="227"/>
      <c r="I340" s="225"/>
      <c r="J340" s="225"/>
      <c r="K340" s="226"/>
      <c r="L340" s="227"/>
      <c r="M340" s="227"/>
      <c r="N340" s="228"/>
      <c r="O340" s="229"/>
      <c r="P340" s="230"/>
      <c r="Q340" s="231"/>
      <c r="R340" s="231"/>
      <c r="S340" s="231"/>
    </row>
    <row r="341" spans="2:19" ht="14.25" customHeight="1" x14ac:dyDescent="0.25">
      <c r="B341" s="82"/>
      <c r="C341" s="242"/>
      <c r="D341" s="83"/>
      <c r="E341" s="83"/>
      <c r="F341" s="83"/>
      <c r="G341" s="83"/>
      <c r="H341" s="227"/>
      <c r="I341" s="225"/>
      <c r="J341" s="225"/>
      <c r="K341" s="226"/>
      <c r="L341" s="227"/>
      <c r="M341" s="227"/>
      <c r="N341" s="228"/>
      <c r="O341" s="229"/>
      <c r="P341" s="230"/>
      <c r="Q341" s="231"/>
      <c r="R341" s="231"/>
      <c r="S341" s="231"/>
    </row>
    <row r="342" spans="2:19" ht="14.25" customHeight="1" x14ac:dyDescent="0.25">
      <c r="B342" s="82"/>
      <c r="C342" s="242"/>
      <c r="D342" s="83"/>
      <c r="E342" s="83"/>
      <c r="F342" s="83"/>
      <c r="G342" s="83"/>
      <c r="H342" s="227"/>
      <c r="I342" s="225"/>
      <c r="J342" s="225"/>
      <c r="K342" s="226"/>
      <c r="L342" s="227"/>
      <c r="M342" s="227"/>
      <c r="N342" s="228"/>
      <c r="O342" s="229"/>
      <c r="P342" s="230"/>
      <c r="Q342" s="231"/>
      <c r="R342" s="231"/>
      <c r="S342" s="231"/>
    </row>
    <row r="343" spans="2:19" ht="14.25" customHeight="1" x14ac:dyDescent="0.25">
      <c r="B343" s="82"/>
      <c r="C343" s="242"/>
      <c r="D343" s="83"/>
      <c r="E343" s="83"/>
      <c r="F343" s="83"/>
      <c r="G343" s="83"/>
      <c r="H343" s="227"/>
      <c r="I343" s="225"/>
      <c r="J343" s="225"/>
      <c r="K343" s="226"/>
      <c r="L343" s="227"/>
      <c r="M343" s="227"/>
      <c r="N343" s="228"/>
      <c r="O343" s="229"/>
      <c r="P343" s="230"/>
      <c r="Q343" s="231"/>
      <c r="R343" s="231"/>
      <c r="S343" s="231"/>
    </row>
    <row r="344" spans="2:19" ht="14.25" customHeight="1" x14ac:dyDescent="0.25">
      <c r="B344" s="82"/>
      <c r="C344" s="242"/>
      <c r="D344" s="83"/>
      <c r="E344" s="83"/>
      <c r="F344" s="83"/>
      <c r="G344" s="83"/>
      <c r="H344" s="227"/>
      <c r="I344" s="225"/>
      <c r="J344" s="225"/>
      <c r="K344" s="226"/>
      <c r="L344" s="227"/>
      <c r="M344" s="227"/>
      <c r="N344" s="228"/>
      <c r="O344" s="229"/>
      <c r="P344" s="230"/>
      <c r="Q344" s="231"/>
      <c r="R344" s="231"/>
      <c r="S344" s="231"/>
    </row>
    <row r="345" spans="2:19" ht="14.25" customHeight="1" x14ac:dyDescent="0.25">
      <c r="B345" s="82"/>
      <c r="C345" s="242"/>
      <c r="D345" s="83"/>
      <c r="E345" s="83"/>
      <c r="F345" s="83"/>
      <c r="G345" s="83"/>
      <c r="H345" s="227"/>
      <c r="I345" s="225"/>
      <c r="J345" s="225"/>
      <c r="K345" s="226"/>
      <c r="L345" s="227"/>
      <c r="M345" s="227"/>
      <c r="N345" s="228"/>
      <c r="O345" s="229"/>
      <c r="P345" s="230"/>
      <c r="Q345" s="231"/>
      <c r="R345" s="231"/>
      <c r="S345" s="231"/>
    </row>
    <row r="346" spans="2:19" ht="14.25" customHeight="1" x14ac:dyDescent="0.25">
      <c r="B346" s="82"/>
      <c r="C346" s="242"/>
      <c r="D346" s="83"/>
      <c r="E346" s="83"/>
      <c r="F346" s="83"/>
      <c r="G346" s="83"/>
      <c r="H346" s="227"/>
      <c r="I346" s="225"/>
      <c r="J346" s="225"/>
      <c r="K346" s="226"/>
      <c r="L346" s="227"/>
      <c r="M346" s="227"/>
      <c r="N346" s="228"/>
      <c r="O346" s="229"/>
      <c r="P346" s="230"/>
      <c r="Q346" s="231"/>
      <c r="R346" s="231"/>
      <c r="S346" s="231"/>
    </row>
    <row r="347" spans="2:19" ht="14.25" customHeight="1" x14ac:dyDescent="0.25">
      <c r="B347" s="82"/>
      <c r="C347" s="242"/>
      <c r="D347" s="83"/>
      <c r="E347" s="83"/>
      <c r="F347" s="83"/>
      <c r="G347" s="83"/>
      <c r="H347" s="227"/>
      <c r="I347" s="225"/>
      <c r="J347" s="225"/>
      <c r="K347" s="226"/>
      <c r="L347" s="227"/>
      <c r="M347" s="227"/>
      <c r="N347" s="228"/>
      <c r="O347" s="229"/>
      <c r="P347" s="230"/>
      <c r="Q347" s="231"/>
      <c r="R347" s="231"/>
      <c r="S347" s="231"/>
    </row>
    <row r="348" spans="2:19" ht="14.25" customHeight="1" x14ac:dyDescent="0.25">
      <c r="B348" s="82"/>
      <c r="C348" s="242"/>
      <c r="D348" s="83"/>
      <c r="E348" s="83"/>
      <c r="F348" s="83"/>
      <c r="G348" s="83"/>
      <c r="H348" s="227"/>
      <c r="I348" s="225"/>
      <c r="J348" s="225"/>
      <c r="K348" s="226"/>
      <c r="L348" s="227"/>
      <c r="M348" s="227"/>
      <c r="N348" s="228"/>
      <c r="O348" s="229"/>
      <c r="P348" s="230"/>
      <c r="Q348" s="231"/>
      <c r="R348" s="231"/>
      <c r="S348" s="231"/>
    </row>
    <row r="349" spans="2:19" ht="14.25" customHeight="1" x14ac:dyDescent="0.25">
      <c r="B349" s="82"/>
      <c r="C349" s="242"/>
      <c r="D349" s="83"/>
      <c r="E349" s="83"/>
      <c r="F349" s="83"/>
      <c r="G349" s="83"/>
      <c r="H349" s="227"/>
      <c r="I349" s="225"/>
      <c r="J349" s="225"/>
      <c r="K349" s="226"/>
      <c r="L349" s="227"/>
      <c r="M349" s="227"/>
      <c r="N349" s="228"/>
      <c r="O349" s="229"/>
      <c r="P349" s="230"/>
      <c r="Q349" s="231"/>
      <c r="R349" s="231"/>
      <c r="S349" s="231"/>
    </row>
    <row r="350" spans="2:19" ht="14.25" customHeight="1" x14ac:dyDescent="0.25">
      <c r="B350" s="82"/>
      <c r="C350" s="242"/>
      <c r="D350" s="83"/>
      <c r="E350" s="83"/>
      <c r="F350" s="83"/>
      <c r="G350" s="83"/>
      <c r="H350" s="227"/>
      <c r="I350" s="225"/>
      <c r="J350" s="225"/>
      <c r="K350" s="226"/>
      <c r="L350" s="227"/>
      <c r="M350" s="227"/>
      <c r="N350" s="228"/>
      <c r="O350" s="229"/>
      <c r="P350" s="230"/>
      <c r="Q350" s="231"/>
      <c r="R350" s="231"/>
      <c r="S350" s="231"/>
    </row>
    <row r="351" spans="2:19" ht="14.25" customHeight="1" x14ac:dyDescent="0.25">
      <c r="B351" s="82"/>
      <c r="C351" s="242"/>
      <c r="D351" s="83"/>
      <c r="E351" s="83"/>
      <c r="F351" s="83"/>
      <c r="G351" s="83"/>
      <c r="H351" s="227"/>
      <c r="I351" s="225"/>
      <c r="J351" s="225"/>
      <c r="K351" s="226"/>
      <c r="L351" s="227"/>
      <c r="M351" s="227"/>
      <c r="N351" s="228"/>
      <c r="O351" s="229"/>
      <c r="P351" s="230"/>
      <c r="Q351" s="231"/>
      <c r="R351" s="231"/>
      <c r="S351" s="231"/>
    </row>
    <row r="352" spans="2:19" ht="14.25" customHeight="1" x14ac:dyDescent="0.25">
      <c r="B352" s="82"/>
      <c r="C352" s="242"/>
      <c r="D352" s="83"/>
      <c r="E352" s="83"/>
      <c r="F352" s="83"/>
      <c r="G352" s="83"/>
      <c r="H352" s="227"/>
      <c r="I352" s="225"/>
      <c r="J352" s="225"/>
      <c r="K352" s="226"/>
      <c r="L352" s="227"/>
      <c r="M352" s="227"/>
      <c r="N352" s="228"/>
      <c r="O352" s="229"/>
      <c r="P352" s="230"/>
      <c r="Q352" s="231"/>
      <c r="R352" s="231"/>
      <c r="S352" s="231"/>
    </row>
    <row r="353" spans="2:19" ht="14.25" customHeight="1" x14ac:dyDescent="0.25">
      <c r="B353" s="82"/>
      <c r="C353" s="242"/>
      <c r="D353" s="83"/>
      <c r="E353" s="83"/>
      <c r="F353" s="83"/>
      <c r="G353" s="83"/>
      <c r="H353" s="227"/>
      <c r="I353" s="225"/>
      <c r="J353" s="225"/>
      <c r="K353" s="226"/>
      <c r="L353" s="227"/>
      <c r="M353" s="227"/>
      <c r="N353" s="228"/>
      <c r="O353" s="229"/>
      <c r="P353" s="230"/>
      <c r="Q353" s="231"/>
      <c r="R353" s="231"/>
      <c r="S353" s="231"/>
    </row>
    <row r="354" spans="2:19" ht="14.25" customHeight="1" x14ac:dyDescent="0.25">
      <c r="B354" s="82"/>
      <c r="C354" s="242"/>
      <c r="D354" s="83"/>
      <c r="E354" s="83"/>
      <c r="F354" s="83"/>
      <c r="G354" s="83"/>
      <c r="H354" s="227"/>
      <c r="I354" s="225"/>
      <c r="J354" s="225"/>
      <c r="K354" s="226"/>
      <c r="L354" s="227"/>
      <c r="M354" s="227"/>
      <c r="N354" s="228"/>
      <c r="O354" s="229"/>
      <c r="P354" s="230"/>
      <c r="Q354" s="231"/>
      <c r="R354" s="231"/>
      <c r="S354" s="231"/>
    </row>
    <row r="355" spans="2:19" ht="14.25" customHeight="1" x14ac:dyDescent="0.25">
      <c r="B355" s="82"/>
      <c r="C355" s="242"/>
      <c r="D355" s="83"/>
      <c r="E355" s="83"/>
      <c r="F355" s="83"/>
      <c r="G355" s="83"/>
      <c r="H355" s="227"/>
      <c r="I355" s="225"/>
      <c r="J355" s="225"/>
      <c r="K355" s="226"/>
      <c r="L355" s="227"/>
      <c r="M355" s="227"/>
      <c r="N355" s="228"/>
      <c r="O355" s="229"/>
      <c r="P355" s="230"/>
      <c r="Q355" s="231"/>
      <c r="R355" s="231"/>
      <c r="S355" s="231"/>
    </row>
    <row r="356" spans="2:19" ht="14.25" customHeight="1" x14ac:dyDescent="0.25">
      <c r="B356" s="82"/>
      <c r="C356" s="242"/>
      <c r="D356" s="83"/>
      <c r="E356" s="83"/>
      <c r="F356" s="83"/>
      <c r="G356" s="83"/>
      <c r="H356" s="227"/>
      <c r="I356" s="225"/>
      <c r="J356" s="225"/>
      <c r="K356" s="226"/>
      <c r="L356" s="227"/>
      <c r="M356" s="227"/>
      <c r="N356" s="228"/>
      <c r="O356" s="229"/>
      <c r="P356" s="230"/>
      <c r="Q356" s="231"/>
      <c r="R356" s="231"/>
      <c r="S356" s="231"/>
    </row>
    <row r="357" spans="2:19" ht="14.25" customHeight="1" x14ac:dyDescent="0.25">
      <c r="B357" s="82"/>
      <c r="C357" s="242"/>
      <c r="D357" s="83"/>
      <c r="E357" s="83"/>
      <c r="F357" s="83"/>
      <c r="G357" s="83"/>
      <c r="H357" s="227"/>
      <c r="I357" s="225"/>
      <c r="J357" s="225"/>
      <c r="K357" s="226"/>
      <c r="L357" s="227"/>
      <c r="M357" s="227"/>
      <c r="N357" s="228"/>
      <c r="O357" s="229"/>
      <c r="P357" s="230"/>
      <c r="Q357" s="231"/>
      <c r="R357" s="231"/>
      <c r="S357" s="231"/>
    </row>
    <row r="358" spans="2:19" ht="14.25" customHeight="1" x14ac:dyDescent="0.25">
      <c r="B358" s="82"/>
      <c r="C358" s="242"/>
      <c r="D358" s="83"/>
      <c r="E358" s="83"/>
      <c r="F358" s="83"/>
      <c r="G358" s="83"/>
      <c r="H358" s="227"/>
      <c r="I358" s="225"/>
      <c r="J358" s="225"/>
      <c r="K358" s="226"/>
      <c r="L358" s="227"/>
      <c r="M358" s="227"/>
      <c r="N358" s="228"/>
      <c r="O358" s="229"/>
      <c r="P358" s="230"/>
      <c r="Q358" s="231"/>
      <c r="R358" s="231"/>
      <c r="S358" s="231"/>
    </row>
    <row r="359" spans="2:19" ht="14.25" customHeight="1" x14ac:dyDescent="0.25">
      <c r="B359" s="82"/>
      <c r="C359" s="242"/>
      <c r="D359" s="83"/>
      <c r="E359" s="83"/>
      <c r="F359" s="83"/>
      <c r="G359" s="83"/>
      <c r="H359" s="227"/>
      <c r="I359" s="225"/>
      <c r="J359" s="225"/>
      <c r="K359" s="226"/>
      <c r="L359" s="227"/>
      <c r="M359" s="227"/>
      <c r="N359" s="228"/>
      <c r="O359" s="229"/>
      <c r="P359" s="230"/>
      <c r="Q359" s="231"/>
      <c r="R359" s="231"/>
      <c r="S359" s="231"/>
    </row>
    <row r="360" spans="2:19" ht="14.25" customHeight="1" x14ac:dyDescent="0.25">
      <c r="B360" s="82"/>
      <c r="C360" s="242"/>
      <c r="D360" s="83"/>
      <c r="E360" s="83"/>
      <c r="F360" s="83"/>
      <c r="G360" s="83"/>
      <c r="H360" s="227"/>
      <c r="I360" s="225"/>
      <c r="J360" s="225"/>
      <c r="K360" s="226"/>
      <c r="L360" s="227"/>
      <c r="M360" s="227"/>
      <c r="N360" s="228"/>
      <c r="O360" s="229"/>
      <c r="P360" s="230"/>
      <c r="Q360" s="231"/>
      <c r="R360" s="231"/>
      <c r="S360" s="231"/>
    </row>
    <row r="361" spans="2:19" ht="14.25" customHeight="1" x14ac:dyDescent="0.25">
      <c r="B361" s="82"/>
      <c r="C361" s="242"/>
      <c r="D361" s="83"/>
      <c r="E361" s="83"/>
      <c r="F361" s="83"/>
      <c r="G361" s="83"/>
      <c r="H361" s="227"/>
      <c r="I361" s="225"/>
      <c r="J361" s="225"/>
      <c r="K361" s="226"/>
      <c r="L361" s="227"/>
      <c r="M361" s="227"/>
      <c r="N361" s="228"/>
      <c r="O361" s="229"/>
      <c r="P361" s="230"/>
      <c r="Q361" s="231"/>
      <c r="R361" s="231"/>
      <c r="S361" s="231"/>
    </row>
    <row r="362" spans="2:19" ht="14.25" customHeight="1" x14ac:dyDescent="0.25">
      <c r="B362" s="82"/>
      <c r="C362" s="242"/>
      <c r="D362" s="83"/>
      <c r="E362" s="83"/>
      <c r="F362" s="83"/>
      <c r="G362" s="83"/>
      <c r="H362" s="227"/>
      <c r="I362" s="225"/>
      <c r="J362" s="225"/>
      <c r="K362" s="226"/>
      <c r="L362" s="227"/>
      <c r="M362" s="227"/>
      <c r="N362" s="228"/>
      <c r="O362" s="229"/>
      <c r="P362" s="230"/>
      <c r="Q362" s="231"/>
      <c r="R362" s="231"/>
      <c r="S362" s="231"/>
    </row>
    <row r="363" spans="2:19" ht="14.25" customHeight="1" x14ac:dyDescent="0.25">
      <c r="B363" s="82"/>
      <c r="C363" s="242"/>
      <c r="D363" s="83"/>
      <c r="E363" s="83"/>
      <c r="F363" s="83"/>
      <c r="G363" s="83"/>
      <c r="H363" s="227"/>
      <c r="I363" s="225"/>
      <c r="J363" s="225"/>
      <c r="K363" s="226"/>
      <c r="L363" s="227"/>
      <c r="M363" s="227"/>
      <c r="N363" s="228"/>
      <c r="O363" s="229"/>
      <c r="P363" s="230"/>
      <c r="Q363" s="231"/>
      <c r="R363" s="231"/>
      <c r="S363" s="231"/>
    </row>
    <row r="364" spans="2:19" ht="14.25" customHeight="1" x14ac:dyDescent="0.25">
      <c r="B364" s="82"/>
      <c r="C364" s="242"/>
      <c r="D364" s="83"/>
      <c r="E364" s="83"/>
      <c r="F364" s="83"/>
      <c r="G364" s="83"/>
      <c r="H364" s="227"/>
      <c r="I364" s="225"/>
      <c r="J364" s="225"/>
      <c r="K364" s="226"/>
      <c r="L364" s="227"/>
      <c r="M364" s="227"/>
      <c r="N364" s="228"/>
      <c r="O364" s="229"/>
      <c r="P364" s="230"/>
      <c r="Q364" s="231"/>
      <c r="R364" s="231"/>
      <c r="S364" s="231"/>
    </row>
    <row r="365" spans="2:19" ht="14.25" customHeight="1" x14ac:dyDescent="0.25">
      <c r="B365" s="82"/>
      <c r="C365" s="242"/>
      <c r="D365" s="83"/>
      <c r="E365" s="83"/>
      <c r="F365" s="83"/>
      <c r="G365" s="83"/>
      <c r="H365" s="227"/>
      <c r="I365" s="225"/>
      <c r="J365" s="225"/>
      <c r="K365" s="226"/>
      <c r="L365" s="227"/>
      <c r="M365" s="227"/>
      <c r="N365" s="228"/>
      <c r="O365" s="229"/>
      <c r="P365" s="230"/>
      <c r="Q365" s="231"/>
      <c r="R365" s="231"/>
      <c r="S365" s="231"/>
    </row>
    <row r="366" spans="2:19" ht="14.25" customHeight="1" x14ac:dyDescent="0.25">
      <c r="B366" s="82"/>
      <c r="C366" s="242"/>
      <c r="D366" s="83"/>
      <c r="E366" s="83"/>
      <c r="F366" s="83"/>
      <c r="G366" s="83"/>
      <c r="H366" s="227"/>
      <c r="I366" s="225"/>
      <c r="J366" s="225"/>
      <c r="K366" s="226"/>
      <c r="L366" s="227"/>
      <c r="M366" s="227"/>
      <c r="N366" s="228"/>
      <c r="O366" s="229"/>
      <c r="P366" s="230"/>
      <c r="Q366" s="231"/>
      <c r="R366" s="231"/>
      <c r="S366" s="231"/>
    </row>
    <row r="367" spans="2:19" ht="14.25" customHeight="1" x14ac:dyDescent="0.25">
      <c r="B367" s="82"/>
      <c r="C367" s="242"/>
      <c r="D367" s="83"/>
      <c r="E367" s="83"/>
      <c r="F367" s="83"/>
      <c r="G367" s="83"/>
      <c r="H367" s="227"/>
      <c r="I367" s="225"/>
      <c r="J367" s="225"/>
      <c r="K367" s="226"/>
      <c r="L367" s="227"/>
      <c r="M367" s="227"/>
      <c r="N367" s="228"/>
      <c r="O367" s="229"/>
      <c r="P367" s="230"/>
      <c r="Q367" s="231"/>
      <c r="R367" s="231"/>
      <c r="S367" s="231"/>
    </row>
    <row r="368" spans="2:19" ht="14.25" customHeight="1" x14ac:dyDescent="0.25">
      <c r="B368" s="82"/>
      <c r="C368" s="242"/>
      <c r="D368" s="83"/>
      <c r="E368" s="83"/>
      <c r="F368" s="83"/>
      <c r="G368" s="83"/>
      <c r="H368" s="227"/>
      <c r="I368" s="225"/>
      <c r="J368" s="225"/>
      <c r="K368" s="226"/>
      <c r="L368" s="227"/>
      <c r="M368" s="227"/>
      <c r="N368" s="228"/>
      <c r="O368" s="229"/>
      <c r="P368" s="230"/>
      <c r="Q368" s="231"/>
      <c r="R368" s="231"/>
      <c r="S368" s="231"/>
    </row>
    <row r="369" spans="2:19" ht="14.25" customHeight="1" x14ac:dyDescent="0.25">
      <c r="B369" s="82"/>
      <c r="C369" s="242"/>
      <c r="D369" s="83"/>
      <c r="E369" s="83"/>
      <c r="F369" s="83"/>
      <c r="G369" s="83"/>
      <c r="H369" s="227"/>
      <c r="I369" s="225"/>
      <c r="J369" s="225"/>
      <c r="K369" s="226"/>
      <c r="L369" s="227"/>
      <c r="M369" s="227"/>
      <c r="N369" s="228"/>
      <c r="O369" s="229"/>
      <c r="P369" s="230"/>
      <c r="Q369" s="231"/>
      <c r="R369" s="231"/>
      <c r="S369" s="231"/>
    </row>
    <row r="370" spans="2:19" ht="14.25" customHeight="1" x14ac:dyDescent="0.25">
      <c r="B370" s="82"/>
      <c r="C370" s="242"/>
      <c r="D370" s="83"/>
      <c r="E370" s="83"/>
      <c r="F370" s="83"/>
      <c r="G370" s="83"/>
      <c r="H370" s="227"/>
      <c r="I370" s="225"/>
      <c r="J370" s="225"/>
      <c r="K370" s="226"/>
      <c r="L370" s="227"/>
      <c r="M370" s="227"/>
      <c r="N370" s="228"/>
      <c r="O370" s="229"/>
      <c r="P370" s="230"/>
      <c r="Q370" s="231"/>
      <c r="R370" s="231"/>
      <c r="S370" s="231"/>
    </row>
    <row r="371" spans="2:19" ht="14.25" customHeight="1" x14ac:dyDescent="0.25">
      <c r="B371" s="82"/>
      <c r="C371" s="242"/>
      <c r="D371" s="83"/>
      <c r="E371" s="83"/>
      <c r="F371" s="83"/>
      <c r="G371" s="83"/>
      <c r="H371" s="227"/>
      <c r="I371" s="225"/>
      <c r="J371" s="225"/>
      <c r="K371" s="226"/>
      <c r="L371" s="227"/>
      <c r="M371" s="227"/>
      <c r="N371" s="228"/>
      <c r="O371" s="229"/>
      <c r="P371" s="230"/>
      <c r="Q371" s="231"/>
      <c r="R371" s="231"/>
      <c r="S371" s="231"/>
    </row>
    <row r="372" spans="2:19" ht="14.25" customHeight="1" x14ac:dyDescent="0.25">
      <c r="B372" s="82"/>
      <c r="C372" s="242"/>
      <c r="D372" s="83"/>
      <c r="E372" s="83"/>
      <c r="F372" s="83"/>
      <c r="G372" s="83"/>
      <c r="H372" s="227"/>
      <c r="I372" s="225"/>
      <c r="J372" s="225"/>
      <c r="K372" s="226"/>
      <c r="L372" s="227"/>
      <c r="M372" s="227"/>
      <c r="N372" s="228"/>
      <c r="O372" s="229"/>
      <c r="P372" s="230"/>
      <c r="Q372" s="231"/>
      <c r="R372" s="231"/>
      <c r="S372" s="231"/>
    </row>
    <row r="373" spans="2:19" ht="14.25" customHeight="1" x14ac:dyDescent="0.25">
      <c r="B373" s="82"/>
      <c r="C373" s="242"/>
      <c r="D373" s="83"/>
      <c r="E373" s="83"/>
      <c r="F373" s="83"/>
      <c r="G373" s="83"/>
      <c r="H373" s="227"/>
      <c r="I373" s="225"/>
      <c r="J373" s="225"/>
      <c r="K373" s="226"/>
      <c r="L373" s="227"/>
      <c r="M373" s="227"/>
      <c r="N373" s="228"/>
      <c r="O373" s="229"/>
      <c r="P373" s="230"/>
      <c r="Q373" s="231"/>
      <c r="R373" s="231"/>
      <c r="S373" s="231"/>
    </row>
    <row r="374" spans="2:19" ht="14.25" customHeight="1" x14ac:dyDescent="0.25">
      <c r="B374" s="82"/>
      <c r="C374" s="242"/>
      <c r="D374" s="83"/>
      <c r="E374" s="83"/>
      <c r="F374" s="83"/>
      <c r="G374" s="83"/>
      <c r="H374" s="227"/>
      <c r="I374" s="225"/>
      <c r="J374" s="225"/>
      <c r="K374" s="226"/>
      <c r="L374" s="227"/>
      <c r="M374" s="227"/>
      <c r="N374" s="228"/>
      <c r="O374" s="229"/>
      <c r="P374" s="230"/>
      <c r="Q374" s="231"/>
      <c r="R374" s="231"/>
      <c r="S374" s="231"/>
    </row>
    <row r="375" spans="2:19" ht="14.25" customHeight="1" x14ac:dyDescent="0.25">
      <c r="B375" s="82"/>
      <c r="C375" s="242"/>
      <c r="D375" s="83"/>
      <c r="E375" s="83"/>
      <c r="F375" s="83"/>
      <c r="G375" s="83"/>
      <c r="H375" s="227"/>
      <c r="I375" s="225"/>
      <c r="J375" s="225"/>
      <c r="K375" s="226"/>
      <c r="L375" s="227"/>
      <c r="M375" s="227"/>
      <c r="N375" s="228"/>
      <c r="O375" s="229"/>
      <c r="P375" s="230"/>
      <c r="Q375" s="231"/>
      <c r="R375" s="231"/>
      <c r="S375" s="231"/>
    </row>
    <row r="376" spans="2:19" ht="14.25" customHeight="1" x14ac:dyDescent="0.25">
      <c r="B376" s="82"/>
      <c r="C376" s="242"/>
      <c r="D376" s="83"/>
      <c r="E376" s="83"/>
      <c r="F376" s="83"/>
      <c r="G376" s="83"/>
      <c r="H376" s="227"/>
      <c r="I376" s="225"/>
      <c r="J376" s="225"/>
      <c r="K376" s="226"/>
      <c r="L376" s="227"/>
      <c r="M376" s="227"/>
      <c r="N376" s="228"/>
      <c r="O376" s="229"/>
      <c r="P376" s="230"/>
      <c r="Q376" s="231"/>
      <c r="R376" s="231"/>
      <c r="S376" s="231"/>
    </row>
    <row r="377" spans="2:19" ht="14.25" customHeight="1" x14ac:dyDescent="0.25">
      <c r="B377" s="82"/>
      <c r="C377" s="242"/>
      <c r="D377" s="83"/>
      <c r="E377" s="83"/>
      <c r="F377" s="83"/>
      <c r="G377" s="83"/>
      <c r="H377" s="227"/>
      <c r="I377" s="225"/>
      <c r="J377" s="225"/>
      <c r="K377" s="226"/>
      <c r="L377" s="227"/>
      <c r="M377" s="227"/>
      <c r="N377" s="228"/>
      <c r="O377" s="229"/>
      <c r="P377" s="230"/>
      <c r="Q377" s="231"/>
      <c r="R377" s="231"/>
      <c r="S377" s="231"/>
    </row>
    <row r="378" spans="2:19" ht="14.25" customHeight="1" x14ac:dyDescent="0.25">
      <c r="B378" s="82"/>
      <c r="C378" s="242"/>
      <c r="D378" s="83"/>
      <c r="E378" s="83"/>
      <c r="F378" s="83"/>
      <c r="G378" s="83"/>
      <c r="H378" s="227"/>
      <c r="I378" s="225"/>
      <c r="J378" s="225"/>
      <c r="K378" s="226"/>
      <c r="L378" s="227"/>
      <c r="M378" s="227"/>
      <c r="N378" s="228"/>
      <c r="O378" s="229"/>
      <c r="P378" s="230"/>
      <c r="Q378" s="231"/>
      <c r="R378" s="231"/>
      <c r="S378" s="231"/>
    </row>
    <row r="379" spans="2:19" ht="14.25" customHeight="1" x14ac:dyDescent="0.25">
      <c r="B379" s="82"/>
      <c r="C379" s="242"/>
      <c r="D379" s="83"/>
      <c r="E379" s="83"/>
      <c r="F379" s="83"/>
      <c r="G379" s="83"/>
      <c r="H379" s="227"/>
      <c r="I379" s="225"/>
      <c r="J379" s="225"/>
      <c r="K379" s="226"/>
      <c r="L379" s="227"/>
      <c r="M379" s="227"/>
      <c r="N379" s="228"/>
      <c r="O379" s="229"/>
      <c r="P379" s="230"/>
      <c r="Q379" s="231"/>
      <c r="R379" s="231"/>
      <c r="S379" s="231"/>
    </row>
    <row r="380" spans="2:19" ht="14.25" customHeight="1" x14ac:dyDescent="0.25">
      <c r="B380" s="82"/>
      <c r="C380" s="242"/>
      <c r="D380" s="83"/>
      <c r="E380" s="83"/>
      <c r="F380" s="83"/>
      <c r="G380" s="83"/>
      <c r="H380" s="227"/>
      <c r="I380" s="225"/>
      <c r="J380" s="225"/>
      <c r="K380" s="226"/>
      <c r="L380" s="227"/>
      <c r="M380" s="227"/>
      <c r="N380" s="228"/>
      <c r="O380" s="229"/>
      <c r="P380" s="230"/>
      <c r="Q380" s="231"/>
      <c r="R380" s="231"/>
      <c r="S380" s="231"/>
    </row>
    <row r="381" spans="2:19" ht="14.25" customHeight="1" x14ac:dyDescent="0.25">
      <c r="B381" s="82"/>
      <c r="C381" s="242"/>
      <c r="D381" s="83"/>
      <c r="E381" s="83"/>
      <c r="F381" s="83"/>
      <c r="G381" s="83"/>
      <c r="H381" s="227"/>
      <c r="I381" s="225"/>
      <c r="J381" s="225"/>
      <c r="K381" s="226"/>
      <c r="L381" s="227"/>
      <c r="M381" s="227"/>
      <c r="N381" s="228"/>
      <c r="O381" s="229"/>
      <c r="P381" s="230"/>
      <c r="Q381" s="231"/>
      <c r="R381" s="231"/>
      <c r="S381" s="231"/>
    </row>
    <row r="382" spans="2:19" ht="14.25" customHeight="1" x14ac:dyDescent="0.25">
      <c r="B382" s="82"/>
      <c r="C382" s="242"/>
      <c r="D382" s="83"/>
      <c r="E382" s="83"/>
      <c r="F382" s="83"/>
      <c r="G382" s="83"/>
      <c r="H382" s="227"/>
      <c r="I382" s="225"/>
      <c r="J382" s="225"/>
      <c r="K382" s="226"/>
      <c r="L382" s="227"/>
      <c r="M382" s="227"/>
      <c r="N382" s="228"/>
      <c r="O382" s="229"/>
      <c r="P382" s="230"/>
      <c r="Q382" s="231"/>
      <c r="R382" s="231"/>
      <c r="S382" s="231"/>
    </row>
    <row r="383" spans="2:19" ht="14.25" customHeight="1" x14ac:dyDescent="0.25">
      <c r="B383" s="82"/>
      <c r="C383" s="242"/>
      <c r="D383" s="83"/>
      <c r="E383" s="83"/>
      <c r="F383" s="83"/>
      <c r="G383" s="83"/>
      <c r="H383" s="227"/>
      <c r="I383" s="225"/>
      <c r="J383" s="225"/>
      <c r="K383" s="226"/>
      <c r="L383" s="227"/>
      <c r="M383" s="227"/>
      <c r="N383" s="228"/>
      <c r="O383" s="229"/>
      <c r="P383" s="230"/>
      <c r="Q383" s="231"/>
      <c r="R383" s="231"/>
      <c r="S383" s="231"/>
    </row>
    <row r="384" spans="2:19" ht="14.25" customHeight="1" x14ac:dyDescent="0.25">
      <c r="B384" s="82"/>
      <c r="C384" s="242"/>
      <c r="D384" s="83"/>
      <c r="E384" s="83"/>
      <c r="F384" s="83"/>
      <c r="G384" s="83"/>
      <c r="H384" s="227"/>
      <c r="I384" s="225"/>
      <c r="J384" s="225"/>
      <c r="K384" s="226"/>
      <c r="L384" s="227"/>
      <c r="M384" s="227"/>
      <c r="N384" s="228"/>
      <c r="O384" s="229"/>
      <c r="P384" s="230"/>
      <c r="Q384" s="231"/>
      <c r="R384" s="231"/>
      <c r="S384" s="231"/>
    </row>
    <row r="385" spans="2:19" ht="14.25" customHeight="1" x14ac:dyDescent="0.25">
      <c r="B385" s="82"/>
      <c r="C385" s="242"/>
      <c r="D385" s="83"/>
      <c r="E385" s="83"/>
      <c r="F385" s="83"/>
      <c r="G385" s="83"/>
      <c r="H385" s="227"/>
      <c r="I385" s="225"/>
      <c r="J385" s="225"/>
      <c r="K385" s="226"/>
      <c r="L385" s="227"/>
      <c r="M385" s="227"/>
      <c r="N385" s="228"/>
      <c r="O385" s="229"/>
      <c r="P385" s="230"/>
      <c r="Q385" s="231"/>
      <c r="R385" s="231"/>
      <c r="S385" s="231"/>
    </row>
    <row r="386" spans="2:19" ht="14.25" customHeight="1" x14ac:dyDescent="0.25">
      <c r="B386" s="82"/>
      <c r="C386" s="242"/>
      <c r="D386" s="83"/>
      <c r="E386" s="83"/>
      <c r="F386" s="83"/>
      <c r="G386" s="83"/>
      <c r="H386" s="227"/>
      <c r="I386" s="225"/>
      <c r="J386" s="225"/>
      <c r="K386" s="226"/>
      <c r="L386" s="227"/>
      <c r="M386" s="227"/>
      <c r="N386" s="228"/>
      <c r="O386" s="229"/>
      <c r="P386" s="230"/>
      <c r="Q386" s="231"/>
      <c r="R386" s="231"/>
      <c r="S386" s="231"/>
    </row>
    <row r="387" spans="2:19" ht="12.75" x14ac:dyDescent="0.25">
      <c r="B387" s="82"/>
      <c r="C387" s="242"/>
      <c r="D387" s="83"/>
      <c r="E387" s="83"/>
      <c r="F387" s="83"/>
      <c r="G387" s="83"/>
      <c r="H387" s="227"/>
      <c r="I387" s="225"/>
      <c r="J387" s="225"/>
      <c r="K387" s="226"/>
      <c r="L387" s="227"/>
      <c r="M387" s="227"/>
      <c r="N387" s="228"/>
      <c r="O387" s="229"/>
      <c r="P387" s="230"/>
      <c r="Q387" s="231"/>
      <c r="R387" s="231"/>
      <c r="S387" s="231"/>
    </row>
    <row r="388" spans="2:19" ht="12.75" x14ac:dyDescent="0.25">
      <c r="B388" s="82"/>
      <c r="C388" s="242"/>
      <c r="D388" s="83"/>
      <c r="E388" s="83"/>
      <c r="F388" s="83"/>
      <c r="G388" s="83"/>
      <c r="H388" s="227"/>
      <c r="I388" s="225"/>
      <c r="J388" s="225"/>
      <c r="K388" s="226"/>
      <c r="L388" s="227"/>
      <c r="M388" s="227"/>
      <c r="N388" s="228"/>
      <c r="O388" s="229"/>
      <c r="P388" s="230"/>
      <c r="Q388" s="231"/>
      <c r="R388" s="231"/>
      <c r="S388" s="231"/>
    </row>
    <row r="389" spans="2:19" ht="12.75" x14ac:dyDescent="0.25">
      <c r="B389" s="82"/>
      <c r="C389" s="242"/>
      <c r="D389" s="83"/>
      <c r="E389" s="83"/>
      <c r="F389" s="83"/>
      <c r="G389" s="83"/>
      <c r="H389" s="227"/>
      <c r="I389" s="225"/>
      <c r="J389" s="225"/>
      <c r="K389" s="226"/>
      <c r="L389" s="227"/>
      <c r="M389" s="227"/>
      <c r="N389" s="228"/>
      <c r="O389" s="229"/>
      <c r="P389" s="230"/>
      <c r="Q389" s="231"/>
      <c r="R389" s="231"/>
      <c r="S389" s="231"/>
    </row>
    <row r="390" spans="2:19" ht="12.75" x14ac:dyDescent="0.25">
      <c r="B390" s="82"/>
      <c r="C390" s="242"/>
      <c r="D390" s="83"/>
      <c r="E390" s="83"/>
      <c r="F390" s="83"/>
      <c r="G390" s="83"/>
      <c r="H390" s="227"/>
      <c r="I390" s="225"/>
      <c r="J390" s="225"/>
      <c r="K390" s="226"/>
      <c r="L390" s="227"/>
      <c r="M390" s="227"/>
      <c r="N390" s="228"/>
      <c r="O390" s="229"/>
      <c r="P390" s="230"/>
      <c r="Q390" s="231"/>
      <c r="R390" s="231"/>
      <c r="S390" s="231"/>
    </row>
    <row r="391" spans="2:19" ht="12.75" x14ac:dyDescent="0.25">
      <c r="B391" s="82"/>
      <c r="C391" s="242"/>
      <c r="D391" s="83"/>
      <c r="E391" s="83"/>
      <c r="F391" s="83"/>
      <c r="G391" s="83"/>
      <c r="H391" s="227"/>
      <c r="I391" s="225"/>
      <c r="J391" s="225"/>
      <c r="K391" s="226"/>
      <c r="L391" s="227"/>
      <c r="M391" s="227"/>
      <c r="N391" s="228"/>
      <c r="O391" s="229"/>
      <c r="P391" s="230"/>
      <c r="Q391" s="231"/>
      <c r="R391" s="231"/>
      <c r="S391" s="231"/>
    </row>
    <row r="392" spans="2:19" ht="12.75" x14ac:dyDescent="0.25">
      <c r="B392" s="82"/>
      <c r="C392" s="242"/>
      <c r="D392" s="83"/>
      <c r="E392" s="83"/>
      <c r="F392" s="83"/>
      <c r="G392" s="83"/>
      <c r="H392" s="227"/>
      <c r="I392" s="225"/>
      <c r="J392" s="225"/>
      <c r="K392" s="226"/>
      <c r="L392" s="227"/>
      <c r="M392" s="227"/>
      <c r="N392" s="228"/>
      <c r="O392" s="229"/>
      <c r="P392" s="230"/>
      <c r="Q392" s="231"/>
      <c r="R392" s="231"/>
      <c r="S392" s="231"/>
    </row>
    <row r="393" spans="2:19" ht="12.75" x14ac:dyDescent="0.25">
      <c r="B393" s="82"/>
      <c r="C393" s="242"/>
      <c r="D393" s="83"/>
      <c r="E393" s="83"/>
      <c r="F393" s="83"/>
      <c r="G393" s="83"/>
      <c r="H393" s="227"/>
      <c r="I393" s="225"/>
      <c r="J393" s="225"/>
      <c r="K393" s="226"/>
      <c r="L393" s="227"/>
      <c r="M393" s="227"/>
      <c r="N393" s="228"/>
      <c r="O393" s="229"/>
      <c r="P393" s="230"/>
      <c r="Q393" s="231"/>
      <c r="R393" s="231"/>
      <c r="S393" s="231"/>
    </row>
    <row r="394" spans="2:19" ht="12.75" x14ac:dyDescent="0.25">
      <c r="B394" s="82"/>
      <c r="C394" s="242"/>
      <c r="D394" s="83"/>
      <c r="E394" s="83"/>
      <c r="F394" s="83"/>
      <c r="G394" s="83"/>
      <c r="H394" s="227"/>
      <c r="I394" s="225"/>
      <c r="J394" s="225"/>
      <c r="K394" s="226"/>
      <c r="L394" s="227"/>
      <c r="M394" s="227"/>
      <c r="N394" s="228"/>
      <c r="O394" s="229"/>
      <c r="P394" s="230"/>
      <c r="Q394" s="231"/>
      <c r="R394" s="231"/>
      <c r="S394" s="231"/>
    </row>
    <row r="395" spans="2:19" ht="12.75" x14ac:dyDescent="0.25">
      <c r="B395" s="82"/>
      <c r="C395" s="242"/>
      <c r="D395" s="83"/>
      <c r="E395" s="83"/>
      <c r="F395" s="83"/>
      <c r="G395" s="83"/>
      <c r="H395" s="227"/>
      <c r="I395" s="225"/>
      <c r="J395" s="225"/>
      <c r="K395" s="226"/>
      <c r="L395" s="227"/>
      <c r="M395" s="227"/>
      <c r="N395" s="228"/>
      <c r="O395" s="229"/>
      <c r="P395" s="230"/>
      <c r="Q395" s="231"/>
      <c r="R395" s="231"/>
      <c r="S395" s="231"/>
    </row>
    <row r="396" spans="2:19" ht="12.75" x14ac:dyDescent="0.25">
      <c r="B396" s="82"/>
      <c r="C396" s="242"/>
      <c r="D396" s="83"/>
      <c r="E396" s="83"/>
      <c r="F396" s="83"/>
      <c r="G396" s="83"/>
      <c r="H396" s="227"/>
      <c r="I396" s="225"/>
      <c r="J396" s="225"/>
      <c r="K396" s="226"/>
      <c r="L396" s="227"/>
      <c r="M396" s="227"/>
      <c r="N396" s="228"/>
      <c r="O396" s="229"/>
      <c r="P396" s="230"/>
      <c r="Q396" s="231"/>
      <c r="R396" s="231"/>
      <c r="S396" s="231"/>
    </row>
    <row r="397" spans="2:19" ht="12.75" x14ac:dyDescent="0.25">
      <c r="B397" s="82"/>
      <c r="C397" s="242"/>
      <c r="D397" s="83"/>
      <c r="E397" s="83"/>
      <c r="F397" s="83"/>
      <c r="G397" s="83"/>
      <c r="H397" s="227"/>
      <c r="I397" s="225"/>
      <c r="J397" s="225"/>
      <c r="K397" s="226"/>
      <c r="L397" s="227"/>
      <c r="M397" s="227"/>
      <c r="N397" s="228"/>
      <c r="O397" s="229"/>
      <c r="P397" s="230"/>
      <c r="Q397" s="231"/>
      <c r="R397" s="231"/>
      <c r="S397" s="231"/>
    </row>
    <row r="398" spans="2:19" ht="12.75" x14ac:dyDescent="0.25">
      <c r="B398" s="82"/>
      <c r="C398" s="242"/>
      <c r="D398" s="83"/>
      <c r="E398" s="83"/>
      <c r="F398" s="83"/>
      <c r="G398" s="83"/>
      <c r="H398" s="227"/>
      <c r="I398" s="225"/>
      <c r="J398" s="225"/>
      <c r="K398" s="226"/>
      <c r="L398" s="227"/>
      <c r="M398" s="227"/>
      <c r="N398" s="228"/>
      <c r="O398" s="229"/>
      <c r="P398" s="230"/>
      <c r="Q398" s="231"/>
      <c r="R398" s="231"/>
      <c r="S398" s="231"/>
    </row>
    <row r="399" spans="2:19" ht="12.75" x14ac:dyDescent="0.25">
      <c r="B399" s="82"/>
      <c r="C399" s="242"/>
      <c r="D399" s="83"/>
      <c r="E399" s="83"/>
      <c r="F399" s="83"/>
      <c r="G399" s="83"/>
      <c r="H399" s="227"/>
      <c r="I399" s="225"/>
      <c r="J399" s="225"/>
      <c r="K399" s="226"/>
      <c r="L399" s="227"/>
      <c r="M399" s="227"/>
      <c r="N399" s="228"/>
      <c r="O399" s="229"/>
      <c r="P399" s="230"/>
      <c r="Q399" s="231"/>
      <c r="R399" s="231"/>
      <c r="S399" s="231"/>
    </row>
    <row r="400" spans="2:19" ht="12.75" x14ac:dyDescent="0.25">
      <c r="B400" s="82"/>
      <c r="C400" s="242"/>
      <c r="D400" s="83"/>
      <c r="E400" s="83"/>
      <c r="F400" s="83"/>
      <c r="G400" s="83"/>
      <c r="H400" s="227"/>
      <c r="I400" s="225"/>
      <c r="J400" s="225"/>
      <c r="K400" s="226"/>
      <c r="L400" s="227"/>
      <c r="M400" s="227"/>
      <c r="N400" s="228"/>
      <c r="O400" s="229"/>
      <c r="P400" s="230"/>
      <c r="Q400" s="231"/>
      <c r="R400" s="231"/>
      <c r="S400" s="231"/>
    </row>
    <row r="401" spans="2:2" ht="12.75" x14ac:dyDescent="0.25">
      <c r="B401" s="139"/>
    </row>
    <row r="402" spans="2:2" ht="12.75" x14ac:dyDescent="0.25">
      <c r="B402" s="139"/>
    </row>
    <row r="403" spans="2:2" ht="12.75" x14ac:dyDescent="0.25">
      <c r="B403" s="139"/>
    </row>
    <row r="404" spans="2:2" ht="12.75" x14ac:dyDescent="0.25">
      <c r="B404" s="139"/>
    </row>
    <row r="405" spans="2:2" ht="12.75" x14ac:dyDescent="0.25">
      <c r="B405" s="139"/>
    </row>
    <row r="406" spans="2:2" ht="12.75" x14ac:dyDescent="0.25">
      <c r="B406" s="139"/>
    </row>
    <row r="407" spans="2:2" ht="12.75" x14ac:dyDescent="0.25">
      <c r="B407" s="139"/>
    </row>
    <row r="408" spans="2:2" ht="12.75" x14ac:dyDescent="0.25">
      <c r="B408" s="139"/>
    </row>
    <row r="409" spans="2:2" ht="12.75" x14ac:dyDescent="0.25">
      <c r="B409" s="139"/>
    </row>
    <row r="410" spans="2:2" ht="12.75" x14ac:dyDescent="0.25">
      <c r="B410" s="139"/>
    </row>
    <row r="411" spans="2:2" ht="12.75" x14ac:dyDescent="0.25">
      <c r="B411" s="139"/>
    </row>
    <row r="412" spans="2:2" ht="12.75" x14ac:dyDescent="0.25">
      <c r="B412" s="139"/>
    </row>
    <row r="413" spans="2:2" ht="12.75" x14ac:dyDescent="0.25">
      <c r="B413" s="139"/>
    </row>
    <row r="414" spans="2:2" ht="12.75" x14ac:dyDescent="0.25">
      <c r="B414" s="139"/>
    </row>
    <row r="415" spans="2:2" ht="12.75" x14ac:dyDescent="0.25">
      <c r="B415" s="139"/>
    </row>
    <row r="416" spans="2:2" ht="12.75" x14ac:dyDescent="0.25">
      <c r="B416" s="139"/>
    </row>
    <row r="417" spans="2:2" ht="12.75" x14ac:dyDescent="0.25">
      <c r="B417" s="139"/>
    </row>
    <row r="418" spans="2:2" ht="12.75" x14ac:dyDescent="0.25">
      <c r="B418" s="139"/>
    </row>
    <row r="419" spans="2:2" ht="12.75" x14ac:dyDescent="0.25">
      <c r="B419" s="139"/>
    </row>
    <row r="420" spans="2:2" ht="12.75" x14ac:dyDescent="0.25">
      <c r="B420" s="139"/>
    </row>
    <row r="421" spans="2:2" ht="12.75" x14ac:dyDescent="0.25">
      <c r="B421" s="139"/>
    </row>
    <row r="422" spans="2:2" ht="12.75" x14ac:dyDescent="0.25">
      <c r="B422" s="139"/>
    </row>
    <row r="423" spans="2:2" ht="12.75" x14ac:dyDescent="0.25">
      <c r="B423" s="139"/>
    </row>
    <row r="424" spans="2:2" ht="12.75" x14ac:dyDescent="0.25">
      <c r="B424" s="139"/>
    </row>
    <row r="425" spans="2:2" ht="12.75" x14ac:dyDescent="0.25">
      <c r="B425" s="139"/>
    </row>
    <row r="426" spans="2:2" ht="12.75" x14ac:dyDescent="0.25">
      <c r="B426" s="139"/>
    </row>
    <row r="427" spans="2:2" ht="12.75" x14ac:dyDescent="0.25">
      <c r="B427" s="139"/>
    </row>
    <row r="428" spans="2:2" ht="12.75" x14ac:dyDescent="0.25">
      <c r="B428" s="139"/>
    </row>
    <row r="429" spans="2:2" ht="12.75" x14ac:dyDescent="0.25">
      <c r="B429" s="139"/>
    </row>
    <row r="430" spans="2:2" ht="12.75" x14ac:dyDescent="0.25">
      <c r="B430" s="139"/>
    </row>
    <row r="431" spans="2:2" ht="12.75" x14ac:dyDescent="0.25">
      <c r="B431" s="139"/>
    </row>
    <row r="432" spans="2:2" ht="12.75" x14ac:dyDescent="0.25">
      <c r="B432" s="139"/>
    </row>
    <row r="433" spans="2:2" ht="12.75" x14ac:dyDescent="0.25">
      <c r="B433" s="139"/>
    </row>
    <row r="434" spans="2:2" ht="12.75" x14ac:dyDescent="0.25">
      <c r="B434" s="139"/>
    </row>
    <row r="435" spans="2:2" ht="12.75" x14ac:dyDescent="0.25">
      <c r="B435" s="139"/>
    </row>
    <row r="436" spans="2:2" ht="12.75" x14ac:dyDescent="0.25">
      <c r="B436" s="139"/>
    </row>
    <row r="437" spans="2:2" ht="12.75" x14ac:dyDescent="0.25">
      <c r="B437" s="139"/>
    </row>
    <row r="438" spans="2:2" ht="12.75" x14ac:dyDescent="0.25">
      <c r="B438" s="139"/>
    </row>
    <row r="439" spans="2:2" ht="12.75" x14ac:dyDescent="0.25">
      <c r="B439" s="139"/>
    </row>
    <row r="440" spans="2:2" ht="12.75" x14ac:dyDescent="0.25">
      <c r="B440" s="139"/>
    </row>
    <row r="441" spans="2:2" ht="12.75" x14ac:dyDescent="0.25">
      <c r="B441" s="139"/>
    </row>
    <row r="442" spans="2:2" ht="12.75" x14ac:dyDescent="0.25">
      <c r="B442" s="139"/>
    </row>
    <row r="443" spans="2:2" ht="12.75" x14ac:dyDescent="0.25">
      <c r="B443" s="139"/>
    </row>
    <row r="444" spans="2:2" ht="12.75" x14ac:dyDescent="0.25">
      <c r="B444" s="139"/>
    </row>
    <row r="445" spans="2:2" ht="12.75" x14ac:dyDescent="0.25">
      <c r="B445" s="139"/>
    </row>
    <row r="446" spans="2:2" ht="12.75" x14ac:dyDescent="0.25">
      <c r="B446" s="139"/>
    </row>
    <row r="447" spans="2:2" ht="12.75" x14ac:dyDescent="0.25">
      <c r="B447" s="139"/>
    </row>
    <row r="448" spans="2:2" ht="12.75" x14ac:dyDescent="0.25">
      <c r="B448" s="139"/>
    </row>
    <row r="449" spans="2:2" ht="12.75" x14ac:dyDescent="0.25">
      <c r="B449" s="139"/>
    </row>
    <row r="450" spans="2:2" ht="12.75" x14ac:dyDescent="0.25">
      <c r="B450" s="139"/>
    </row>
    <row r="451" spans="2:2" ht="12.75" x14ac:dyDescent="0.25">
      <c r="B451" s="139"/>
    </row>
    <row r="452" spans="2:2" ht="12.75" x14ac:dyDescent="0.25">
      <c r="B452" s="139"/>
    </row>
    <row r="453" spans="2:2" ht="12.75" x14ac:dyDescent="0.25">
      <c r="B453" s="139"/>
    </row>
    <row r="454" spans="2:2" ht="12.75" x14ac:dyDescent="0.25">
      <c r="B454" s="139"/>
    </row>
    <row r="455" spans="2:2" ht="12.75" x14ac:dyDescent="0.25">
      <c r="B455" s="139"/>
    </row>
    <row r="456" spans="2:2" ht="12.75" x14ac:dyDescent="0.25">
      <c r="B456" s="139"/>
    </row>
    <row r="457" spans="2:2" ht="12.75" x14ac:dyDescent="0.25">
      <c r="B457" s="139"/>
    </row>
    <row r="458" spans="2:2" ht="12.75" x14ac:dyDescent="0.25">
      <c r="B458" s="139"/>
    </row>
    <row r="459" spans="2:2" ht="12.75" x14ac:dyDescent="0.25">
      <c r="B459" s="139"/>
    </row>
    <row r="460" spans="2:2" ht="12.75" x14ac:dyDescent="0.25">
      <c r="B460" s="139"/>
    </row>
    <row r="461" spans="2:2" ht="12.75" x14ac:dyDescent="0.25">
      <c r="B461" s="139"/>
    </row>
    <row r="462" spans="2:2" ht="12.75" x14ac:dyDescent="0.25">
      <c r="B462" s="139"/>
    </row>
    <row r="463" spans="2:2" ht="12.75" x14ac:dyDescent="0.25">
      <c r="B463" s="139"/>
    </row>
    <row r="464" spans="2:2" ht="12.75" x14ac:dyDescent="0.25">
      <c r="B464" s="139"/>
    </row>
    <row r="465" spans="2:2" ht="12.75" x14ac:dyDescent="0.25">
      <c r="B465" s="139"/>
    </row>
    <row r="466" spans="2:2" ht="12.75" x14ac:dyDescent="0.25">
      <c r="B466" s="139"/>
    </row>
    <row r="467" spans="2:2" ht="12.75" x14ac:dyDescent="0.25">
      <c r="B467" s="139"/>
    </row>
    <row r="468" spans="2:2" ht="12.75" x14ac:dyDescent="0.25">
      <c r="B468" s="139"/>
    </row>
    <row r="469" spans="2:2" ht="12.75" x14ac:dyDescent="0.25">
      <c r="B469" s="139"/>
    </row>
    <row r="470" spans="2:2" ht="12.75" x14ac:dyDescent="0.25">
      <c r="B470" s="139"/>
    </row>
    <row r="471" spans="2:2" ht="12.75" x14ac:dyDescent="0.25">
      <c r="B471" s="139"/>
    </row>
    <row r="472" spans="2:2" ht="12.75" x14ac:dyDescent="0.25">
      <c r="B472" s="139"/>
    </row>
    <row r="473" spans="2:2" ht="12.75" x14ac:dyDescent="0.25">
      <c r="B473" s="139"/>
    </row>
    <row r="474" spans="2:2" ht="12.75" x14ac:dyDescent="0.25">
      <c r="B474" s="139"/>
    </row>
    <row r="475" spans="2:2" ht="12.75" x14ac:dyDescent="0.25">
      <c r="B475" s="139"/>
    </row>
    <row r="476" spans="2:2" ht="12.75" x14ac:dyDescent="0.25">
      <c r="B476" s="139"/>
    </row>
    <row r="477" spans="2:2" ht="12.75" x14ac:dyDescent="0.25">
      <c r="B477" s="139"/>
    </row>
    <row r="478" spans="2:2" ht="12.75" x14ac:dyDescent="0.25">
      <c r="B478" s="139"/>
    </row>
    <row r="479" spans="2:2" ht="12.75" x14ac:dyDescent="0.25">
      <c r="B479" s="139"/>
    </row>
    <row r="480" spans="2:2" ht="12.75" x14ac:dyDescent="0.25">
      <c r="B480" s="139"/>
    </row>
    <row r="481" spans="2:2" ht="12.75" x14ac:dyDescent="0.25">
      <c r="B481" s="139"/>
    </row>
    <row r="482" spans="2:2" ht="12.75" x14ac:dyDescent="0.25">
      <c r="B482" s="139"/>
    </row>
    <row r="483" spans="2:2" ht="12.75" x14ac:dyDescent="0.25">
      <c r="B483" s="139"/>
    </row>
    <row r="484" spans="2:2" ht="12.75" x14ac:dyDescent="0.25">
      <c r="B484" s="139"/>
    </row>
    <row r="485" spans="2:2" ht="12.75" x14ac:dyDescent="0.25">
      <c r="B485" s="139"/>
    </row>
    <row r="486" spans="2:2" ht="12.75" x14ac:dyDescent="0.25">
      <c r="B486" s="139"/>
    </row>
    <row r="487" spans="2:2" ht="12.75" x14ac:dyDescent="0.25">
      <c r="B487" s="139"/>
    </row>
    <row r="488" spans="2:2" ht="12.75" x14ac:dyDescent="0.25">
      <c r="B488" s="139"/>
    </row>
    <row r="489" spans="2:2" ht="12.75" x14ac:dyDescent="0.25">
      <c r="B489" s="139"/>
    </row>
    <row r="490" spans="2:2" ht="12.75" x14ac:dyDescent="0.25">
      <c r="B490" s="139"/>
    </row>
    <row r="491" spans="2:2" ht="12.75" x14ac:dyDescent="0.25">
      <c r="B491" s="139"/>
    </row>
    <row r="492" spans="2:2" ht="12.75" x14ac:dyDescent="0.25">
      <c r="B492" s="139"/>
    </row>
    <row r="493" spans="2:2" ht="12.75" x14ac:dyDescent="0.25">
      <c r="B493" s="139"/>
    </row>
    <row r="494" spans="2:2" ht="12.75" x14ac:dyDescent="0.25">
      <c r="B494" s="139"/>
    </row>
    <row r="495" spans="2:2" ht="12.75" x14ac:dyDescent="0.25">
      <c r="B495" s="139"/>
    </row>
    <row r="496" spans="2:2" ht="12.75" x14ac:dyDescent="0.25">
      <c r="B496" s="139"/>
    </row>
    <row r="497" spans="2:2" ht="12.75" x14ac:dyDescent="0.25">
      <c r="B497" s="139"/>
    </row>
    <row r="498" spans="2:2" ht="12.75" x14ac:dyDescent="0.25">
      <c r="B498" s="139"/>
    </row>
    <row r="499" spans="2:2" ht="12.75" x14ac:dyDescent="0.25">
      <c r="B499" s="139"/>
    </row>
    <row r="500" spans="2:2" ht="12.75" x14ac:dyDescent="0.25">
      <c r="B500" s="139"/>
    </row>
    <row r="501" spans="2:2" ht="12.75" x14ac:dyDescent="0.25">
      <c r="B501" s="139"/>
    </row>
    <row r="502" spans="2:2" ht="12.75" x14ac:dyDescent="0.25">
      <c r="B502" s="139"/>
    </row>
    <row r="503" spans="2:2" ht="12.75" x14ac:dyDescent="0.25">
      <c r="B503" s="139"/>
    </row>
    <row r="504" spans="2:2" ht="12.75" x14ac:dyDescent="0.25">
      <c r="B504" s="139"/>
    </row>
    <row r="505" spans="2:2" ht="12.75" x14ac:dyDescent="0.25">
      <c r="B505" s="139"/>
    </row>
    <row r="506" spans="2:2" ht="12.75" x14ac:dyDescent="0.25">
      <c r="B506" s="139"/>
    </row>
    <row r="507" spans="2:2" ht="12.75" x14ac:dyDescent="0.25">
      <c r="B507" s="139"/>
    </row>
    <row r="508" spans="2:2" ht="12.75" x14ac:dyDescent="0.25">
      <c r="B508" s="139"/>
    </row>
    <row r="509" spans="2:2" ht="12.75" x14ac:dyDescent="0.25">
      <c r="B509" s="139"/>
    </row>
    <row r="510" spans="2:2" ht="12.75" x14ac:dyDescent="0.25">
      <c r="B510" s="139"/>
    </row>
    <row r="511" spans="2:2" ht="12.75" x14ac:dyDescent="0.25">
      <c r="B511" s="139"/>
    </row>
    <row r="512" spans="2:2" ht="12.75" x14ac:dyDescent="0.25">
      <c r="B512" s="139"/>
    </row>
    <row r="513" spans="2:2" ht="12.75" x14ac:dyDescent="0.25">
      <c r="B513" s="139"/>
    </row>
    <row r="514" spans="2:2" ht="12.75" x14ac:dyDescent="0.25">
      <c r="B514" s="139"/>
    </row>
    <row r="515" spans="2:2" ht="12.75" x14ac:dyDescent="0.25">
      <c r="B515" s="139"/>
    </row>
    <row r="516" spans="2:2" ht="12.75" x14ac:dyDescent="0.25">
      <c r="B516" s="139"/>
    </row>
    <row r="517" spans="2:2" ht="12.75" x14ac:dyDescent="0.25">
      <c r="B517" s="139"/>
    </row>
    <row r="518" spans="2:2" ht="12.75" x14ac:dyDescent="0.25">
      <c r="B518" s="139"/>
    </row>
    <row r="519" spans="2:2" ht="12.75" x14ac:dyDescent="0.25">
      <c r="B519" s="139"/>
    </row>
    <row r="520" spans="2:2" ht="12.75" x14ac:dyDescent="0.25">
      <c r="B520" s="139"/>
    </row>
    <row r="521" spans="2:2" ht="12.75" x14ac:dyDescent="0.25">
      <c r="B521" s="139"/>
    </row>
    <row r="522" spans="2:2" ht="12.75" x14ac:dyDescent="0.25">
      <c r="B522" s="139"/>
    </row>
    <row r="523" spans="2:2" ht="12.75" x14ac:dyDescent="0.25">
      <c r="B523" s="139"/>
    </row>
    <row r="524" spans="2:2" ht="12.75" x14ac:dyDescent="0.25">
      <c r="B524" s="139"/>
    </row>
    <row r="525" spans="2:2" ht="12.75" x14ac:dyDescent="0.25">
      <c r="B525" s="139"/>
    </row>
    <row r="526" spans="2:2" ht="12.75" x14ac:dyDescent="0.25">
      <c r="B526" s="139"/>
    </row>
    <row r="527" spans="2:2" ht="12.75" x14ac:dyDescent="0.25">
      <c r="B527" s="139"/>
    </row>
    <row r="528" spans="2:2" ht="12.75" x14ac:dyDescent="0.25">
      <c r="B528" s="139"/>
    </row>
    <row r="529" spans="2:2" ht="12.75" x14ac:dyDescent="0.25">
      <c r="B529" s="139"/>
    </row>
    <row r="530" spans="2:2" ht="12.75" x14ac:dyDescent="0.25">
      <c r="B530" s="139"/>
    </row>
    <row r="531" spans="2:2" ht="12.75" x14ac:dyDescent="0.25">
      <c r="B531" s="139"/>
    </row>
    <row r="532" spans="2:2" ht="12.75" x14ac:dyDescent="0.25">
      <c r="B532" s="139"/>
    </row>
    <row r="533" spans="2:2" ht="12.75" x14ac:dyDescent="0.25">
      <c r="B533" s="139"/>
    </row>
    <row r="534" spans="2:2" ht="12.75" x14ac:dyDescent="0.25">
      <c r="B534" s="139"/>
    </row>
    <row r="535" spans="2:2" ht="12.75" x14ac:dyDescent="0.25">
      <c r="B535" s="139"/>
    </row>
    <row r="536" spans="2:2" ht="12.75" x14ac:dyDescent="0.25">
      <c r="B536" s="139"/>
    </row>
    <row r="537" spans="2:2" ht="12.75" x14ac:dyDescent="0.25">
      <c r="B537" s="139"/>
    </row>
    <row r="538" spans="2:2" ht="12.75" x14ac:dyDescent="0.25">
      <c r="B538" s="139"/>
    </row>
    <row r="539" spans="2:2" ht="12.75" x14ac:dyDescent="0.25">
      <c r="B539" s="139"/>
    </row>
    <row r="540" spans="2:2" ht="12.75" x14ac:dyDescent="0.25">
      <c r="B540" s="139"/>
    </row>
    <row r="541" spans="2:2" ht="12.75" x14ac:dyDescent="0.25">
      <c r="B541" s="139"/>
    </row>
    <row r="542" spans="2:2" ht="12.75" x14ac:dyDescent="0.25">
      <c r="B542" s="139"/>
    </row>
    <row r="543" spans="2:2" ht="12.75" x14ac:dyDescent="0.25">
      <c r="B543" s="139"/>
    </row>
    <row r="544" spans="2:2" ht="12.75" x14ac:dyDescent="0.25">
      <c r="B544" s="139"/>
    </row>
    <row r="545" spans="2:2" ht="12.75" x14ac:dyDescent="0.25">
      <c r="B545" s="139"/>
    </row>
    <row r="546" spans="2:2" ht="12.75" x14ac:dyDescent="0.25">
      <c r="B546" s="139"/>
    </row>
    <row r="547" spans="2:2" ht="12.75" x14ac:dyDescent="0.25">
      <c r="B547" s="139"/>
    </row>
    <row r="548" spans="2:2" ht="12.75" x14ac:dyDescent="0.25">
      <c r="B548" s="139"/>
    </row>
    <row r="549" spans="2:2" ht="12.75" x14ac:dyDescent="0.25">
      <c r="B549" s="139"/>
    </row>
    <row r="550" spans="2:2" ht="12.75" x14ac:dyDescent="0.25">
      <c r="B550" s="139"/>
    </row>
    <row r="551" spans="2:2" ht="12.75" x14ac:dyDescent="0.25">
      <c r="B551" s="139"/>
    </row>
    <row r="552" spans="2:2" ht="12.75" x14ac:dyDescent="0.25">
      <c r="B552" s="139"/>
    </row>
    <row r="553" spans="2:2" ht="12.75" x14ac:dyDescent="0.25">
      <c r="B553" s="139"/>
    </row>
    <row r="554" spans="2:2" ht="12.75" x14ac:dyDescent="0.25">
      <c r="B554" s="139"/>
    </row>
    <row r="555" spans="2:2" ht="12.75" x14ac:dyDescent="0.25">
      <c r="B555" s="139"/>
    </row>
    <row r="556" spans="2:2" ht="12.75" x14ac:dyDescent="0.25">
      <c r="B556" s="139"/>
    </row>
    <row r="557" spans="2:2" ht="12.75" x14ac:dyDescent="0.25">
      <c r="B557" s="139"/>
    </row>
    <row r="558" spans="2:2" ht="12.75" x14ac:dyDescent="0.25">
      <c r="B558" s="139"/>
    </row>
    <row r="559" spans="2:2" ht="12.75" x14ac:dyDescent="0.25">
      <c r="B559" s="139"/>
    </row>
    <row r="560" spans="2:2" ht="12.75" x14ac:dyDescent="0.25">
      <c r="B560" s="139"/>
    </row>
    <row r="561" spans="2:2" ht="12.75" x14ac:dyDescent="0.25">
      <c r="B561" s="139"/>
    </row>
    <row r="562" spans="2:2" ht="12.75" x14ac:dyDescent="0.25">
      <c r="B562" s="139"/>
    </row>
    <row r="563" spans="2:2" ht="12.75" x14ac:dyDescent="0.25">
      <c r="B563" s="139"/>
    </row>
    <row r="564" spans="2:2" ht="12.75" x14ac:dyDescent="0.25">
      <c r="B564" s="139"/>
    </row>
    <row r="565" spans="2:2" ht="12.75" x14ac:dyDescent="0.25">
      <c r="B565" s="139"/>
    </row>
    <row r="566" spans="2:2" ht="12.75" x14ac:dyDescent="0.25">
      <c r="B566" s="139"/>
    </row>
    <row r="567" spans="2:2" ht="12.75" x14ac:dyDescent="0.25">
      <c r="B567" s="139"/>
    </row>
    <row r="568" spans="2:2" ht="12.75" x14ac:dyDescent="0.25">
      <c r="B568" s="139"/>
    </row>
    <row r="569" spans="2:2" ht="12.75" x14ac:dyDescent="0.25">
      <c r="B569" s="139"/>
    </row>
    <row r="570" spans="2:2" ht="12.75" x14ac:dyDescent="0.25">
      <c r="B570" s="139"/>
    </row>
    <row r="571" spans="2:2" ht="12.75" x14ac:dyDescent="0.25">
      <c r="B571" s="139"/>
    </row>
    <row r="572" spans="2:2" ht="12.75" x14ac:dyDescent="0.25">
      <c r="B572" s="139"/>
    </row>
    <row r="573" spans="2:2" ht="12.75" x14ac:dyDescent="0.25">
      <c r="B573" s="139"/>
    </row>
    <row r="574" spans="2:2" ht="12.75" x14ac:dyDescent="0.25">
      <c r="B574" s="139"/>
    </row>
    <row r="575" spans="2:2" ht="12.75" x14ac:dyDescent="0.25">
      <c r="B575" s="139"/>
    </row>
    <row r="576" spans="2:2" ht="12.75" x14ac:dyDescent="0.25">
      <c r="B576" s="139"/>
    </row>
    <row r="577" spans="2:2" ht="12.75" x14ac:dyDescent="0.25">
      <c r="B577" s="139"/>
    </row>
    <row r="578" spans="2:2" ht="12.75" x14ac:dyDescent="0.25">
      <c r="B578" s="139"/>
    </row>
    <row r="579" spans="2:2" ht="12.75" x14ac:dyDescent="0.25">
      <c r="B579" s="139"/>
    </row>
    <row r="580" spans="2:2" ht="12.75" x14ac:dyDescent="0.25">
      <c r="B580" s="139"/>
    </row>
    <row r="581" spans="2:2" ht="12.75" x14ac:dyDescent="0.25">
      <c r="B581" s="139"/>
    </row>
    <row r="582" spans="2:2" ht="12.75" x14ac:dyDescent="0.25">
      <c r="B582" s="139"/>
    </row>
    <row r="583" spans="2:2" ht="12.75" x14ac:dyDescent="0.25">
      <c r="B583" s="139"/>
    </row>
    <row r="584" spans="2:2" ht="12.75" x14ac:dyDescent="0.25">
      <c r="B584" s="139"/>
    </row>
    <row r="585" spans="2:2" ht="12.75" x14ac:dyDescent="0.25">
      <c r="B585" s="139"/>
    </row>
    <row r="586" spans="2:2" ht="12.75" x14ac:dyDescent="0.25">
      <c r="B586" s="139"/>
    </row>
    <row r="587" spans="2:2" ht="12.75" x14ac:dyDescent="0.25">
      <c r="B587" s="139"/>
    </row>
    <row r="588" spans="2:2" ht="12.75" x14ac:dyDescent="0.25">
      <c r="B588" s="139"/>
    </row>
    <row r="589" spans="2:2" ht="12.75" x14ac:dyDescent="0.25">
      <c r="B589" s="139"/>
    </row>
    <row r="590" spans="2:2" ht="12.75" x14ac:dyDescent="0.25">
      <c r="B590" s="139"/>
    </row>
    <row r="591" spans="2:2" ht="12.75" x14ac:dyDescent="0.25">
      <c r="B591" s="139"/>
    </row>
    <row r="592" spans="2:2" ht="12.75" x14ac:dyDescent="0.25">
      <c r="B592" s="139"/>
    </row>
    <row r="593" spans="2:2" ht="12.75" x14ac:dyDescent="0.25">
      <c r="B593" s="139"/>
    </row>
    <row r="594" spans="2:2" ht="12.75" x14ac:dyDescent="0.25">
      <c r="B594" s="139"/>
    </row>
    <row r="595" spans="2:2" ht="12.75" x14ac:dyDescent="0.25">
      <c r="B595" s="139"/>
    </row>
    <row r="596" spans="2:2" ht="12.75" x14ac:dyDescent="0.25">
      <c r="B596" s="139"/>
    </row>
    <row r="597" spans="2:2" ht="12.75" x14ac:dyDescent="0.25">
      <c r="B597" s="139"/>
    </row>
    <row r="598" spans="2:2" ht="12.75" x14ac:dyDescent="0.25">
      <c r="B598" s="139"/>
    </row>
    <row r="599" spans="2:2" ht="12.75" x14ac:dyDescent="0.25">
      <c r="B599" s="139"/>
    </row>
    <row r="600" spans="2:2" ht="12.75" x14ac:dyDescent="0.25">
      <c r="B600" s="139"/>
    </row>
    <row r="601" spans="2:2" ht="12.75" x14ac:dyDescent="0.25">
      <c r="B601" s="139"/>
    </row>
    <row r="602" spans="2:2" ht="12.75" x14ac:dyDescent="0.25">
      <c r="B602" s="139"/>
    </row>
    <row r="603" spans="2:2" ht="12.75" x14ac:dyDescent="0.25">
      <c r="B603" s="139"/>
    </row>
    <row r="604" spans="2:2" ht="12.75" x14ac:dyDescent="0.25">
      <c r="B604" s="139"/>
    </row>
    <row r="605" spans="2:2" ht="12.75" x14ac:dyDescent="0.25">
      <c r="B605" s="139"/>
    </row>
    <row r="606" spans="2:2" ht="12.75" x14ac:dyDescent="0.25">
      <c r="B606" s="139"/>
    </row>
    <row r="607" spans="2:2" ht="12.75" x14ac:dyDescent="0.25">
      <c r="B607" s="139"/>
    </row>
    <row r="608" spans="2:2" ht="12.75" x14ac:dyDescent="0.25">
      <c r="B608" s="139"/>
    </row>
    <row r="609" spans="2:2" ht="12.75" x14ac:dyDescent="0.25">
      <c r="B609" s="139"/>
    </row>
    <row r="610" spans="2:2" ht="12.75" x14ac:dyDescent="0.25">
      <c r="B610" s="139"/>
    </row>
    <row r="611" spans="2:2" ht="12.75" x14ac:dyDescent="0.25">
      <c r="B611" s="139"/>
    </row>
    <row r="612" spans="2:2" ht="12.75" x14ac:dyDescent="0.25">
      <c r="B612" s="139"/>
    </row>
    <row r="613" spans="2:2" ht="12.75" x14ac:dyDescent="0.25">
      <c r="B613" s="139"/>
    </row>
    <row r="614" spans="2:2" ht="12.75" x14ac:dyDescent="0.25">
      <c r="B614" s="139"/>
    </row>
    <row r="615" spans="2:2" ht="12.75" x14ac:dyDescent="0.25">
      <c r="B615" s="139"/>
    </row>
    <row r="616" spans="2:2" ht="12.75" x14ac:dyDescent="0.25">
      <c r="B616" s="139"/>
    </row>
    <row r="617" spans="2:2" ht="12.75" x14ac:dyDescent="0.25">
      <c r="B617" s="139"/>
    </row>
    <row r="618" spans="2:2" ht="12.75" x14ac:dyDescent="0.25">
      <c r="B618" s="139"/>
    </row>
    <row r="619" spans="2:2" ht="12.75" x14ac:dyDescent="0.25">
      <c r="B619" s="139"/>
    </row>
    <row r="620" spans="2:2" ht="12.75" x14ac:dyDescent="0.25">
      <c r="B620" s="139"/>
    </row>
    <row r="621" spans="2:2" ht="12.75" x14ac:dyDescent="0.25">
      <c r="B621" s="139"/>
    </row>
    <row r="622" spans="2:2" ht="12.75" x14ac:dyDescent="0.25">
      <c r="B622" s="139"/>
    </row>
    <row r="623" spans="2:2" ht="12.75" x14ac:dyDescent="0.25">
      <c r="B623" s="139"/>
    </row>
    <row r="624" spans="2:2" ht="12.75" x14ac:dyDescent="0.25">
      <c r="B624" s="139"/>
    </row>
    <row r="625" spans="2:2" ht="12.75" x14ac:dyDescent="0.25">
      <c r="B625" s="139"/>
    </row>
    <row r="626" spans="2:2" ht="12.75" x14ac:dyDescent="0.25">
      <c r="B626" s="139"/>
    </row>
    <row r="627" spans="2:2" ht="12.75" x14ac:dyDescent="0.25">
      <c r="B627" s="139"/>
    </row>
    <row r="628" spans="2:2" ht="12.75" x14ac:dyDescent="0.25">
      <c r="B628" s="139"/>
    </row>
    <row r="629" spans="2:2" ht="12.75" x14ac:dyDescent="0.25">
      <c r="B629" s="139"/>
    </row>
    <row r="630" spans="2:2" ht="12.75" x14ac:dyDescent="0.25">
      <c r="B630" s="139"/>
    </row>
    <row r="631" spans="2:2" ht="12.75" x14ac:dyDescent="0.25">
      <c r="B631" s="139"/>
    </row>
    <row r="632" spans="2:2" ht="12.75" x14ac:dyDescent="0.25">
      <c r="B632" s="139"/>
    </row>
    <row r="633" spans="2:2" ht="12.75" x14ac:dyDescent="0.25">
      <c r="B633" s="139"/>
    </row>
    <row r="634" spans="2:2" ht="12.75" x14ac:dyDescent="0.25">
      <c r="B634" s="139"/>
    </row>
    <row r="635" spans="2:2" ht="12.75" x14ac:dyDescent="0.25">
      <c r="B635" s="139"/>
    </row>
    <row r="636" spans="2:2" ht="12.75" x14ac:dyDescent="0.25">
      <c r="B636" s="139"/>
    </row>
    <row r="637" spans="2:2" ht="12.75" x14ac:dyDescent="0.25">
      <c r="B637" s="139"/>
    </row>
    <row r="638" spans="2:2" ht="12.75" x14ac:dyDescent="0.25">
      <c r="B638" s="139"/>
    </row>
    <row r="639" spans="2:2" ht="12.75" x14ac:dyDescent="0.25">
      <c r="B639" s="139"/>
    </row>
    <row r="640" spans="2:2" ht="12.75" x14ac:dyDescent="0.25">
      <c r="B640" s="139"/>
    </row>
    <row r="641" spans="2:2" ht="12.75" x14ac:dyDescent="0.25">
      <c r="B641" s="139"/>
    </row>
    <row r="642" spans="2:2" ht="12.75" x14ac:dyDescent="0.25">
      <c r="B642" s="139"/>
    </row>
    <row r="643" spans="2:2" ht="12.75" x14ac:dyDescent="0.25">
      <c r="B643" s="139"/>
    </row>
    <row r="644" spans="2:2" ht="12.75" x14ac:dyDescent="0.25">
      <c r="B644" s="139"/>
    </row>
    <row r="645" spans="2:2" ht="12.75" x14ac:dyDescent="0.25">
      <c r="B645" s="139"/>
    </row>
    <row r="646" spans="2:2" ht="12.75" x14ac:dyDescent="0.25">
      <c r="B646" s="139"/>
    </row>
    <row r="647" spans="2:2" ht="12.75" x14ac:dyDescent="0.25">
      <c r="B647" s="139"/>
    </row>
    <row r="648" spans="2:2" ht="12.75" x14ac:dyDescent="0.25">
      <c r="B648" s="139"/>
    </row>
    <row r="649" spans="2:2" ht="12.75" x14ac:dyDescent="0.25">
      <c r="B649" s="139"/>
    </row>
    <row r="650" spans="2:2" ht="12.75" x14ac:dyDescent="0.25">
      <c r="B650" s="139"/>
    </row>
    <row r="651" spans="2:2" ht="12.75" x14ac:dyDescent="0.25">
      <c r="B651" s="139"/>
    </row>
    <row r="652" spans="2:2" ht="12.75" x14ac:dyDescent="0.25">
      <c r="B652" s="139"/>
    </row>
    <row r="653" spans="2:2" ht="12.75" x14ac:dyDescent="0.25">
      <c r="B653" s="139"/>
    </row>
    <row r="654" spans="2:2" ht="12.75" x14ac:dyDescent="0.25">
      <c r="B654" s="139"/>
    </row>
    <row r="655" spans="2:2" ht="12.75" x14ac:dyDescent="0.25">
      <c r="B655" s="139"/>
    </row>
    <row r="656" spans="2:2" ht="12.75" x14ac:dyDescent="0.25">
      <c r="B656" s="139"/>
    </row>
    <row r="657" spans="2:2" ht="12.75" x14ac:dyDescent="0.25">
      <c r="B657" s="139"/>
    </row>
    <row r="658" spans="2:2" ht="12.75" x14ac:dyDescent="0.25">
      <c r="B658" s="139"/>
    </row>
    <row r="659" spans="2:2" ht="12.75" x14ac:dyDescent="0.25">
      <c r="B659" s="139"/>
    </row>
    <row r="660" spans="2:2" ht="12.75" x14ac:dyDescent="0.25">
      <c r="B660" s="139"/>
    </row>
    <row r="661" spans="2:2" ht="12.75" x14ac:dyDescent="0.25">
      <c r="B661" s="139"/>
    </row>
    <row r="662" spans="2:2" ht="12.75" x14ac:dyDescent="0.25">
      <c r="B662" s="139"/>
    </row>
    <row r="663" spans="2:2" ht="12.75" x14ac:dyDescent="0.25">
      <c r="B663" s="139"/>
    </row>
    <row r="664" spans="2:2" ht="12.75" x14ac:dyDescent="0.25">
      <c r="B664" s="139"/>
    </row>
    <row r="665" spans="2:2" ht="12.75" x14ac:dyDescent="0.25">
      <c r="B665" s="139"/>
    </row>
    <row r="666" spans="2:2" ht="12.75" x14ac:dyDescent="0.25">
      <c r="B666" s="139"/>
    </row>
    <row r="667" spans="2:2" ht="12.75" x14ac:dyDescent="0.25">
      <c r="B667" s="139"/>
    </row>
    <row r="668" spans="2:2" ht="12.75" x14ac:dyDescent="0.25">
      <c r="B668" s="139"/>
    </row>
    <row r="669" spans="2:2" ht="12.75" x14ac:dyDescent="0.25">
      <c r="B669" s="139"/>
    </row>
    <row r="670" spans="2:2" ht="12.75" x14ac:dyDescent="0.25">
      <c r="B670" s="139"/>
    </row>
    <row r="671" spans="2:2" ht="12.75" x14ac:dyDescent="0.25">
      <c r="B671" s="139"/>
    </row>
    <row r="672" spans="2:2" ht="12.75" x14ac:dyDescent="0.25">
      <c r="B672" s="139"/>
    </row>
    <row r="673" spans="2:2" ht="12.75" x14ac:dyDescent="0.25">
      <c r="B673" s="139"/>
    </row>
    <row r="674" spans="2:2" ht="12.75" x14ac:dyDescent="0.25">
      <c r="B674" s="139"/>
    </row>
    <row r="675" spans="2:2" ht="12.75" x14ac:dyDescent="0.25">
      <c r="B675" s="139"/>
    </row>
    <row r="676" spans="2:2" ht="12.75" x14ac:dyDescent="0.25">
      <c r="B676" s="139"/>
    </row>
    <row r="677" spans="2:2" ht="12.75" x14ac:dyDescent="0.25">
      <c r="B677" s="139"/>
    </row>
    <row r="678" spans="2:2" ht="12.75" x14ac:dyDescent="0.25">
      <c r="B678" s="139"/>
    </row>
    <row r="679" spans="2:2" ht="12.75" x14ac:dyDescent="0.25">
      <c r="B679" s="139"/>
    </row>
    <row r="680" spans="2:2" ht="12.75" x14ac:dyDescent="0.25">
      <c r="B680" s="139"/>
    </row>
    <row r="681" spans="2:2" ht="12.75" x14ac:dyDescent="0.25">
      <c r="B681" s="139"/>
    </row>
    <row r="682" spans="2:2" ht="12.75" x14ac:dyDescent="0.25">
      <c r="B682" s="139"/>
    </row>
    <row r="683" spans="2:2" ht="12.75" x14ac:dyDescent="0.25">
      <c r="B683" s="139"/>
    </row>
    <row r="684" spans="2:2" ht="12.75" x14ac:dyDescent="0.25">
      <c r="B684" s="139"/>
    </row>
    <row r="685" spans="2:2" ht="12.75" x14ac:dyDescent="0.25">
      <c r="B685" s="139"/>
    </row>
    <row r="686" spans="2:2" ht="12.75" x14ac:dyDescent="0.25">
      <c r="B686" s="139"/>
    </row>
    <row r="687" spans="2:2" ht="12.75" x14ac:dyDescent="0.25">
      <c r="B687" s="139"/>
    </row>
    <row r="688" spans="2:2" ht="12.75" x14ac:dyDescent="0.25">
      <c r="B688" s="139"/>
    </row>
    <row r="689" spans="2:2" ht="12.75" x14ac:dyDescent="0.25">
      <c r="B689" s="139"/>
    </row>
    <row r="690" spans="2:2" ht="12.75" x14ac:dyDescent="0.25">
      <c r="B690" s="139"/>
    </row>
    <row r="691" spans="2:2" ht="12.75" x14ac:dyDescent="0.25">
      <c r="B691" s="139"/>
    </row>
    <row r="692" spans="2:2" ht="12.75" x14ac:dyDescent="0.25">
      <c r="B692" s="139"/>
    </row>
    <row r="693" spans="2:2" ht="12.75" x14ac:dyDescent="0.25">
      <c r="B693" s="139"/>
    </row>
    <row r="694" spans="2:2" ht="12.75" x14ac:dyDescent="0.25">
      <c r="B694" s="139"/>
    </row>
    <row r="695" spans="2:2" ht="12.75" x14ac:dyDescent="0.25">
      <c r="B695" s="139"/>
    </row>
    <row r="696" spans="2:2" ht="12.75" x14ac:dyDescent="0.25">
      <c r="B696" s="139"/>
    </row>
    <row r="697" spans="2:2" ht="12.75" x14ac:dyDescent="0.25">
      <c r="B697" s="139"/>
    </row>
    <row r="698" spans="2:2" ht="12.75" x14ac:dyDescent="0.25">
      <c r="B698" s="139"/>
    </row>
    <row r="699" spans="2:2" ht="12.75" x14ac:dyDescent="0.25">
      <c r="B699" s="139"/>
    </row>
    <row r="700" spans="2:2" ht="12.75" x14ac:dyDescent="0.25">
      <c r="B700" s="139"/>
    </row>
    <row r="701" spans="2:2" ht="12.75" x14ac:dyDescent="0.25">
      <c r="B701" s="139"/>
    </row>
    <row r="702" spans="2:2" ht="12.75" x14ac:dyDescent="0.25">
      <c r="B702" s="139"/>
    </row>
    <row r="703" spans="2:2" ht="12.75" x14ac:dyDescent="0.25">
      <c r="B703" s="139"/>
    </row>
    <row r="704" spans="2:2" ht="12.75" x14ac:dyDescent="0.25">
      <c r="B704" s="139"/>
    </row>
    <row r="705" spans="2:2" ht="12.75" x14ac:dyDescent="0.25">
      <c r="B705" s="139"/>
    </row>
    <row r="706" spans="2:2" ht="12.75" x14ac:dyDescent="0.25">
      <c r="B706" s="139"/>
    </row>
    <row r="707" spans="2:2" ht="12.75" x14ac:dyDescent="0.25">
      <c r="B707" s="139"/>
    </row>
    <row r="708" spans="2:2" ht="12.75" x14ac:dyDescent="0.25">
      <c r="B708" s="139"/>
    </row>
    <row r="709" spans="2:2" ht="12.75" x14ac:dyDescent="0.25">
      <c r="B709" s="139"/>
    </row>
    <row r="710" spans="2:2" ht="12.75" x14ac:dyDescent="0.25">
      <c r="B710" s="139"/>
    </row>
    <row r="711" spans="2:2" ht="12.75" x14ac:dyDescent="0.25">
      <c r="B711" s="139"/>
    </row>
    <row r="712" spans="2:2" ht="12.75" x14ac:dyDescent="0.25">
      <c r="B712" s="139"/>
    </row>
    <row r="713" spans="2:2" ht="12.75" x14ac:dyDescent="0.25">
      <c r="B713" s="139"/>
    </row>
    <row r="714" spans="2:2" ht="12.75" x14ac:dyDescent="0.25">
      <c r="B714" s="139"/>
    </row>
    <row r="715" spans="2:2" ht="12.75" x14ac:dyDescent="0.25">
      <c r="B715" s="139"/>
    </row>
    <row r="716" spans="2:2" ht="12.75" x14ac:dyDescent="0.25">
      <c r="B716" s="139"/>
    </row>
    <row r="717" spans="2:2" ht="12.75" x14ac:dyDescent="0.25">
      <c r="B717" s="139"/>
    </row>
    <row r="718" spans="2:2" ht="12.75" x14ac:dyDescent="0.25">
      <c r="B718" s="139"/>
    </row>
    <row r="719" spans="2:2" ht="12.75" x14ac:dyDescent="0.25">
      <c r="B719" s="139"/>
    </row>
    <row r="720" spans="2:2" ht="12.75" x14ac:dyDescent="0.25">
      <c r="B720" s="139"/>
    </row>
    <row r="721" spans="2:2" ht="12.75" x14ac:dyDescent="0.25">
      <c r="B721" s="139"/>
    </row>
    <row r="722" spans="2:2" ht="12.75" x14ac:dyDescent="0.25">
      <c r="B722" s="139"/>
    </row>
    <row r="723" spans="2:2" ht="12.75" x14ac:dyDescent="0.25">
      <c r="B723" s="139"/>
    </row>
    <row r="724" spans="2:2" ht="12.75" x14ac:dyDescent="0.25">
      <c r="B724" s="139"/>
    </row>
    <row r="725" spans="2:2" ht="12.75" x14ac:dyDescent="0.25">
      <c r="B725" s="139"/>
    </row>
    <row r="726" spans="2:2" ht="12.75" x14ac:dyDescent="0.25">
      <c r="B726" s="139"/>
    </row>
    <row r="727" spans="2:2" ht="12.75" x14ac:dyDescent="0.25">
      <c r="B727" s="139"/>
    </row>
    <row r="728" spans="2:2" ht="12.75" x14ac:dyDescent="0.25">
      <c r="B728" s="139"/>
    </row>
    <row r="729" spans="2:2" ht="12.75" x14ac:dyDescent="0.25">
      <c r="B729" s="139"/>
    </row>
    <row r="730" spans="2:2" ht="12.75" x14ac:dyDescent="0.25">
      <c r="B730" s="139"/>
    </row>
    <row r="731" spans="2:2" ht="12.75" x14ac:dyDescent="0.25">
      <c r="B731" s="139"/>
    </row>
    <row r="732" spans="2:2" ht="12.75" x14ac:dyDescent="0.25">
      <c r="B732" s="139"/>
    </row>
    <row r="733" spans="2:2" ht="12.75" x14ac:dyDescent="0.25">
      <c r="B733" s="139"/>
    </row>
    <row r="734" spans="2:2" ht="12.75" x14ac:dyDescent="0.25">
      <c r="B734" s="139"/>
    </row>
    <row r="735" spans="2:2" ht="12.75" x14ac:dyDescent="0.25">
      <c r="B735" s="139"/>
    </row>
    <row r="736" spans="2:2" ht="12.75" x14ac:dyDescent="0.25">
      <c r="B736" s="139"/>
    </row>
    <row r="737" spans="2:2" ht="12.75" x14ac:dyDescent="0.25">
      <c r="B737" s="139"/>
    </row>
    <row r="738" spans="2:2" ht="12.75" x14ac:dyDescent="0.25">
      <c r="B738" s="139"/>
    </row>
    <row r="739" spans="2:2" ht="12.75" x14ac:dyDescent="0.25">
      <c r="B739" s="139"/>
    </row>
    <row r="740" spans="2:2" ht="12.75" x14ac:dyDescent="0.25">
      <c r="B740" s="139"/>
    </row>
    <row r="741" spans="2:2" ht="12.75" x14ac:dyDescent="0.25">
      <c r="B741" s="139"/>
    </row>
    <row r="742" spans="2:2" ht="12.75" x14ac:dyDescent="0.25">
      <c r="B742" s="139"/>
    </row>
    <row r="743" spans="2:2" ht="12.75" x14ac:dyDescent="0.25">
      <c r="B743" s="139"/>
    </row>
    <row r="744" spans="2:2" ht="12.75" x14ac:dyDescent="0.25">
      <c r="B744" s="139"/>
    </row>
    <row r="745" spans="2:2" ht="12.75" x14ac:dyDescent="0.25">
      <c r="B745" s="139"/>
    </row>
    <row r="746" spans="2:2" ht="12.75" x14ac:dyDescent="0.25">
      <c r="B746" s="139"/>
    </row>
    <row r="747" spans="2:2" ht="12.75" x14ac:dyDescent="0.25">
      <c r="B747" s="139"/>
    </row>
    <row r="748" spans="2:2" ht="12.75" x14ac:dyDescent="0.25">
      <c r="B748" s="139"/>
    </row>
    <row r="749" spans="2:2" ht="12.75" x14ac:dyDescent="0.25">
      <c r="B749" s="139"/>
    </row>
    <row r="750" spans="2:2" ht="12.75" x14ac:dyDescent="0.25">
      <c r="B750" s="139"/>
    </row>
    <row r="751" spans="2:2" ht="12.75" x14ac:dyDescent="0.25">
      <c r="B751" s="139"/>
    </row>
    <row r="752" spans="2:2" ht="12.75" x14ac:dyDescent="0.25">
      <c r="B752" s="139"/>
    </row>
    <row r="753" spans="2:2" ht="12.75" x14ac:dyDescent="0.25">
      <c r="B753" s="139"/>
    </row>
    <row r="754" spans="2:2" ht="12.75" x14ac:dyDescent="0.25">
      <c r="B754" s="139"/>
    </row>
    <row r="755" spans="2:2" ht="12.75" x14ac:dyDescent="0.25">
      <c r="B755" s="139"/>
    </row>
    <row r="756" spans="2:2" ht="12.75" x14ac:dyDescent="0.25">
      <c r="B756" s="139"/>
    </row>
    <row r="757" spans="2:2" ht="12.75" x14ac:dyDescent="0.25">
      <c r="B757" s="139"/>
    </row>
    <row r="758" spans="2:2" ht="12.75" x14ac:dyDescent="0.25">
      <c r="B758" s="139"/>
    </row>
    <row r="759" spans="2:2" ht="12.75" x14ac:dyDescent="0.25">
      <c r="B759" s="139"/>
    </row>
    <row r="760" spans="2:2" ht="12.75" x14ac:dyDescent="0.25">
      <c r="B760" s="139"/>
    </row>
    <row r="761" spans="2:2" ht="12.75" x14ac:dyDescent="0.25">
      <c r="B761" s="139"/>
    </row>
    <row r="762" spans="2:2" ht="12.75" x14ac:dyDescent="0.25">
      <c r="B762" s="139"/>
    </row>
    <row r="763" spans="2:2" ht="12.75" x14ac:dyDescent="0.25">
      <c r="B763" s="139"/>
    </row>
    <row r="764" spans="2:2" ht="12.75" x14ac:dyDescent="0.25">
      <c r="B764" s="139"/>
    </row>
    <row r="765" spans="2:2" ht="12.75" x14ac:dyDescent="0.25">
      <c r="B765" s="139"/>
    </row>
    <row r="766" spans="2:2" ht="12.75" x14ac:dyDescent="0.25">
      <c r="B766" s="139"/>
    </row>
    <row r="767" spans="2:2" ht="12.75" x14ac:dyDescent="0.25">
      <c r="B767" s="139"/>
    </row>
    <row r="768" spans="2:2" ht="12.75" x14ac:dyDescent="0.25">
      <c r="B768" s="139"/>
    </row>
    <row r="769" spans="2:2" ht="12.75" x14ac:dyDescent="0.25">
      <c r="B769" s="139"/>
    </row>
    <row r="770" spans="2:2" ht="12.75" x14ac:dyDescent="0.25">
      <c r="B770" s="139"/>
    </row>
    <row r="771" spans="2:2" ht="12.75" x14ac:dyDescent="0.25">
      <c r="B771" s="139"/>
    </row>
    <row r="772" spans="2:2" ht="12.75" x14ac:dyDescent="0.25">
      <c r="B772" s="139"/>
    </row>
    <row r="773" spans="2:2" ht="12.75" x14ac:dyDescent="0.25">
      <c r="B773" s="139"/>
    </row>
    <row r="774" spans="2:2" ht="12.75" x14ac:dyDescent="0.25">
      <c r="B774" s="139"/>
    </row>
    <row r="775" spans="2:2" ht="12.75" x14ac:dyDescent="0.25">
      <c r="B775" s="139"/>
    </row>
    <row r="776" spans="2:2" ht="12.75" x14ac:dyDescent="0.25">
      <c r="B776" s="139"/>
    </row>
    <row r="777" spans="2:2" ht="12.75" x14ac:dyDescent="0.25">
      <c r="B777" s="139"/>
    </row>
    <row r="778" spans="2:2" ht="12.75" x14ac:dyDescent="0.25">
      <c r="B778" s="139"/>
    </row>
    <row r="779" spans="2:2" ht="12.75" x14ac:dyDescent="0.25">
      <c r="B779" s="139"/>
    </row>
    <row r="780" spans="2:2" ht="12.75" x14ac:dyDescent="0.25">
      <c r="B780" s="139"/>
    </row>
    <row r="781" spans="2:2" ht="12.75" x14ac:dyDescent="0.25">
      <c r="B781" s="139"/>
    </row>
    <row r="782" spans="2:2" ht="12.75" x14ac:dyDescent="0.25">
      <c r="B782" s="139"/>
    </row>
    <row r="783" spans="2:2" ht="12.75" x14ac:dyDescent="0.25">
      <c r="B783" s="139"/>
    </row>
    <row r="784" spans="2:2" ht="12.75" x14ac:dyDescent="0.25">
      <c r="B784" s="139"/>
    </row>
    <row r="785" spans="2:2" ht="12.75" x14ac:dyDescent="0.25">
      <c r="B785" s="139"/>
    </row>
    <row r="786" spans="2:2" ht="12.75" x14ac:dyDescent="0.25">
      <c r="B786" s="139"/>
    </row>
    <row r="787" spans="2:2" ht="12.75" x14ac:dyDescent="0.25">
      <c r="B787" s="139"/>
    </row>
    <row r="788" spans="2:2" ht="12.75" x14ac:dyDescent="0.25">
      <c r="B788" s="139"/>
    </row>
    <row r="789" spans="2:2" ht="12.75" x14ac:dyDescent="0.25">
      <c r="B789" s="139"/>
    </row>
    <row r="790" spans="2:2" ht="12.75" x14ac:dyDescent="0.25">
      <c r="B790" s="139"/>
    </row>
    <row r="791" spans="2:2" ht="12.75" x14ac:dyDescent="0.25">
      <c r="B791" s="139"/>
    </row>
    <row r="792" spans="2:2" ht="12.75" x14ac:dyDescent="0.25">
      <c r="B792" s="139"/>
    </row>
    <row r="793" spans="2:2" ht="12.75" x14ac:dyDescent="0.25">
      <c r="B793" s="139"/>
    </row>
    <row r="794" spans="2:2" ht="12.75" x14ac:dyDescent="0.25">
      <c r="B794" s="139"/>
    </row>
    <row r="795" spans="2:2" ht="12.75" x14ac:dyDescent="0.25">
      <c r="B795" s="139"/>
    </row>
    <row r="796" spans="2:2" ht="12.75" x14ac:dyDescent="0.25">
      <c r="B796" s="139"/>
    </row>
    <row r="797" spans="2:2" ht="12.75" x14ac:dyDescent="0.25">
      <c r="B797" s="139"/>
    </row>
    <row r="798" spans="2:2" ht="12.75" x14ac:dyDescent="0.25">
      <c r="B798" s="139"/>
    </row>
    <row r="799" spans="2:2" ht="12.75" x14ac:dyDescent="0.25">
      <c r="B799" s="139"/>
    </row>
    <row r="800" spans="2:2" ht="12.75" x14ac:dyDescent="0.25">
      <c r="B800" s="139"/>
    </row>
    <row r="801" spans="2:2" ht="12.75" x14ac:dyDescent="0.25">
      <c r="B801" s="139"/>
    </row>
    <row r="802" spans="2:2" ht="12.75" x14ac:dyDescent="0.25">
      <c r="B802" s="139"/>
    </row>
    <row r="803" spans="2:2" ht="12.75" x14ac:dyDescent="0.25">
      <c r="B803" s="139"/>
    </row>
    <row r="804" spans="2:2" ht="12.75" x14ac:dyDescent="0.25">
      <c r="B804" s="139"/>
    </row>
    <row r="805" spans="2:2" ht="12.75" x14ac:dyDescent="0.25">
      <c r="B805" s="139"/>
    </row>
    <row r="806" spans="2:2" ht="12.75" x14ac:dyDescent="0.25">
      <c r="B806" s="139"/>
    </row>
    <row r="807" spans="2:2" ht="12.75" x14ac:dyDescent="0.25">
      <c r="B807" s="139"/>
    </row>
    <row r="808" spans="2:2" ht="12.75" x14ac:dyDescent="0.25">
      <c r="B808" s="139"/>
    </row>
    <row r="809" spans="2:2" ht="12.75" x14ac:dyDescent="0.25">
      <c r="B809" s="139"/>
    </row>
    <row r="810" spans="2:2" ht="12.75" x14ac:dyDescent="0.25">
      <c r="B810" s="139"/>
    </row>
    <row r="811" spans="2:2" ht="12.75" x14ac:dyDescent="0.25">
      <c r="B811" s="139"/>
    </row>
    <row r="812" spans="2:2" ht="12.75" x14ac:dyDescent="0.25">
      <c r="B812" s="139"/>
    </row>
    <row r="813" spans="2:2" ht="12.75" x14ac:dyDescent="0.25">
      <c r="B813" s="139"/>
    </row>
    <row r="814" spans="2:2" ht="12.75" x14ac:dyDescent="0.25">
      <c r="B814" s="139"/>
    </row>
    <row r="815" spans="2:2" ht="12.75" x14ac:dyDescent="0.25">
      <c r="B815" s="139"/>
    </row>
    <row r="816" spans="2:2" ht="12.75" x14ac:dyDescent="0.25">
      <c r="B816" s="139"/>
    </row>
    <row r="817" spans="2:2" ht="12.75" x14ac:dyDescent="0.25">
      <c r="B817" s="139"/>
    </row>
    <row r="818" spans="2:2" ht="12.75" x14ac:dyDescent="0.25">
      <c r="B818" s="139"/>
    </row>
    <row r="819" spans="2:2" ht="12.75" x14ac:dyDescent="0.25">
      <c r="B819" s="139"/>
    </row>
    <row r="820" spans="2:2" ht="12.75" x14ac:dyDescent="0.25">
      <c r="B820" s="139"/>
    </row>
    <row r="821" spans="2:2" ht="12.75" x14ac:dyDescent="0.25">
      <c r="B821" s="139"/>
    </row>
    <row r="822" spans="2:2" ht="12.75" x14ac:dyDescent="0.25">
      <c r="B822" s="139"/>
    </row>
    <row r="823" spans="2:2" ht="12.75" x14ac:dyDescent="0.25">
      <c r="B823" s="139"/>
    </row>
    <row r="824" spans="2:2" ht="12.75" x14ac:dyDescent="0.25">
      <c r="B824" s="139"/>
    </row>
    <row r="825" spans="2:2" ht="12.75" x14ac:dyDescent="0.25">
      <c r="B825" s="139"/>
    </row>
    <row r="826" spans="2:2" ht="12.75" x14ac:dyDescent="0.25">
      <c r="B826" s="139"/>
    </row>
    <row r="827" spans="2:2" ht="12.75" x14ac:dyDescent="0.25">
      <c r="B827" s="139"/>
    </row>
    <row r="828" spans="2:2" ht="12.75" x14ac:dyDescent="0.25">
      <c r="B828" s="139"/>
    </row>
    <row r="829" spans="2:2" ht="12.75" x14ac:dyDescent="0.25">
      <c r="B829" s="139"/>
    </row>
    <row r="830" spans="2:2" ht="12.75" x14ac:dyDescent="0.25">
      <c r="B830" s="139"/>
    </row>
    <row r="831" spans="2:2" ht="12.75" x14ac:dyDescent="0.25">
      <c r="B831" s="139"/>
    </row>
    <row r="832" spans="2:2" ht="12.75" x14ac:dyDescent="0.25">
      <c r="B832" s="139"/>
    </row>
    <row r="833" spans="2:2" ht="12.75" x14ac:dyDescent="0.25">
      <c r="B833" s="139"/>
    </row>
    <row r="834" spans="2:2" ht="12.75" x14ac:dyDescent="0.25">
      <c r="B834" s="139"/>
    </row>
    <row r="835" spans="2:2" ht="12.75" x14ac:dyDescent="0.25">
      <c r="B835" s="139"/>
    </row>
    <row r="836" spans="2:2" ht="12.75" x14ac:dyDescent="0.25">
      <c r="B836" s="139"/>
    </row>
    <row r="837" spans="2:2" ht="12.75" x14ac:dyDescent="0.25">
      <c r="B837" s="139"/>
    </row>
    <row r="838" spans="2:2" ht="12.75" x14ac:dyDescent="0.25">
      <c r="B838" s="139"/>
    </row>
    <row r="839" spans="2:2" ht="12.75" x14ac:dyDescent="0.25">
      <c r="B839" s="139"/>
    </row>
    <row r="840" spans="2:2" ht="12.75" x14ac:dyDescent="0.25">
      <c r="B840" s="139"/>
    </row>
    <row r="841" spans="2:2" ht="12.75" x14ac:dyDescent="0.25">
      <c r="B841" s="139"/>
    </row>
    <row r="842" spans="2:2" ht="12.75" x14ac:dyDescent="0.25">
      <c r="B842" s="139"/>
    </row>
    <row r="843" spans="2:2" ht="12.75" x14ac:dyDescent="0.25">
      <c r="B843" s="139"/>
    </row>
    <row r="844" spans="2:2" ht="12.75" x14ac:dyDescent="0.25">
      <c r="B844" s="139"/>
    </row>
    <row r="845" spans="2:2" ht="12.75" x14ac:dyDescent="0.25">
      <c r="B845" s="139"/>
    </row>
    <row r="846" spans="2:2" ht="12.75" x14ac:dyDescent="0.25">
      <c r="B846" s="139"/>
    </row>
    <row r="847" spans="2:2" ht="12.75" x14ac:dyDescent="0.25">
      <c r="B847" s="139"/>
    </row>
    <row r="848" spans="2:2" ht="12.75" x14ac:dyDescent="0.25">
      <c r="B848" s="139"/>
    </row>
    <row r="849" spans="2:2" ht="12.75" x14ac:dyDescent="0.25">
      <c r="B849" s="139"/>
    </row>
    <row r="850" spans="2:2" ht="12.75" x14ac:dyDescent="0.25">
      <c r="B850" s="139"/>
    </row>
    <row r="851" spans="2:2" ht="12.75" x14ac:dyDescent="0.25">
      <c r="B851" s="139"/>
    </row>
    <row r="852" spans="2:2" ht="12.75" x14ac:dyDescent="0.25">
      <c r="B852" s="139"/>
    </row>
    <row r="853" spans="2:2" ht="12.75" x14ac:dyDescent="0.25">
      <c r="B853" s="139"/>
    </row>
    <row r="854" spans="2:2" ht="12.75" x14ac:dyDescent="0.25">
      <c r="B854" s="139"/>
    </row>
    <row r="855" spans="2:2" ht="12.75" x14ac:dyDescent="0.25">
      <c r="B855" s="139"/>
    </row>
    <row r="856" spans="2:2" ht="12.75" x14ac:dyDescent="0.25">
      <c r="B856" s="139"/>
    </row>
    <row r="857" spans="2:2" ht="12.75" x14ac:dyDescent="0.25">
      <c r="B857" s="139"/>
    </row>
    <row r="858" spans="2:2" ht="12.75" x14ac:dyDescent="0.25">
      <c r="B858" s="139"/>
    </row>
    <row r="859" spans="2:2" ht="12.75" x14ac:dyDescent="0.25">
      <c r="B859" s="139"/>
    </row>
    <row r="860" spans="2:2" ht="12.75" x14ac:dyDescent="0.25">
      <c r="B860" s="139"/>
    </row>
    <row r="861" spans="2:2" ht="12.75" x14ac:dyDescent="0.25">
      <c r="B861" s="139"/>
    </row>
    <row r="862" spans="2:2" ht="12.75" x14ac:dyDescent="0.25">
      <c r="B862" s="139"/>
    </row>
    <row r="863" spans="2:2" ht="12.75" x14ac:dyDescent="0.25">
      <c r="B863" s="139"/>
    </row>
    <row r="864" spans="2:2" ht="12.75" x14ac:dyDescent="0.25">
      <c r="B864" s="139"/>
    </row>
    <row r="865" spans="2:2" ht="12.75" x14ac:dyDescent="0.25">
      <c r="B865" s="139"/>
    </row>
    <row r="866" spans="2:2" ht="12.75" x14ac:dyDescent="0.25">
      <c r="B866" s="139"/>
    </row>
    <row r="867" spans="2:2" ht="12.75" x14ac:dyDescent="0.25">
      <c r="B867" s="139"/>
    </row>
    <row r="868" spans="2:2" ht="12.75" x14ac:dyDescent="0.25">
      <c r="B868" s="139"/>
    </row>
    <row r="869" spans="2:2" ht="12.75" x14ac:dyDescent="0.25">
      <c r="B869" s="139"/>
    </row>
    <row r="870" spans="2:2" ht="12.75" x14ac:dyDescent="0.25">
      <c r="B870" s="139"/>
    </row>
    <row r="871" spans="2:2" ht="12.75" x14ac:dyDescent="0.25">
      <c r="B871" s="139"/>
    </row>
    <row r="872" spans="2:2" ht="12.75" x14ac:dyDescent="0.25">
      <c r="B872" s="139"/>
    </row>
    <row r="873" spans="2:2" ht="12.75" x14ac:dyDescent="0.25">
      <c r="B873" s="139"/>
    </row>
    <row r="874" spans="2:2" ht="12.75" x14ac:dyDescent="0.25">
      <c r="B874" s="139"/>
    </row>
    <row r="875" spans="2:2" ht="12.75" x14ac:dyDescent="0.25">
      <c r="B875" s="139"/>
    </row>
    <row r="876" spans="2:2" ht="12.75" x14ac:dyDescent="0.25">
      <c r="B876" s="139"/>
    </row>
    <row r="877" spans="2:2" ht="12.75" x14ac:dyDescent="0.25">
      <c r="B877" s="139"/>
    </row>
    <row r="878" spans="2:2" ht="12.75" x14ac:dyDescent="0.25">
      <c r="B878" s="139"/>
    </row>
    <row r="879" spans="2:2" ht="12.75" x14ac:dyDescent="0.25">
      <c r="B879" s="139"/>
    </row>
    <row r="880" spans="2:2" ht="12.75" x14ac:dyDescent="0.25">
      <c r="B880" s="139"/>
    </row>
    <row r="881" spans="2:2" ht="12.75" x14ac:dyDescent="0.25">
      <c r="B881" s="139"/>
    </row>
    <row r="882" spans="2:2" ht="12.75" x14ac:dyDescent="0.25">
      <c r="B882" s="139"/>
    </row>
    <row r="883" spans="2:2" ht="12.75" x14ac:dyDescent="0.25">
      <c r="B883" s="139"/>
    </row>
    <row r="884" spans="2:2" ht="12.75" x14ac:dyDescent="0.25">
      <c r="B884" s="139"/>
    </row>
    <row r="885" spans="2:2" ht="12.75" x14ac:dyDescent="0.25">
      <c r="B885" s="139"/>
    </row>
    <row r="886" spans="2:2" ht="12.75" x14ac:dyDescent="0.25">
      <c r="B886" s="139"/>
    </row>
    <row r="887" spans="2:2" ht="12.75" x14ac:dyDescent="0.25">
      <c r="B887" s="139"/>
    </row>
    <row r="888" spans="2:2" ht="12.75" customHeight="1" x14ac:dyDescent="0.25"/>
    <row r="889" spans="2:2" ht="12.75" customHeight="1" x14ac:dyDescent="0.25"/>
    <row r="890" spans="2:2" ht="12.75" customHeight="1" x14ac:dyDescent="0.25"/>
    <row r="891" spans="2:2" ht="12.75" customHeight="1" x14ac:dyDescent="0.25"/>
    <row r="892" spans="2:2" ht="12.75" customHeight="1" x14ac:dyDescent="0.25"/>
    <row r="893" spans="2:2" ht="12.75" customHeight="1" x14ac:dyDescent="0.25"/>
    <row r="894" spans="2:2" ht="12.75" customHeight="1" x14ac:dyDescent="0.25"/>
    <row r="895" spans="2:2" ht="12.75" customHeight="1" x14ac:dyDescent="0.25"/>
    <row r="896" spans="2:2"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sheetData>
  <autoFilter ref="B5:S5" xr:uid="{460B2B9C-DF5D-4689-8F87-44A8F31A943C}"/>
  <mergeCells count="2">
    <mergeCell ref="Q3:S3"/>
    <mergeCell ref="J4:K4"/>
  </mergeCells>
  <hyperlinks>
    <hyperlink ref="D2" location="Menu!A1" display="Menu" xr:uid="{7F82F5FE-DD17-4A06-8DBC-DF98823153CE}"/>
    <hyperlink ref="H2" location="Menu!A1" display="Menu" xr:uid="{3C1A26FC-2FD7-4D94-9FF3-713DF5037F6F}"/>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F652B-0E0A-47CC-B6AF-AA80B52277DD}">
  <sheetPr codeName="Sheet2">
    <tabColor rgb="FF00447C"/>
  </sheetPr>
  <dimension ref="A1:XFC100"/>
  <sheetViews>
    <sheetView showGridLines="0" showRowColHeaders="0" zoomScale="85" zoomScaleNormal="85" workbookViewId="0">
      <selection activeCell="L2" sqref="L2"/>
    </sheetView>
  </sheetViews>
  <sheetFormatPr defaultColWidth="0" defaultRowHeight="12.75" zeroHeight="1" x14ac:dyDescent="0.25"/>
  <cols>
    <col min="1" max="1" width="0.5703125" style="26" customWidth="1"/>
    <col min="2" max="2" width="26" style="26" customWidth="1"/>
    <col min="3" max="3" width="15.140625" style="15" customWidth="1"/>
    <col min="4" max="4" width="16.7109375" style="26" bestFit="1" customWidth="1"/>
    <col min="5" max="5" width="15.140625" style="40" customWidth="1"/>
    <col min="6" max="8" width="15.140625" style="26" customWidth="1"/>
    <col min="9" max="10" width="16.7109375" style="26" bestFit="1" customWidth="1"/>
    <col min="11" max="13" width="15.140625" style="26" customWidth="1"/>
    <col min="14" max="14" width="0.5703125" style="26" customWidth="1"/>
    <col min="15" max="18" width="0" style="26" hidden="1" customWidth="1"/>
    <col min="19" max="16383" width="9.140625" style="26" hidden="1"/>
    <col min="16384" max="16384" width="0.140625" style="26" hidden="1" customWidth="1"/>
  </cols>
  <sheetData>
    <row r="1" spans="1:14" ht="3" customHeight="1" x14ac:dyDescent="0.25">
      <c r="G1" s="41"/>
      <c r="H1" s="42"/>
      <c r="I1" s="42"/>
      <c r="J1" s="43"/>
    </row>
    <row r="2" spans="1:14" ht="14.25" customHeight="1" thickBot="1" x14ac:dyDescent="0.3">
      <c r="J2" s="44"/>
      <c r="L2" s="174" t="s">
        <v>57</v>
      </c>
      <c r="M2" s="173" t="s">
        <v>68</v>
      </c>
    </row>
    <row r="3" spans="1:14" ht="12.75" customHeight="1" thickBot="1" x14ac:dyDescent="0.3">
      <c r="C3" s="45"/>
      <c r="D3" s="46"/>
      <c r="E3" s="47"/>
      <c r="F3" s="46"/>
      <c r="G3" s="48"/>
      <c r="H3" s="48"/>
      <c r="I3" s="45"/>
      <c r="J3" s="49"/>
      <c r="M3" s="50"/>
    </row>
    <row r="4" spans="1:14" ht="22.5" customHeight="1" thickTop="1" x14ac:dyDescent="0.25">
      <c r="B4" s="54" t="s">
        <v>38</v>
      </c>
      <c r="C4" s="38"/>
      <c r="D4" s="38"/>
      <c r="E4" s="38"/>
      <c r="F4" s="38"/>
      <c r="G4" s="38"/>
      <c r="H4" s="38"/>
      <c r="I4" s="38"/>
      <c r="J4" s="38"/>
      <c r="K4" s="38"/>
      <c r="L4" s="38"/>
      <c r="M4" s="39"/>
    </row>
    <row r="5" spans="1:14" s="3" customFormat="1" ht="38.25" customHeight="1" x14ac:dyDescent="0.25">
      <c r="B5" s="97" t="s">
        <v>14</v>
      </c>
      <c r="C5" s="98" t="s">
        <v>2</v>
      </c>
      <c r="D5" s="99" t="s">
        <v>47</v>
      </c>
      <c r="E5" s="98" t="s">
        <v>5</v>
      </c>
      <c r="F5" s="98" t="s">
        <v>6</v>
      </c>
      <c r="G5" s="98" t="s">
        <v>60</v>
      </c>
      <c r="H5" s="98" t="s">
        <v>335</v>
      </c>
      <c r="I5" s="100" t="s">
        <v>41</v>
      </c>
      <c r="J5" s="98" t="s">
        <v>105</v>
      </c>
      <c r="K5" s="98" t="s">
        <v>36</v>
      </c>
      <c r="L5" s="98" t="s">
        <v>45</v>
      </c>
      <c r="M5" s="101" t="s">
        <v>42</v>
      </c>
      <c r="N5" s="26"/>
    </row>
    <row r="6" spans="1:14" s="3" customFormat="1" ht="21" customHeight="1" thickBot="1" x14ac:dyDescent="0.3">
      <c r="B6" s="102" t="s">
        <v>12</v>
      </c>
      <c r="C6" s="103" t="s">
        <v>59</v>
      </c>
      <c r="D6" s="104" t="s">
        <v>49</v>
      </c>
      <c r="E6" s="103" t="s">
        <v>50</v>
      </c>
      <c r="F6" s="103" t="s">
        <v>50</v>
      </c>
      <c r="G6" s="103" t="s">
        <v>51</v>
      </c>
      <c r="H6" s="103" t="s">
        <v>51</v>
      </c>
      <c r="I6" s="103" t="s">
        <v>52</v>
      </c>
      <c r="J6" s="103" t="s">
        <v>52</v>
      </c>
      <c r="K6" s="105" t="s">
        <v>53</v>
      </c>
      <c r="L6" s="105" t="s">
        <v>53</v>
      </c>
      <c r="M6" s="106" t="s">
        <v>53</v>
      </c>
      <c r="N6" s="26"/>
    </row>
    <row r="7" spans="1:14" ht="15" customHeight="1" thickTop="1" x14ac:dyDescent="0.25">
      <c r="A7" s="51"/>
      <c r="B7" s="107" t="s">
        <v>64</v>
      </c>
      <c r="C7" s="159">
        <f>SUMIFS('Stock Guide'!H:H,'Stock Guide'!$G:$G,Segmentos!$B7)</f>
        <v>0.36761000000000005</v>
      </c>
      <c r="D7" s="108">
        <f>AVERAGEIFS('Stock Guide'!I:I,'Stock Guide'!$G:$G,Segmentos!$B7)</f>
        <v>1876793.8723591075</v>
      </c>
      <c r="E7" s="108">
        <f>SUMIFS('Stock Guide'!M:M,'Stock Guide'!$G:$G,Segmentos!$B7)</f>
        <v>56870844693.629997</v>
      </c>
      <c r="F7" s="108">
        <f>SUMIFS('Stock Guide'!N:N,'Stock Guide'!$G:$G,Segmentos!$B7)</f>
        <v>66479082555.780014</v>
      </c>
      <c r="G7" s="160">
        <f>AVERAGEIFS('Stock Guide'!O:O,'Stock Guide'!$G:$G,Segmentos!$B7)</f>
        <v>0.78179102507748544</v>
      </c>
      <c r="H7" s="160">
        <f>AVERAGEIFS('Stock Guide'!P:P,'Stock Guide'!$G:$G,Segmentos!$B7)</f>
        <v>0.86063518669328121</v>
      </c>
      <c r="I7" s="159">
        <f>AVERAGEIFS('Stock Guide'!Q:Q,'Stock Guide'!$G:$G,Segmentos!$B7)</f>
        <v>0.16614556465734376</v>
      </c>
      <c r="J7" s="159">
        <f>AVERAGEIFS('Stock Guide'!R:R,'Stock Guide'!$G:$G,Segmentos!$B7)</f>
        <v>0.1599020337988033</v>
      </c>
      <c r="K7" s="159">
        <f>AVERAGEIFS('Stock Guide'!U:U,'Stock Guide'!$G:$G,Segmentos!$B7)</f>
        <v>-3.1966019843879381E-2</v>
      </c>
      <c r="L7" s="159">
        <f>AVERAGEIFS('Stock Guide'!V:V,'Stock Guide'!$G:$G,Segmentos!$B7)</f>
        <v>-2.7109576523970315E-2</v>
      </c>
      <c r="M7" s="161">
        <f>AVERAGEIFS('Stock Guide'!W:W,'Stock Guide'!$G:$G,Segmentos!$B7)</f>
        <v>4.8648217760906255E-2</v>
      </c>
    </row>
    <row r="8" spans="1:14" ht="15" customHeight="1" x14ac:dyDescent="0.25">
      <c r="B8" s="109" t="s">
        <v>65</v>
      </c>
      <c r="C8" s="163">
        <f>SUMIFS('Stock Guide'!H:H,'Stock Guide'!$G:$G,Segmentos!$B8)</f>
        <v>0.18023999999999998</v>
      </c>
      <c r="D8" s="110">
        <f>AVERAGEIFS('Stock Guide'!I:I,'Stock Guide'!$G:$G,Segmentos!$B8)</f>
        <v>3125206.5921148397</v>
      </c>
      <c r="E8" s="110">
        <f>SUMIFS('Stock Guide'!M:M,'Stock Guide'!$G:$G,Segmentos!$B8)</f>
        <v>32929979108.829994</v>
      </c>
      <c r="F8" s="110">
        <f>SUMIFS('Stock Guide'!N:N,'Stock Guide'!$G:$G,Segmentos!$B8)</f>
        <v>38725581934.989998</v>
      </c>
      <c r="G8" s="162">
        <f>AVERAGEIFS('Stock Guide'!O:O,'Stock Guide'!$G:$G,Segmentos!$B8)</f>
        <v>0.79534333503825971</v>
      </c>
      <c r="H8" s="162">
        <f>AVERAGEIFS('Stock Guide'!P:P,'Stock Guide'!$G:$G,Segmentos!$B8)</f>
        <v>0.87615469633200005</v>
      </c>
      <c r="I8" s="163">
        <f>AVERAGEIFS('Stock Guide'!Q:Q,'Stock Guide'!$G:$G,Segmentos!$B8)</f>
        <v>0.11209998475856002</v>
      </c>
      <c r="J8" s="163">
        <f>AVERAGEIFS('Stock Guide'!R:R,'Stock Guide'!$G:$G,Segmentos!$B8)</f>
        <v>0.10854653427722952</v>
      </c>
      <c r="K8" s="163">
        <f>AVERAGEIFS('Stock Guide'!U:U,'Stock Guide'!$G:$G,Segmentos!$B8)</f>
        <v>-2.7476579492919199E-2</v>
      </c>
      <c r="L8" s="163">
        <f>AVERAGEIFS('Stock Guide'!V:V,'Stock Guide'!$G:$G,Segmentos!$B8)</f>
        <v>-4.5070883354636007E-2</v>
      </c>
      <c r="M8" s="164">
        <f>AVERAGEIFS('Stock Guide'!W:W,'Stock Guide'!$G:$G,Segmentos!$B8)</f>
        <v>7.659198502285601E-2</v>
      </c>
    </row>
    <row r="9" spans="1:14" ht="15" customHeight="1" x14ac:dyDescent="0.25">
      <c r="A9" s="51"/>
      <c r="B9" s="109" t="s">
        <v>61</v>
      </c>
      <c r="C9" s="163">
        <f>SUMIFS('Stock Guide'!H:H,'Stock Guide'!$G:$G,Segmentos!$B9)</f>
        <v>0.11835000000000001</v>
      </c>
      <c r="D9" s="110">
        <f>AVERAGEIFS('Stock Guide'!I:I,'Stock Guide'!$G:$G,Segmentos!$B9)</f>
        <v>3558069.6856549568</v>
      </c>
      <c r="E9" s="110">
        <f>SUMIFS('Stock Guide'!M:M,'Stock Guide'!$G:$G,Segmentos!$B9)</f>
        <v>24299827119.870003</v>
      </c>
      <c r="F9" s="110">
        <f>SUMIFS('Stock Guide'!N:N,'Stock Guide'!$G:$G,Segmentos!$B9)</f>
        <v>29592249696.520004</v>
      </c>
      <c r="G9" s="162">
        <f>AVERAGEIFS('Stock Guide'!O:O,'Stock Guide'!$G:$G,Segmentos!$B9)</f>
        <v>0.79206712271031787</v>
      </c>
      <c r="H9" s="162">
        <f>AVERAGEIFS('Stock Guide'!P:P,'Stock Guide'!$G:$G,Segmentos!$B9)</f>
        <v>0.8149506604895238</v>
      </c>
      <c r="I9" s="163">
        <f>AVERAGEIFS('Stock Guide'!Q:Q,'Stock Guide'!$G:$G,Segmentos!$B9)</f>
        <v>0.10760614929145</v>
      </c>
      <c r="J9" s="163">
        <f>AVERAGEIFS('Stock Guide'!R:R,'Stock Guide'!$G:$G,Segmentos!$B9)</f>
        <v>9.2415897143837716E-2</v>
      </c>
      <c r="K9" s="163">
        <f>AVERAGEIFS('Stock Guide'!U:U,'Stock Guide'!$G:$G,Segmentos!$B9)</f>
        <v>-3.4986053836311162E-2</v>
      </c>
      <c r="L9" s="163">
        <f>AVERAGEIFS('Stock Guide'!V:V,'Stock Guide'!$G:$G,Segmentos!$B9)</f>
        <v>-3.7001719753828564E-2</v>
      </c>
      <c r="M9" s="164">
        <f>AVERAGEIFS('Stock Guide'!W:W,'Stock Guide'!$G:$G,Segmentos!$B9)</f>
        <v>5.7332755858342847E-2</v>
      </c>
    </row>
    <row r="10" spans="1:14" ht="15" customHeight="1" x14ac:dyDescent="0.25">
      <c r="B10" s="109" t="s">
        <v>179</v>
      </c>
      <c r="C10" s="163">
        <f>SUMIFS('Stock Guide'!H:H,'Stock Guide'!$G:$G,Segmentos!$B10)</f>
        <v>7.3649999999999993E-2</v>
      </c>
      <c r="D10" s="110">
        <f>AVERAGEIFS('Stock Guide'!I:I,'Stock Guide'!$G:$G,Segmentos!$B10)</f>
        <v>1633937.0560584706</v>
      </c>
      <c r="E10" s="110">
        <f>SUMIFS('Stock Guide'!M:M,'Stock Guide'!$G:$G,Segmentos!$B10)</f>
        <v>12270998111.25</v>
      </c>
      <c r="F10" s="110">
        <f>SUMIFS('Stock Guide'!N:N,'Stock Guide'!$G:$G,Segmentos!$B10)</f>
        <v>15065137919.09</v>
      </c>
      <c r="G10" s="162">
        <f>AVERAGEIFS('Stock Guide'!O:O,'Stock Guide'!$G:$G,Segmentos!$B10)</f>
        <v>0.83859445128512933</v>
      </c>
      <c r="H10" s="162">
        <f>AVERAGEIFS('Stock Guide'!P:P,'Stock Guide'!$G:$G,Segmentos!$B10)</f>
        <v>0.89496963702374999</v>
      </c>
      <c r="I10" s="163">
        <f>AVERAGEIFS('Stock Guide'!Q:Q,'Stock Guide'!$G:$G,Segmentos!$B10)</f>
        <v>0.15013515117375001</v>
      </c>
      <c r="J10" s="163">
        <f>AVERAGEIFS('Stock Guide'!R:R,'Stock Guide'!$G:$G,Segmentos!$B10)</f>
        <v>0.14486762706915932</v>
      </c>
      <c r="K10" s="163">
        <f>AVERAGEIFS('Stock Guide'!U:U,'Stock Guide'!$G:$G,Segmentos!$B10)</f>
        <v>-2.7127969286852939E-2</v>
      </c>
      <c r="L10" s="163">
        <f>AVERAGEIFS('Stock Guide'!V:V,'Stock Guide'!$G:$G,Segmentos!$B10)</f>
        <v>-1.5378937731300002E-2</v>
      </c>
      <c r="M10" s="164">
        <f>AVERAGEIFS('Stock Guide'!W:W,'Stock Guide'!$G:$G,Segmentos!$B10)</f>
        <v>8.1350971046862508E-2</v>
      </c>
    </row>
    <row r="11" spans="1:14" ht="15" customHeight="1" x14ac:dyDescent="0.25">
      <c r="A11" s="51"/>
      <c r="B11" s="109" t="s">
        <v>63</v>
      </c>
      <c r="C11" s="163">
        <f>SUMIFS('Stock Guide'!H:H,'Stock Guide'!$G:$G,Segmentos!$B11)</f>
        <v>6.5319999999999989E-2</v>
      </c>
      <c r="D11" s="110">
        <f>AVERAGEIFS('Stock Guide'!I:I,'Stock Guide'!$G:$G,Segmentos!$B11)</f>
        <v>1307854.3719937692</v>
      </c>
      <c r="E11" s="110">
        <f>SUMIFS('Stock Guide'!M:M,'Stock Guide'!$G:$G,Segmentos!$B11)</f>
        <v>12424206764.119999</v>
      </c>
      <c r="F11" s="110">
        <f>SUMIFS('Stock Guide'!N:N,'Stock Guide'!$G:$G,Segmentos!$B11)</f>
        <v>19888353867.130001</v>
      </c>
      <c r="G11" s="162">
        <f>AVERAGEIFS('Stock Guide'!O:O,'Stock Guide'!$G:$G,Segmentos!$B11)</f>
        <v>0.63225560206228171</v>
      </c>
      <c r="H11" s="162">
        <f>AVERAGEIFS('Stock Guide'!P:P,'Stock Guide'!$G:$G,Segmentos!$B11)</f>
        <v>0.67987344334461541</v>
      </c>
      <c r="I11" s="163">
        <f>AVERAGEIFS('Stock Guide'!Q:Q,'Stock Guide'!$G:$G,Segmentos!$B11)</f>
        <v>0.11182231405433334</v>
      </c>
      <c r="J11" s="163">
        <f>AVERAGEIFS('Stock Guide'!R:R,'Stock Guide'!$G:$G,Segmentos!$B11)</f>
        <v>0.13073000560884079</v>
      </c>
      <c r="K11" s="163">
        <f>AVERAGEIFS('Stock Guide'!U:U,'Stock Guide'!$G:$G,Segmentos!$B11)</f>
        <v>-1.9245958884792306E-2</v>
      </c>
      <c r="L11" s="163">
        <f>AVERAGEIFS('Stock Guide'!V:V,'Stock Guide'!$G:$G,Segmentos!$B11)</f>
        <v>-8.2131217156923095E-3</v>
      </c>
      <c r="M11" s="164">
        <f>AVERAGEIFS('Stock Guide'!W:W,'Stock Guide'!$G:$G,Segmentos!$B11)</f>
        <v>0.12871187211499621</v>
      </c>
    </row>
    <row r="12" spans="1:14" ht="15" customHeight="1" x14ac:dyDescent="0.25">
      <c r="B12" s="109" t="s">
        <v>180</v>
      </c>
      <c r="C12" s="163">
        <f>SUMIFS('Stock Guide'!H:H,'Stock Guide'!$G:$G,Segmentos!$B12)</f>
        <v>8.2669999999999993E-2</v>
      </c>
      <c r="D12" s="110">
        <f>AVERAGEIFS('Stock Guide'!I:I,'Stock Guide'!$G:$G,Segmentos!$B12)</f>
        <v>5061768.7654383341</v>
      </c>
      <c r="E12" s="110">
        <f>SUMIFS('Stock Guide'!M:M,'Stock Guide'!$G:$G,Segmentos!$B12)</f>
        <v>12827436805.76</v>
      </c>
      <c r="F12" s="110">
        <f>SUMIFS('Stock Guide'!N:N,'Stock Guide'!$G:$G,Segmentos!$B12)</f>
        <v>15074283523.369999</v>
      </c>
      <c r="G12" s="162">
        <f>AVERAGEIFS('Stock Guide'!O:O,'Stock Guide'!$G:$G,Segmentos!$B12)</f>
        <v>0.8750422119991027</v>
      </c>
      <c r="H12" s="162">
        <f>AVERAGEIFS('Stock Guide'!P:P,'Stock Guide'!$G:$G,Segmentos!$B12)</f>
        <v>0.95833695236333349</v>
      </c>
      <c r="I12" s="163">
        <f>AVERAGEIFS('Stock Guide'!Q:Q,'Stock Guide'!$G:$G,Segmentos!$B12)</f>
        <v>0.14673630900555557</v>
      </c>
      <c r="J12" s="163">
        <f>AVERAGEIFS('Stock Guide'!R:R,'Stock Guide'!$G:$G,Segmentos!$B12)</f>
        <v>0.11614243568635557</v>
      </c>
      <c r="K12" s="163">
        <f>AVERAGEIFS('Stock Guide'!U:U,'Stock Guide'!$G:$G,Segmentos!$B12)</f>
        <v>-4.3774239456222226E-2</v>
      </c>
      <c r="L12" s="163">
        <f>AVERAGEIFS('Stock Guide'!V:V,'Stock Guide'!$G:$G,Segmentos!$B12)</f>
        <v>-1.6001280553111109E-2</v>
      </c>
      <c r="M12" s="164">
        <f>AVERAGEIFS('Stock Guide'!W:W,'Stock Guide'!$G:$G,Segmentos!$B12)</f>
        <v>0.11868240319633333</v>
      </c>
    </row>
    <row r="13" spans="1:14" ht="15" customHeight="1" x14ac:dyDescent="0.25">
      <c r="B13" s="109" t="s">
        <v>19</v>
      </c>
      <c r="C13" s="163">
        <f>SUMIFS('Stock Guide'!H:H,'Stock Guide'!$G:$G,Segmentos!$B13)</f>
        <v>4.7329999999999997E-2</v>
      </c>
      <c r="D13" s="110">
        <f>AVERAGEIFS('Stock Guide'!I:I,'Stock Guide'!$G:$G,Segmentos!$B13)</f>
        <v>1719745.4060810001</v>
      </c>
      <c r="E13" s="110">
        <f>SUMIFS('Stock Guide'!M:M,'Stock Guide'!$G:$G,Segmentos!$B13)</f>
        <v>7383843338.7860003</v>
      </c>
      <c r="F13" s="110">
        <f>SUMIFS('Stock Guide'!N:N,'Stock Guide'!$G:$G,Segmentos!$B13)</f>
        <v>8433558069.3799992</v>
      </c>
      <c r="G13" s="162">
        <f>AVERAGEIFS('Stock Guide'!O:O,'Stock Guide'!$G:$G,Segmentos!$B13)</f>
        <v>0.75881039758606839</v>
      </c>
      <c r="H13" s="162">
        <f>AVERAGEIFS('Stock Guide'!P:P,'Stock Guide'!$G:$G,Segmentos!$B13)</f>
        <v>0.82167984118125015</v>
      </c>
      <c r="I13" s="163">
        <f>AVERAGEIFS('Stock Guide'!Q:Q,'Stock Guide'!$G:$G,Segmentos!$B13)</f>
        <v>0.1142108521395</v>
      </c>
      <c r="J13" s="163">
        <f>AVERAGEIFS('Stock Guide'!R:R,'Stock Guide'!$G:$G,Segmentos!$B13)</f>
        <v>0.11086549437841922</v>
      </c>
      <c r="K13" s="163">
        <f>AVERAGEIFS('Stock Guide'!U:U,'Stock Guide'!$G:$G,Segmentos!$B13)</f>
        <v>-2.4056091048413747E-2</v>
      </c>
      <c r="L13" s="163">
        <f>AVERAGEIFS('Stock Guide'!V:V,'Stock Guide'!$G:$G,Segmentos!$B13)</f>
        <v>-1.4951236829875002E-2</v>
      </c>
      <c r="M13" s="164">
        <f>AVERAGEIFS('Stock Guide'!W:W,'Stock Guide'!$G:$G,Segmentos!$B13)</f>
        <v>0.110844114537125</v>
      </c>
    </row>
    <row r="14" spans="1:14" ht="15" customHeight="1" x14ac:dyDescent="0.25">
      <c r="A14" s="51"/>
      <c r="B14" s="109" t="s">
        <v>43</v>
      </c>
      <c r="C14" s="163">
        <f>SUMIFS('Stock Guide'!H:H,'Stock Guide'!$G:$G,Segmentos!$B14)</f>
        <v>2.4170000000000001E-2</v>
      </c>
      <c r="D14" s="110">
        <f>AVERAGEIFS('Stock Guide'!I:I,'Stock Guide'!$G:$G,Segmentos!$B14)</f>
        <v>568847.14190992864</v>
      </c>
      <c r="E14" s="110">
        <f>SUMIFS('Stock Guide'!M:M,'Stock Guide'!$G:$G,Segmentos!$B14)</f>
        <v>5428016628.7199993</v>
      </c>
      <c r="F14" s="110">
        <f>SUMIFS('Stock Guide'!N:N,'Stock Guide'!$G:$G,Segmentos!$B14)</f>
        <v>6667386283.2300005</v>
      </c>
      <c r="G14" s="162">
        <f>AVERAGEIFS('Stock Guide'!O:O,'Stock Guide'!$G:$G,Segmentos!$B14)</f>
        <v>0.82129621719345514</v>
      </c>
      <c r="H14" s="162">
        <f>AVERAGEIFS('Stock Guide'!P:P,'Stock Guide'!$G:$G,Segmentos!$B14)</f>
        <v>0.83882071679785708</v>
      </c>
      <c r="I14" s="163">
        <f>AVERAGEIFS('Stock Guide'!Q:Q,'Stock Guide'!$G:$G,Segmentos!$B14)</f>
        <v>0.14336735199214284</v>
      </c>
      <c r="J14" s="163">
        <f>AVERAGEIFS('Stock Guide'!R:R,'Stock Guide'!$G:$G,Segmentos!$B14)</f>
        <v>0.13768933760869695</v>
      </c>
      <c r="K14" s="163">
        <f>AVERAGEIFS('Stock Guide'!U:U,'Stock Guide'!$G:$G,Segmentos!$B14)</f>
        <v>-2.4372758415414284E-2</v>
      </c>
      <c r="L14" s="163">
        <f>AVERAGEIFS('Stock Guide'!V:V,'Stock Guide'!$G:$G,Segmentos!$B14)</f>
        <v>7.5174357659128551E-3</v>
      </c>
      <c r="M14" s="164">
        <f>AVERAGEIFS('Stock Guide'!W:W,'Stock Guide'!$G:$G,Segmentos!$B14)</f>
        <v>0.11882948934311428</v>
      </c>
    </row>
    <row r="15" spans="1:14" ht="15" customHeight="1" x14ac:dyDescent="0.25">
      <c r="A15" s="51"/>
      <c r="B15" s="109" t="s">
        <v>113</v>
      </c>
      <c r="C15" s="163">
        <f>SUMIFS('Stock Guide'!H:H,'Stock Guide'!$G:$G,Segmentos!$B15)</f>
        <v>1.396E-2</v>
      </c>
      <c r="D15" s="110">
        <f>AVERAGEIFS('Stock Guide'!I:I,'Stock Guide'!$G:$G,Segmentos!$B15)</f>
        <v>982889.21046500001</v>
      </c>
      <c r="E15" s="110">
        <f>SUMIFS('Stock Guide'!M:M,'Stock Guide'!$G:$G,Segmentos!$B15)</f>
        <v>2635196502.7600002</v>
      </c>
      <c r="F15" s="110">
        <f>SUMIFS('Stock Guide'!N:N,'Stock Guide'!$G:$G,Segmentos!$B15)</f>
        <v>3279175271.6199999</v>
      </c>
      <c r="G15" s="162">
        <f>AVERAGEIFS('Stock Guide'!O:O,'Stock Guide'!$G:$G,Segmentos!$B15)</f>
        <v>0.7715421782132299</v>
      </c>
      <c r="H15" s="162">
        <f>AVERAGEIFS('Stock Guide'!P:P,'Stock Guide'!$G:$G,Segmentos!$B15)</f>
        <v>0.77861191847</v>
      </c>
      <c r="I15" s="163">
        <f>AVERAGEIFS('Stock Guide'!Q:Q,'Stock Guide'!$G:$G,Segmentos!$B15)</f>
        <v>0.128468609565</v>
      </c>
      <c r="J15" s="163">
        <f>AVERAGEIFS('Stock Guide'!R:R,'Stock Guide'!$G:$G,Segmentos!$B15)</f>
        <v>0.14006192886622093</v>
      </c>
      <c r="K15" s="163">
        <f>AVERAGEIFS('Stock Guide'!U:U,'Stock Guide'!$G:$G,Segmentos!$B15)</f>
        <v>-1.0602859341250001E-2</v>
      </c>
      <c r="L15" s="163">
        <f>AVERAGEIFS('Stock Guide'!V:V,'Stock Guide'!$G:$G,Segmentos!$B15)</f>
        <v>0.12914134117200002</v>
      </c>
      <c r="M15" s="164">
        <f>AVERAGEIFS('Stock Guide'!W:W,'Stock Guide'!$G:$G,Segmentos!$B15)</f>
        <v>0.30807177293025001</v>
      </c>
    </row>
    <row r="16" spans="1:14" ht="15" customHeight="1" x14ac:dyDescent="0.25">
      <c r="A16" s="51"/>
      <c r="B16" s="109" t="s">
        <v>66</v>
      </c>
      <c r="C16" s="163">
        <f>SUMIFS('Stock Guide'!H:H,'Stock Guide'!$G:$G,Segmentos!$B16)</f>
        <v>8.4499999999999992E-3</v>
      </c>
      <c r="D16" s="110">
        <f>AVERAGEIFS('Stock Guide'!I:I,'Stock Guide'!$G:$G,Segmentos!$B16)</f>
        <v>1260936.9872868333</v>
      </c>
      <c r="E16" s="110">
        <f>SUMIFS('Stock Guide'!M:M,'Stock Guide'!$G:$G,Segmentos!$B16)</f>
        <v>1600608621.2480001</v>
      </c>
      <c r="F16" s="110">
        <f>SUMIFS('Stock Guide'!N:N,'Stock Guide'!$G:$G,Segmentos!$B16)</f>
        <v>3606676010.96</v>
      </c>
      <c r="G16" s="162">
        <f>AVERAGEIFS('Stock Guide'!O:O,'Stock Guide'!$G:$G,Segmentos!$B16)</f>
        <v>0.72542782321439148</v>
      </c>
      <c r="H16" s="162">
        <f>AVERAGEIFS('Stock Guide'!P:P,'Stock Guide'!$G:$G,Segmentos!$B16)</f>
        <v>0.84389660781833342</v>
      </c>
      <c r="I16" s="163">
        <f>AVERAGEIFS('Stock Guide'!Q:Q,'Stock Guide'!$G:$G,Segmentos!$B16)</f>
        <v>0.24162840811000003</v>
      </c>
      <c r="J16" s="163">
        <f>AVERAGEIFS('Stock Guide'!R:R,'Stock Guide'!$G:$G,Segmentos!$B16)</f>
        <v>0.25826211544636524</v>
      </c>
      <c r="K16" s="163">
        <f>AVERAGEIFS('Stock Guide'!U:U,'Stock Guide'!$G:$G,Segmentos!$B16)</f>
        <v>-8.3223891600266664E-2</v>
      </c>
      <c r="L16" s="163">
        <f>AVERAGEIFS('Stock Guide'!V:V,'Stock Guide'!$G:$G,Segmentos!$B16)</f>
        <v>-0.20292074562020002</v>
      </c>
      <c r="M16" s="164">
        <f>AVERAGEIFS('Stock Guide'!W:W,'Stock Guide'!$G:$G,Segmentos!$B16)</f>
        <v>4.2485033222E-2</v>
      </c>
    </row>
    <row r="17" spans="1:13" ht="15" customHeight="1" x14ac:dyDescent="0.25">
      <c r="A17" s="51"/>
      <c r="B17" s="109" t="s">
        <v>62</v>
      </c>
      <c r="C17" s="163">
        <f>SUMIFS('Stock Guide'!H:H,'Stock Guide'!$G:$G,Segmentos!$B17)</f>
        <v>9.5099999999999994E-3</v>
      </c>
      <c r="D17" s="110">
        <f>AVERAGEIFS('Stock Guide'!I:I,'Stock Guide'!$G:$G,Segmentos!$B17)</f>
        <v>320210.97438575001</v>
      </c>
      <c r="E17" s="110">
        <f>SUMIFS('Stock Guide'!M:M,'Stock Guide'!$G:$G,Segmentos!$B17)</f>
        <v>1747930805.4099998</v>
      </c>
      <c r="F17" s="110">
        <f>SUMIFS('Stock Guide'!N:N,'Stock Guide'!$G:$G,Segmentos!$B17)</f>
        <v>2027913959.23</v>
      </c>
      <c r="G17" s="162">
        <f>AVERAGEIFS('Stock Guide'!O:O,'Stock Guide'!$G:$G,Segmentos!$B17)</f>
        <v>0.78473812477059168</v>
      </c>
      <c r="H17" s="162">
        <f>AVERAGEIFS('Stock Guide'!P:P,'Stock Guide'!$G:$G,Segmentos!$B17)</f>
        <v>0.88774273198249998</v>
      </c>
      <c r="I17" s="163">
        <f>AVERAGEIFS('Stock Guide'!Q:Q,'Stock Guide'!$G:$G,Segmentos!$B17)</f>
        <v>0.15429272242249997</v>
      </c>
      <c r="J17" s="163">
        <f>AVERAGEIFS('Stock Guide'!R:R,'Stock Guide'!$G:$G,Segmentos!$B17)</f>
        <v>0.13443779127388972</v>
      </c>
      <c r="K17" s="163">
        <f>AVERAGEIFS('Stock Guide'!U:U,'Stock Guide'!$G:$G,Segmentos!$B17)</f>
        <v>-1.78906579177E-2</v>
      </c>
      <c r="L17" s="163">
        <f>AVERAGEIFS('Stock Guide'!V:V,'Stock Guide'!$G:$G,Segmentos!$B17)</f>
        <v>-8.7333459963000015E-2</v>
      </c>
      <c r="M17" s="164">
        <f>AVERAGEIFS('Stock Guide'!W:W,'Stock Guide'!$G:$G,Segmentos!$B17)</f>
        <v>1.0780354965000002E-2</v>
      </c>
    </row>
    <row r="18" spans="1:13" ht="15" customHeight="1" x14ac:dyDescent="0.25">
      <c r="A18" s="51"/>
      <c r="B18" s="109" t="s">
        <v>28</v>
      </c>
      <c r="C18" s="163">
        <f>SUMIFS('Stock Guide'!H:H,'Stock Guide'!$G:$G,Segmentos!$B18)</f>
        <v>2.65E-3</v>
      </c>
      <c r="D18" s="110">
        <f>AVERAGEIFS('Stock Guide'!I:I,'Stock Guide'!$G:$G,Segmentos!$B18)</f>
        <v>458137.14415000001</v>
      </c>
      <c r="E18" s="110">
        <f>SUMIFS('Stock Guide'!M:M,'Stock Guide'!$G:$G,Segmentos!$B18)</f>
        <v>391654427.33999997</v>
      </c>
      <c r="F18" s="110">
        <f>SUMIFS('Stock Guide'!N:N,'Stock Guide'!$G:$G,Segmentos!$B18)</f>
        <v>428115267.01999998</v>
      </c>
      <c r="G18" s="162">
        <f>AVERAGEIFS('Stock Guide'!O:O,'Stock Guide'!$G:$G,Segmentos!$B18)</f>
        <v>0.91483405874825596</v>
      </c>
      <c r="H18" s="162">
        <f>AVERAGEIFS('Stock Guide'!P:P,'Stock Guide'!$G:$G,Segmentos!$B18)</f>
        <v>0.98994816768000005</v>
      </c>
      <c r="I18" s="163">
        <f>AVERAGEIFS('Stock Guide'!Q:Q,'Stock Guide'!$G:$G,Segmentos!$B18)</f>
        <v>0.12661308163000001</v>
      </c>
      <c r="J18" s="163">
        <f>AVERAGEIFS('Stock Guide'!R:R,'Stock Guide'!$G:$G,Segmentos!$B18)</f>
        <v>0.10618685937615219</v>
      </c>
      <c r="K18" s="163">
        <f>AVERAGEIFS('Stock Guide'!U:U,'Stock Guide'!$G:$G,Segmentos!$B18)</f>
        <v>-2.2066777241E-2</v>
      </c>
      <c r="L18" s="163">
        <f>AVERAGEIFS('Stock Guide'!V:V,'Stock Guide'!$G:$G,Segmentos!$B18)</f>
        <v>-2.4129604926000001E-2</v>
      </c>
      <c r="M18" s="164">
        <f>AVERAGEIFS('Stock Guide'!W:W,'Stock Guide'!$G:$G,Segmentos!$B18)</f>
        <v>0.10230252606</v>
      </c>
    </row>
    <row r="19" spans="1:13" ht="15" customHeight="1" x14ac:dyDescent="0.25">
      <c r="B19" s="109" t="s">
        <v>21</v>
      </c>
      <c r="C19" s="163">
        <f>SUMIFS('Stock Guide'!H:H,'Stock Guide'!$G:$G,Segmentos!$B19)</f>
        <v>6.0899999999999999E-3</v>
      </c>
      <c r="D19" s="110">
        <f>AVERAGEIFS('Stock Guide'!I:I,'Stock Guide'!$G:$G,Segmentos!$B19)</f>
        <v>979274.01138033345</v>
      </c>
      <c r="E19" s="110">
        <f>SUMIFS('Stock Guide'!M:M,'Stock Guide'!$G:$G,Segmentos!$B19)</f>
        <v>1200794945.1299999</v>
      </c>
      <c r="F19" s="110">
        <f>SUMIFS('Stock Guide'!N:N,'Stock Guide'!$G:$G,Segmentos!$B19)</f>
        <v>380321354.54000002</v>
      </c>
      <c r="G19" s="162">
        <f>AVERAGEIFS('Stock Guide'!O:O,'Stock Guide'!$G:$G,Segmentos!$B19)</f>
        <v>0.88887600178039605</v>
      </c>
      <c r="H19" s="162">
        <f>AVERAGEIFS('Stock Guide'!P:P,'Stock Guide'!$G:$G,Segmentos!$B19)</f>
        <v>0.98938990198166665</v>
      </c>
      <c r="I19" s="163">
        <f>AVERAGEIFS('Stock Guide'!Q:Q,'Stock Guide'!$G:$G,Segmentos!$B19)</f>
        <v>0.1551679675</v>
      </c>
      <c r="J19" s="163">
        <f>AVERAGEIFS('Stock Guide'!R:R,'Stock Guide'!$G:$G,Segmentos!$B19)</f>
        <v>0.15785350961698583</v>
      </c>
      <c r="K19" s="163">
        <f>AVERAGEIFS('Stock Guide'!U:U,'Stock Guide'!$G:$G,Segmentos!$B19)</f>
        <v>-3.0972337318800003E-2</v>
      </c>
      <c r="L19" s="163">
        <f>AVERAGEIFS('Stock Guide'!V:V,'Stock Guide'!$G:$G,Segmentos!$B19)</f>
        <v>-0.10161706791300003</v>
      </c>
      <c r="M19" s="164">
        <f>AVERAGEIFS('Stock Guide'!W:W,'Stock Guide'!$G:$G,Segmentos!$B19)</f>
        <v>-5.1036673492600014E-2</v>
      </c>
    </row>
    <row r="20" spans="1:13" ht="15" customHeight="1" x14ac:dyDescent="0.25">
      <c r="B20" s="109" t="s">
        <v>20</v>
      </c>
      <c r="C20" s="163">
        <f>SUMIFS('Stock Guide'!H:H,'Stock Guide'!$G:$G,Segmentos!$B20)</f>
        <v>0</v>
      </c>
      <c r="D20" s="110">
        <f>AVERAGEIFS('Stock Guide'!I:I,'Stock Guide'!$G:$G,Segmentos!$B20)</f>
        <v>125333.21922666667</v>
      </c>
      <c r="E20" s="110">
        <f>SUMIFS('Stock Guide'!M:M,'Stock Guide'!$G:$G,Segmentos!$B20)</f>
        <v>1058276938.05</v>
      </c>
      <c r="F20" s="110">
        <f>SUMIFS('Stock Guide'!N:N,'Stock Guide'!$G:$G,Segmentos!$B20)</f>
        <v>1189120339.97</v>
      </c>
      <c r="G20" s="162">
        <f>AVERAGEIFS('Stock Guide'!O:O,'Stock Guide'!$G:$G,Segmentos!$B20)</f>
        <v>0.84435109484036364</v>
      </c>
      <c r="H20" s="162">
        <f>AVERAGEIFS('Stock Guide'!P:P,'Stock Guide'!$G:$G,Segmentos!$B20)</f>
        <v>0.85874040866666668</v>
      </c>
      <c r="I20" s="163">
        <f>AVERAGEIFS('Stock Guide'!Q:Q,'Stock Guide'!$G:$G,Segmentos!$B20)</f>
        <v>0.12117637046699999</v>
      </c>
      <c r="J20" s="163">
        <f>AVERAGEIFS('Stock Guide'!R:R,'Stock Guide'!$G:$G,Segmentos!$B20)</f>
        <v>0.12231841998504438</v>
      </c>
      <c r="K20" s="163">
        <f>AVERAGEIFS('Stock Guide'!U:U,'Stock Guide'!$G:$G,Segmentos!$B20)</f>
        <v>6.9449807599999995E-3</v>
      </c>
      <c r="L20" s="163">
        <f>AVERAGEIFS('Stock Guide'!V:V,'Stock Guide'!$G:$G,Segmentos!$B20)</f>
        <v>6.2681363391999992E-2</v>
      </c>
      <c r="M20" s="164">
        <f>AVERAGEIFS('Stock Guide'!W:W,'Stock Guide'!$G:$G,Segmentos!$B20)</f>
        <v>0.13613937550900002</v>
      </c>
    </row>
    <row r="21" spans="1:13" ht="15" customHeight="1" x14ac:dyDescent="0.25">
      <c r="B21" s="109" t="s">
        <v>25</v>
      </c>
      <c r="C21" s="163">
        <f>SUMIFS('Stock Guide'!H:H,'Stock Guide'!$G:$G,Segmentos!$B21)</f>
        <v>0</v>
      </c>
      <c r="D21" s="110">
        <f>AVERAGEIFS('Stock Guide'!I:I,'Stock Guide'!$G:$G,Segmentos!$B21)</f>
        <v>84129.428151500004</v>
      </c>
      <c r="E21" s="110">
        <f>SUMIFS('Stock Guide'!M:M,'Stock Guide'!$G:$G,Segmentos!$B21)</f>
        <v>277155368.88</v>
      </c>
      <c r="F21" s="110">
        <f>SUMIFS('Stock Guide'!N:N,'Stock Guide'!$G:$G,Segmentos!$B21)</f>
        <v>393389321.19</v>
      </c>
      <c r="G21" s="162">
        <f>AVERAGEIFS('Stock Guide'!O:O,'Stock Guide'!$G:$G,Segmentos!$B21)</f>
        <v>0.76187257400198005</v>
      </c>
      <c r="H21" s="162">
        <f>AVERAGEIFS('Stock Guide'!P:P,'Stock Guide'!$G:$G,Segmentos!$B21)</f>
        <v>0.89906374617499996</v>
      </c>
      <c r="I21" s="163">
        <f>AVERAGEIFS('Stock Guide'!Q:Q,'Stock Guide'!$G:$G,Segmentos!$B21)</f>
        <v>0.18646703269999998</v>
      </c>
      <c r="J21" s="163">
        <f>AVERAGEIFS('Stock Guide'!R:R,'Stock Guide'!$G:$G,Segmentos!$B21)</f>
        <v>0.18203341373196816</v>
      </c>
      <c r="K21" s="163">
        <f>AVERAGEIFS('Stock Guide'!U:U,'Stock Guide'!$G:$G,Segmentos!$B21)</f>
        <v>2.4421104363649998E-2</v>
      </c>
      <c r="L21" s="163">
        <f>AVERAGEIFS('Stock Guide'!V:V,'Stock Guide'!$G:$G,Segmentos!$B21)</f>
        <v>2.3040190150000125E-4</v>
      </c>
      <c r="M21" s="164">
        <f>AVERAGEIFS('Stock Guide'!W:W,'Stock Guide'!$G:$G,Segmentos!$B21)</f>
        <v>0.274419529775</v>
      </c>
    </row>
    <row r="22" spans="1:13" ht="15" customHeight="1" x14ac:dyDescent="0.25">
      <c r="B22" s="109" t="s">
        <v>30</v>
      </c>
      <c r="C22" s="163">
        <f>SUMIFS('Stock Guide'!H:H,'Stock Guide'!$G:$G,Segmentos!$B22)</f>
        <v>0</v>
      </c>
      <c r="D22" s="110">
        <f>AVERAGEIFS('Stock Guide'!I:I,'Stock Guide'!$G:$G,Segmentos!$B22)</f>
        <v>90714.567027000012</v>
      </c>
      <c r="E22" s="110">
        <f>SUMIFS('Stock Guide'!M:M,'Stock Guide'!$G:$G,Segmentos!$B22)</f>
        <v>275094466.31999999</v>
      </c>
      <c r="F22" s="110">
        <f>SUMIFS('Stock Guide'!N:N,'Stock Guide'!$G:$G,Segmentos!$B22)</f>
        <v>498089683.72000003</v>
      </c>
      <c r="G22" s="162">
        <f>AVERAGEIFS('Stock Guide'!O:O,'Stock Guide'!$G:$G,Segmentos!$B22)</f>
        <v>0.55623794526609327</v>
      </c>
      <c r="H22" s="162">
        <f>AVERAGEIFS('Stock Guide'!P:P,'Stock Guide'!$G:$G,Segmentos!$B22)</f>
        <v>0.6368804441</v>
      </c>
      <c r="I22" s="163">
        <f>AVERAGEIFS('Stock Guide'!Q:Q,'Stock Guide'!$G:$G,Segmentos!$B22)</f>
        <v>9.814250295733333E-2</v>
      </c>
      <c r="J22" s="163">
        <f>AVERAGEIFS('Stock Guide'!R:R,'Stock Guide'!$G:$G,Segmentos!$B22)</f>
        <v>0.10101127537167036</v>
      </c>
      <c r="K22" s="163">
        <f>AVERAGEIFS('Stock Guide'!U:U,'Stock Guide'!$G:$G,Segmentos!$B22)</f>
        <v>6.6340762143000014E-3</v>
      </c>
      <c r="L22" s="163">
        <f>AVERAGEIFS('Stock Guide'!V:V,'Stock Guide'!$G:$G,Segmentos!$B22)</f>
        <v>-8.9378632165000013E-2</v>
      </c>
      <c r="M22" s="164">
        <f>AVERAGEIFS('Stock Guide'!W:W,'Stock Guide'!$G:$G,Segmentos!$B22)</f>
        <v>5.6502602935E-2</v>
      </c>
    </row>
    <row r="23" spans="1:13" ht="3.75" customHeight="1" x14ac:dyDescent="0.25">
      <c r="C23" s="26"/>
      <c r="E23" s="26"/>
    </row>
    <row r="24" spans="1:13" ht="3.75" customHeight="1" x14ac:dyDescent="0.25">
      <c r="C24" s="26"/>
      <c r="E24" s="26"/>
    </row>
    <row r="25" spans="1:13" ht="3.75" customHeight="1" x14ac:dyDescent="0.25">
      <c r="C25" s="26"/>
      <c r="E25" s="26"/>
    </row>
    <row r="26" spans="1:13" ht="14.25" customHeight="1" x14ac:dyDescent="0.25">
      <c r="B26" s="111" t="s">
        <v>58</v>
      </c>
      <c r="C26" s="53"/>
      <c r="D26" s="53"/>
      <c r="E26" s="53"/>
      <c r="F26" s="53"/>
      <c r="G26" s="53"/>
      <c r="H26" s="53"/>
      <c r="I26" s="53"/>
      <c r="J26" s="53"/>
      <c r="K26" s="53"/>
      <c r="L26" s="53"/>
      <c r="M26" s="53"/>
    </row>
    <row r="27" spans="1:13" x14ac:dyDescent="0.25">
      <c r="C27" s="26"/>
      <c r="E27" s="26"/>
    </row>
    <row r="28" spans="1:13" x14ac:dyDescent="0.25">
      <c r="C28" s="26"/>
      <c r="E28" s="26"/>
    </row>
    <row r="29" spans="1:13" x14ac:dyDescent="0.25">
      <c r="C29" s="26"/>
      <c r="E29" s="26"/>
    </row>
    <row r="30" spans="1:13" x14ac:dyDescent="0.25">
      <c r="C30" s="26"/>
      <c r="E30" s="26"/>
    </row>
    <row r="31" spans="1:13" x14ac:dyDescent="0.25">
      <c r="C31" s="26"/>
      <c r="E31" s="26"/>
    </row>
    <row r="32" spans="1:13" x14ac:dyDescent="0.25">
      <c r="C32" s="26"/>
      <c r="E32" s="26"/>
    </row>
    <row r="33" spans="2:21" x14ac:dyDescent="0.25">
      <c r="C33" s="26"/>
      <c r="E33" s="26"/>
      <c r="O33" s="26">
        <v>0.82328218781185603</v>
      </c>
      <c r="P33" s="26">
        <v>7.9246246928523806E-2</v>
      </c>
      <c r="Q33" s="26">
        <v>8.4151472650716402E-2</v>
      </c>
      <c r="R33" s="26">
        <v>0.5</v>
      </c>
      <c r="S33" s="26">
        <v>0.123916180451488</v>
      </c>
      <c r="T33" s="26">
        <v>-0.136927943307528</v>
      </c>
      <c r="U33" s="26">
        <v>-0.12808499190665301</v>
      </c>
    </row>
    <row r="34" spans="2:21" x14ac:dyDescent="0.25">
      <c r="C34" s="26"/>
      <c r="E34" s="26"/>
      <c r="O34" s="26">
        <v>0</v>
      </c>
      <c r="P34" s="26">
        <v>0</v>
      </c>
      <c r="Q34" s="26">
        <v>9.7759674134488175E-2</v>
      </c>
      <c r="R34" s="26">
        <v>0.80000000000018201</v>
      </c>
      <c r="S34" s="26">
        <v>0.11270063145100701</v>
      </c>
      <c r="T34" s="26">
        <v>0</v>
      </c>
      <c r="U34" s="26">
        <v>0</v>
      </c>
    </row>
    <row r="35" spans="2:21" x14ac:dyDescent="0.25">
      <c r="C35" s="26"/>
      <c r="E35" s="26"/>
      <c r="O35" s="26">
        <v>0.92755848166689203</v>
      </c>
      <c r="P35" s="26">
        <v>9.1495287876168702E-2</v>
      </c>
      <c r="Q35" s="26">
        <v>0.11732753938066448</v>
      </c>
      <c r="R35" s="26">
        <v>0.89999999999963598</v>
      </c>
      <c r="S35" s="26">
        <v>4.2382453983009299E-2</v>
      </c>
      <c r="T35" s="26">
        <v>0.120469708639575</v>
      </c>
      <c r="U35" s="26">
        <v>0.14919642746652201</v>
      </c>
    </row>
    <row r="36" spans="2:21" x14ac:dyDescent="0.25">
      <c r="C36" s="26"/>
      <c r="E36" s="26"/>
      <c r="O36" s="26">
        <v>1.10327804838198</v>
      </c>
      <c r="P36" s="26">
        <v>7.8065134099597394E-2</v>
      </c>
      <c r="Q36" s="26">
        <v>8.2758620689666246E-2</v>
      </c>
      <c r="R36" s="26">
        <v>0.72000000000025499</v>
      </c>
      <c r="S36" s="26">
        <v>4.3781925751318299E-2</v>
      </c>
      <c r="T36" s="26">
        <v>1.9388846423680699E-2</v>
      </c>
      <c r="U36" s="26">
        <v>2.4442148502203099E-2</v>
      </c>
    </row>
    <row r="37" spans="2:21" x14ac:dyDescent="0.25">
      <c r="C37" s="26"/>
      <c r="E37" s="26"/>
      <c r="O37" s="26">
        <v>0</v>
      </c>
      <c r="P37" s="26">
        <v>0</v>
      </c>
      <c r="Q37" s="26">
        <v>0.11134020618552198</v>
      </c>
      <c r="R37" s="26">
        <v>0.89999999999963598</v>
      </c>
      <c r="S37" s="26">
        <v>8.4377325507375603E-2</v>
      </c>
      <c r="T37" s="26">
        <v>0</v>
      </c>
      <c r="U37" s="26">
        <v>0</v>
      </c>
    </row>
    <row r="38" spans="2:21" x14ac:dyDescent="0.25">
      <c r="C38" s="26"/>
      <c r="E38" s="26"/>
      <c r="O38" s="26">
        <v>1.05113268601235</v>
      </c>
      <c r="P38" s="26">
        <v>0.12857142857159501</v>
      </c>
      <c r="Q38" s="26">
        <v>0.1680890538032907</v>
      </c>
      <c r="R38" s="26">
        <v>1.5100000000002201</v>
      </c>
      <c r="S38" s="26">
        <v>5.9043128008852398E-2</v>
      </c>
      <c r="T38" s="26">
        <v>0.12845688284694901</v>
      </c>
      <c r="U38" s="26">
        <v>0.171040161445562</v>
      </c>
    </row>
    <row r="39" spans="2:21" x14ac:dyDescent="0.25">
      <c r="C39" s="26"/>
      <c r="E39" s="26"/>
      <c r="O39" s="26">
        <v>0.942804937263645</v>
      </c>
      <c r="P39" s="26">
        <v>0.12593323003267901</v>
      </c>
      <c r="Q39" s="26">
        <v>7.7757430624047816E-2</v>
      </c>
      <c r="R39" s="26">
        <v>0.46000000000003599</v>
      </c>
      <c r="S39" s="26">
        <v>3.5597670896095203E-2</v>
      </c>
      <c r="T39" s="26">
        <v>-2.69439645726379E-2</v>
      </c>
      <c r="U39" s="26">
        <v>-8.6991639091138495E-3</v>
      </c>
    </row>
    <row r="40" spans="2:21" x14ac:dyDescent="0.25">
      <c r="C40" s="26"/>
      <c r="E40" s="26"/>
      <c r="O40" s="26">
        <v>1.10491987498608</v>
      </c>
      <c r="P40" s="26">
        <v>0.127957554107998</v>
      </c>
      <c r="Q40" s="26">
        <v>0.12607690691314924</v>
      </c>
      <c r="R40" s="26">
        <v>1</v>
      </c>
      <c r="S40" s="26">
        <v>3.77708183623326E-3</v>
      </c>
      <c r="T40" s="26">
        <v>5.4595403151324703E-2</v>
      </c>
      <c r="U40" s="26">
        <v>6.99017264578288E-2</v>
      </c>
    </row>
    <row r="41" spans="2:21" x14ac:dyDescent="0.25">
      <c r="C41" s="26"/>
      <c r="E41" s="26"/>
      <c r="O41" s="26">
        <v>1.04980155181875</v>
      </c>
      <c r="P41" s="26">
        <v>0.13482700505614001</v>
      </c>
      <c r="Q41" s="26">
        <v>0.13324080499663196</v>
      </c>
      <c r="R41" s="26">
        <v>1.1200000000007999</v>
      </c>
      <c r="S41" s="26">
        <v>4.3062698860012502E-2</v>
      </c>
      <c r="T41" s="26">
        <v>0.122119105697493</v>
      </c>
      <c r="U41" s="26">
        <v>0.14615905148282801</v>
      </c>
    </row>
    <row r="42" spans="2:21" x14ac:dyDescent="0.25">
      <c r="C42" s="26"/>
      <c r="E42" s="26"/>
      <c r="O42" s="26">
        <v>1.2726898965429401</v>
      </c>
      <c r="P42" s="26">
        <v>0.222803925511253</v>
      </c>
      <c r="Q42" s="26">
        <v>9.9260991345340166E-2</v>
      </c>
      <c r="R42" s="26">
        <v>0.36139272598984501</v>
      </c>
      <c r="S42" s="26">
        <v>0.117145381678711</v>
      </c>
      <c r="T42" s="26">
        <v>-0.522146587358438</v>
      </c>
      <c r="U42" s="26">
        <v>-0.522146587358438</v>
      </c>
    </row>
    <row r="43" spans="2:21" x14ac:dyDescent="0.25">
      <c r="C43" s="26"/>
      <c r="E43" s="26"/>
      <c r="O43" s="26">
        <v>0</v>
      </c>
      <c r="P43" s="26">
        <v>0</v>
      </c>
      <c r="Q43" s="26">
        <v>9.8222778473130462E-2</v>
      </c>
      <c r="R43" s="26">
        <v>0.654000000000451</v>
      </c>
      <c r="S43" s="26">
        <v>0.123042757146322</v>
      </c>
      <c r="T43" s="26">
        <v>0</v>
      </c>
      <c r="U43" s="26">
        <v>0</v>
      </c>
    </row>
    <row r="44" spans="2:21" x14ac:dyDescent="0.25">
      <c r="C44" s="26"/>
      <c r="E44" s="26"/>
      <c r="O44" s="26">
        <v>1.1831857418510501</v>
      </c>
      <c r="P44" s="26">
        <v>0.177040663402877</v>
      </c>
      <c r="Q44" s="26">
        <v>0.17024677789995463</v>
      </c>
      <c r="R44" s="26">
        <v>1.4200000000000701</v>
      </c>
      <c r="S44" s="26">
        <v>3.3880712275276899E-2</v>
      </c>
      <c r="T44" s="26">
        <v>0.204439132387051</v>
      </c>
      <c r="U44" s="26">
        <v>0.175254492476524</v>
      </c>
    </row>
    <row r="45" spans="2:21" x14ac:dyDescent="0.25">
      <c r="C45" s="26"/>
      <c r="E45" s="26"/>
      <c r="O45" s="26">
        <v>1.06499030031227</v>
      </c>
      <c r="P45" s="26">
        <v>0.12549420521798299</v>
      </c>
      <c r="Q45" s="26">
        <v>0.14065067649794169</v>
      </c>
      <c r="R45" s="26">
        <v>1.0602716829998799</v>
      </c>
      <c r="S45" s="26">
        <v>1.7933800074388301E-2</v>
      </c>
      <c r="T45" s="26">
        <v>0.104197917180572</v>
      </c>
      <c r="U45" s="26">
        <v>9.8621160023030799E-2</v>
      </c>
    </row>
    <row r="46" spans="2:21" x14ac:dyDescent="0.25">
      <c r="B46" s="53"/>
      <c r="C46" s="53"/>
      <c r="D46" s="53"/>
      <c r="E46" s="53"/>
      <c r="F46" s="53"/>
      <c r="G46" s="53"/>
      <c r="H46" s="53"/>
      <c r="I46" s="53"/>
      <c r="J46" s="53"/>
      <c r="K46" s="53"/>
      <c r="L46" s="53"/>
      <c r="M46" s="53"/>
      <c r="O46" s="26">
        <v>0</v>
      </c>
      <c r="P46" s="26">
        <v>0</v>
      </c>
      <c r="Q46" s="26">
        <v>8.0000000000040872E-2</v>
      </c>
      <c r="R46" s="26">
        <v>0.64000000000032697</v>
      </c>
      <c r="S46" s="26">
        <v>-1.3968775677312801E-2</v>
      </c>
      <c r="T46" s="26">
        <v>0</v>
      </c>
      <c r="U46" s="26">
        <v>0</v>
      </c>
    </row>
    <row r="47" spans="2:21" ht="3.75" customHeight="1" x14ac:dyDescent="0.25">
      <c r="C47" s="26"/>
      <c r="E47" s="26"/>
      <c r="O47" s="26">
        <v>1.17175351078731</v>
      </c>
      <c r="P47" s="26">
        <v>7.8639335152765902E-2</v>
      </c>
      <c r="Q47" s="26">
        <v>8.8525188809297217E-2</v>
      </c>
      <c r="R47" s="26">
        <v>0.75150508200022204</v>
      </c>
      <c r="S47" s="26">
        <v>3.6795520132727702E-2</v>
      </c>
      <c r="T47" s="26">
        <v>-7.6834892568513197E-2</v>
      </c>
      <c r="U47" s="26">
        <v>-7.6057162908036893E-2</v>
      </c>
    </row>
    <row r="48" spans="2:21" x14ac:dyDescent="0.25">
      <c r="C48" s="26"/>
      <c r="E48" s="26"/>
      <c r="O48" s="26">
        <v>0.96608125854891103</v>
      </c>
      <c r="P48" s="26">
        <v>0.10882708417702799</v>
      </c>
      <c r="Q48" s="26">
        <v>0.12844677137878838</v>
      </c>
      <c r="R48" s="26">
        <v>0.92000000000007298</v>
      </c>
      <c r="S48" s="26">
        <v>7.6252981549259899E-2</v>
      </c>
      <c r="T48" s="26">
        <v>5.1450133214530104E-3</v>
      </c>
      <c r="U48" s="26">
        <v>4.9476736618089497E-2</v>
      </c>
    </row>
    <row r="49" spans="2:21" ht="15" x14ac:dyDescent="0.25">
      <c r="B49" s="52" t="s">
        <v>114</v>
      </c>
      <c r="C49" s="53"/>
      <c r="D49" s="53"/>
      <c r="E49" s="53"/>
      <c r="F49" s="53"/>
      <c r="G49" s="53"/>
      <c r="H49" s="53"/>
      <c r="I49" s="53"/>
      <c r="J49" s="53"/>
      <c r="K49" s="53"/>
      <c r="L49" s="53"/>
      <c r="M49" s="53"/>
      <c r="O49" s="26">
        <v>0.69642606227534998</v>
      </c>
      <c r="P49" s="26">
        <v>5.45069677192805E-2</v>
      </c>
      <c r="Q49" s="26">
        <v>6.7736814252986638E-2</v>
      </c>
      <c r="R49" s="26">
        <v>0.32000000000016399</v>
      </c>
      <c r="S49" s="26">
        <v>0.15153361771270299</v>
      </c>
      <c r="T49" s="26">
        <v>-9.7975206268602094E-2</v>
      </c>
      <c r="U49" s="26">
        <v>-0.108080039656634</v>
      </c>
    </row>
    <row r="50" spans="2:21" x14ac:dyDescent="0.25">
      <c r="C50" s="26"/>
      <c r="E50" s="26"/>
      <c r="O50" s="26">
        <v>1.2070210934307399</v>
      </c>
      <c r="P50" s="26">
        <v>8.4629278822976606E-2</v>
      </c>
      <c r="Q50" s="26">
        <v>8.8814485219632255E-2</v>
      </c>
      <c r="R50" s="26">
        <v>3.3600000000005799</v>
      </c>
      <c r="S50" s="26">
        <v>4.9325073965519599E-2</v>
      </c>
      <c r="T50" s="26">
        <v>-8.6653131988860002E-2</v>
      </c>
      <c r="U50" s="26">
        <v>-0.106945669809647</v>
      </c>
    </row>
    <row r="51" spans="2:21" x14ac:dyDescent="0.25">
      <c r="C51" s="26"/>
      <c r="E51" s="26"/>
      <c r="O51" s="26">
        <v>1.0320729376926501</v>
      </c>
      <c r="P51" s="26">
        <v>8.9789658639056094E-2</v>
      </c>
      <c r="Q51" s="26">
        <v>9.5110352395984837E-2</v>
      </c>
      <c r="R51" s="26">
        <v>1.29999999999927</v>
      </c>
      <c r="S51" s="26">
        <v>3.3522369250931702E-2</v>
      </c>
      <c r="T51" s="26">
        <v>-0.113352605861146</v>
      </c>
      <c r="U51" s="26">
        <v>-0.11912264106373199</v>
      </c>
    </row>
    <row r="52" spans="2:21" x14ac:dyDescent="0.25">
      <c r="C52" s="26"/>
      <c r="E52" s="26"/>
      <c r="O52" s="26">
        <v>0</v>
      </c>
      <c r="P52" s="26">
        <v>0</v>
      </c>
      <c r="Q52" s="26">
        <v>0.18897637795284122</v>
      </c>
      <c r="R52" s="26">
        <v>1.60000000000036</v>
      </c>
      <c r="S52" s="26">
        <v>3.2848120572452899E-2</v>
      </c>
      <c r="T52" s="26">
        <v>0</v>
      </c>
      <c r="U52" s="26">
        <v>0</v>
      </c>
    </row>
    <row r="53" spans="2:21" x14ac:dyDescent="0.25">
      <c r="C53" s="26"/>
      <c r="E53" s="26"/>
      <c r="O53" s="26">
        <v>0</v>
      </c>
      <c r="P53" s="26">
        <v>0</v>
      </c>
      <c r="Q53" s="26">
        <v>0.1010627631843061</v>
      </c>
      <c r="R53" s="26">
        <v>0.84000000000014596</v>
      </c>
      <c r="S53" s="26">
        <v>6.2550443908548897E-3</v>
      </c>
      <c r="T53" s="26">
        <v>0</v>
      </c>
      <c r="U53" s="26">
        <v>0</v>
      </c>
    </row>
    <row r="54" spans="2:21" x14ac:dyDescent="0.25">
      <c r="C54" s="26"/>
      <c r="E54" s="26"/>
      <c r="O54" s="26">
        <v>0</v>
      </c>
      <c r="P54" s="26">
        <v>0</v>
      </c>
      <c r="Q54" s="26">
        <v>0.13752174357937333</v>
      </c>
      <c r="R54" s="26">
        <v>1.1200000000007999</v>
      </c>
      <c r="S54" s="26">
        <v>2.0692054386017799E-2</v>
      </c>
      <c r="T54" s="26">
        <v>0</v>
      </c>
      <c r="U54" s="26">
        <v>0</v>
      </c>
    </row>
    <row r="55" spans="2:21" x14ac:dyDescent="0.25">
      <c r="C55" s="26"/>
      <c r="E55" s="26"/>
      <c r="O55" s="26">
        <v>1.12485623771863</v>
      </c>
      <c r="P55" s="26">
        <v>8.3811083811015097E-2</v>
      </c>
      <c r="Q55" s="26">
        <v>8.7360087360096109E-2</v>
      </c>
      <c r="R55" s="26">
        <v>0.80000000000018201</v>
      </c>
      <c r="S55" s="26">
        <v>5.3927902143186698E-2</v>
      </c>
      <c r="T55" s="26">
        <v>-0.150773746890045</v>
      </c>
      <c r="U55" s="26">
        <v>-0.12836015076667501</v>
      </c>
    </row>
    <row r="56" spans="2:21" x14ac:dyDescent="0.25">
      <c r="C56" s="26"/>
      <c r="E56" s="26"/>
      <c r="O56" s="26">
        <v>0.25144110195469699</v>
      </c>
      <c r="P56" s="26">
        <v>0</v>
      </c>
      <c r="Q56" s="26">
        <v>7.6239854214181189E-3</v>
      </c>
      <c r="R56" s="26">
        <v>2.7891080000017601E-3</v>
      </c>
      <c r="S56" s="26">
        <v>5.2757793764612898E-2</v>
      </c>
      <c r="T56" s="26">
        <v>0.257879656159203</v>
      </c>
      <c r="U56" s="26">
        <v>0.314371257485764</v>
      </c>
    </row>
    <row r="57" spans="2:21" x14ac:dyDescent="0.25">
      <c r="C57" s="26"/>
      <c r="E57" s="26"/>
      <c r="O57" s="26">
        <v>1.1003671492726399</v>
      </c>
      <c r="P57" s="26">
        <v>9.8479902439139594E-2</v>
      </c>
      <c r="Q57" s="26">
        <v>9.8048780487815568E-2</v>
      </c>
      <c r="R57" s="26">
        <v>0.67000000000007298</v>
      </c>
      <c r="S57" s="26">
        <v>0.14926419060982901</v>
      </c>
      <c r="T57" s="26">
        <v>-0.20209936193714401</v>
      </c>
      <c r="U57" s="26">
        <v>-0.20059658943500799</v>
      </c>
    </row>
    <row r="58" spans="2:21" x14ac:dyDescent="0.25">
      <c r="C58" s="26"/>
      <c r="E58" s="26"/>
      <c r="O58" s="26">
        <v>1.18480565409118</v>
      </c>
      <c r="P58" s="26">
        <v>0.17372723894484801</v>
      </c>
      <c r="Q58" s="26">
        <v>0.16722408026753677</v>
      </c>
      <c r="R58" s="26">
        <v>1.5</v>
      </c>
      <c r="S58" s="26">
        <v>-1.8151965702600099E-2</v>
      </c>
      <c r="T58" s="26">
        <v>6.7167010918637998E-2</v>
      </c>
      <c r="U58" s="26">
        <v>8.9317452238901807E-2</v>
      </c>
    </row>
    <row r="59" spans="2:21" x14ac:dyDescent="0.25">
      <c r="C59" s="26"/>
      <c r="E59" s="26"/>
      <c r="O59" s="26">
        <v>1.0178091224915999</v>
      </c>
      <c r="P59" s="26">
        <v>9.5071613848995207E-2</v>
      </c>
      <c r="Q59" s="26">
        <v>0.1732265704296892</v>
      </c>
      <c r="R59" s="26">
        <v>1.28000000000065</v>
      </c>
      <c r="S59" s="26">
        <v>0.102175264140969</v>
      </c>
      <c r="T59" s="26">
        <v>-3.7518517765420298E-2</v>
      </c>
      <c r="U59" s="26">
        <v>-3.7613812962263203E-2</v>
      </c>
    </row>
    <row r="60" spans="2:21" x14ac:dyDescent="0.25">
      <c r="C60" s="26"/>
      <c r="E60" s="26"/>
      <c r="O60" s="26">
        <v>1.25137727628135</v>
      </c>
      <c r="P60" s="26">
        <v>0.18007662835239899</v>
      </c>
      <c r="Q60" s="26">
        <v>0.15651748593786377</v>
      </c>
      <c r="R60" s="26">
        <v>1.60000000000036</v>
      </c>
      <c r="S60" s="26">
        <v>4.2790036928636303E-2</v>
      </c>
      <c r="T60" s="26">
        <v>0.14410465770022701</v>
      </c>
      <c r="U60" s="26">
        <v>0.17890784134389801</v>
      </c>
    </row>
    <row r="61" spans="2:21" x14ac:dyDescent="0.25">
      <c r="C61" s="26"/>
      <c r="E61" s="26"/>
      <c r="O61" s="26">
        <v>1.0529461011810799</v>
      </c>
      <c r="P61" s="26">
        <v>8.9012345679075205E-2</v>
      </c>
      <c r="Q61" s="26">
        <v>8.8888888888942821E-2</v>
      </c>
      <c r="R61" s="26">
        <v>0.60000000000036402</v>
      </c>
      <c r="S61" s="26">
        <v>4.11311053976533E-2</v>
      </c>
      <c r="T61" s="26">
        <v>-0.16573342593998</v>
      </c>
      <c r="U61" s="26">
        <v>-0.152987910692027</v>
      </c>
    </row>
    <row r="62" spans="2:21" x14ac:dyDescent="0.25">
      <c r="C62" s="26"/>
      <c r="E62" s="26"/>
      <c r="O62" s="26">
        <v>0.97485793469059001</v>
      </c>
      <c r="P62" s="26">
        <v>4.5826976323660298E-2</v>
      </c>
      <c r="Q62" s="26">
        <v>7.1198508221694254E-2</v>
      </c>
      <c r="R62" s="26">
        <v>1.04999999999927</v>
      </c>
      <c r="S62" s="26">
        <v>0.121198682210961</v>
      </c>
      <c r="T62" s="26">
        <v>-0.14577701029615101</v>
      </c>
      <c r="U62" s="26">
        <v>-0.16080356925173001</v>
      </c>
    </row>
    <row r="63" spans="2:21" x14ac:dyDescent="0.25">
      <c r="C63" s="26"/>
      <c r="E63" s="26"/>
      <c r="O63" s="26">
        <v>0.95420800123429195</v>
      </c>
      <c r="P63" s="26">
        <v>9.3157149598846495E-2</v>
      </c>
      <c r="Q63" s="26">
        <v>0.10759792354887091</v>
      </c>
      <c r="R63" s="26">
        <v>0.94999999999981799</v>
      </c>
      <c r="S63" s="26">
        <v>4.3020279583288398E-2</v>
      </c>
      <c r="T63" s="26">
        <v>0.14349909105658301</v>
      </c>
      <c r="U63" s="26">
        <v>0.15198621939271101</v>
      </c>
    </row>
    <row r="64" spans="2:21" x14ac:dyDescent="0.25">
      <c r="C64" s="26"/>
      <c r="E64" s="26"/>
      <c r="O64" s="26">
        <v>0.945438173374896</v>
      </c>
      <c r="P64" s="26">
        <v>9.1280653951107502E-2</v>
      </c>
      <c r="Q64" s="26">
        <v>8.9918256130791407E-2</v>
      </c>
      <c r="R64" s="26">
        <v>0.55000000000018201</v>
      </c>
      <c r="S64" s="26">
        <v>0.11651962275573199</v>
      </c>
      <c r="T64" s="26">
        <v>-0.15837205272881</v>
      </c>
      <c r="U64" s="26">
        <v>-0.14175201233316301</v>
      </c>
    </row>
    <row r="65" spans="2:21" x14ac:dyDescent="0.25">
      <c r="C65" s="26"/>
      <c r="E65" s="26"/>
      <c r="O65" s="26">
        <v>1.2052969741525901</v>
      </c>
      <c r="P65" s="26">
        <v>8.6573602540447603E-2</v>
      </c>
      <c r="Q65" s="26">
        <v>7.9084536576663839E-2</v>
      </c>
      <c r="R65" s="26">
        <v>1.10000000000036</v>
      </c>
      <c r="S65" s="26">
        <v>5.0409062303515398E-2</v>
      </c>
      <c r="T65" s="26">
        <v>1.7885360184663999E-2</v>
      </c>
      <c r="U65" s="26">
        <v>6.4032631784357405E-2</v>
      </c>
    </row>
    <row r="66" spans="2:21" x14ac:dyDescent="0.25">
      <c r="C66" s="26"/>
      <c r="E66" s="26"/>
      <c r="O66" s="26">
        <v>0.921779804770267</v>
      </c>
      <c r="P66" s="26">
        <v>5.9880745971895501E-2</v>
      </c>
      <c r="Q66" s="26">
        <v>6.8507633103591314E-2</v>
      </c>
      <c r="R66" s="26">
        <v>1.35000000000036</v>
      </c>
      <c r="S66" s="26">
        <v>6.6862170087915701E-2</v>
      </c>
      <c r="T66" s="26">
        <v>0.123642403546983</v>
      </c>
      <c r="U66" s="26">
        <v>0.14433479114275499</v>
      </c>
    </row>
    <row r="67" spans="2:21" x14ac:dyDescent="0.25">
      <c r="C67" s="26"/>
      <c r="E67" s="26"/>
      <c r="O67" s="26">
        <v>0.906528730984974</v>
      </c>
      <c r="P67" s="26">
        <v>6.9675556568545294E-2</v>
      </c>
      <c r="Q67" s="26">
        <v>6.2913152495925717E-2</v>
      </c>
      <c r="R67" s="26">
        <v>0.68999999999960004</v>
      </c>
      <c r="S67" s="26">
        <v>0.103185247276997</v>
      </c>
      <c r="T67" s="26">
        <v>-0.103248976096511</v>
      </c>
      <c r="U67" s="26">
        <v>-6.9157614856521804E-2</v>
      </c>
    </row>
    <row r="68" spans="2:21" x14ac:dyDescent="0.25">
      <c r="C68" s="26"/>
      <c r="E68" s="26"/>
      <c r="O68" s="26">
        <v>1.0882392773964999</v>
      </c>
      <c r="P68" s="26">
        <v>7.4993490148481196E-2</v>
      </c>
      <c r="Q68" s="26">
        <v>7.4993490148475256E-2</v>
      </c>
      <c r="R68" s="26">
        <v>0.72000000000025499</v>
      </c>
      <c r="S68" s="26">
        <v>7.7937874251802E-2</v>
      </c>
      <c r="T68" s="26">
        <v>-4.2105671077515602E-2</v>
      </c>
      <c r="U68" s="26">
        <v>-2.22219924253295E-2</v>
      </c>
    </row>
    <row r="69" spans="2:21" x14ac:dyDescent="0.25">
      <c r="B69" s="53"/>
      <c r="C69" s="53"/>
      <c r="D69" s="53"/>
      <c r="E69" s="53"/>
      <c r="F69" s="53"/>
      <c r="G69" s="53"/>
      <c r="H69" s="53"/>
      <c r="I69" s="53"/>
      <c r="J69" s="53"/>
      <c r="K69" s="53"/>
      <c r="L69" s="53"/>
      <c r="M69" s="53"/>
      <c r="O69" s="26">
        <v>0.95459870244212697</v>
      </c>
      <c r="P69" s="26">
        <v>0.12577454071084501</v>
      </c>
      <c r="Q69" s="26">
        <v>0.13697140993578122</v>
      </c>
      <c r="R69" s="26">
        <v>1.04999999999927</v>
      </c>
      <c r="S69" s="26">
        <v>4.11997736282501E-2</v>
      </c>
      <c r="T69" s="26">
        <v>0.123352613120078</v>
      </c>
      <c r="U69" s="26">
        <v>0.15265746389559401</v>
      </c>
    </row>
    <row r="70" spans="2:21" x14ac:dyDescent="0.25">
      <c r="C70" s="26"/>
      <c r="E70" s="26"/>
      <c r="O70" s="26">
        <v>1.02652840949668</v>
      </c>
      <c r="P70" s="26">
        <v>7.5295441755879405E-2</v>
      </c>
      <c r="Q70" s="26">
        <v>7.8334271243679782E-2</v>
      </c>
      <c r="R70" s="26">
        <v>0.57999999999992702</v>
      </c>
      <c r="S70" s="26">
        <v>0.133435387167992</v>
      </c>
      <c r="T70" s="26">
        <v>-0.12146375127486</v>
      </c>
      <c r="U70" s="26">
        <v>-0.123892883760127</v>
      </c>
    </row>
    <row r="71" spans="2:21" ht="15" x14ac:dyDescent="0.25">
      <c r="B71" s="52" t="s">
        <v>115</v>
      </c>
      <c r="C71" s="53"/>
      <c r="D71" s="53"/>
      <c r="E71" s="53"/>
      <c r="F71" s="53"/>
      <c r="G71" s="53"/>
      <c r="H71" s="53"/>
      <c r="I71" s="53"/>
      <c r="J71" s="53"/>
      <c r="K71" s="53"/>
      <c r="L71" s="53"/>
      <c r="M71" s="53"/>
      <c r="O71" s="26">
        <v>0.69642606227534998</v>
      </c>
      <c r="P71" s="26">
        <v>5.45069677192805E-2</v>
      </c>
      <c r="Q71" s="26">
        <v>6.7736814252986638E-2</v>
      </c>
      <c r="R71" s="26">
        <v>0.32000000000016399</v>
      </c>
      <c r="S71" s="26">
        <v>0.15153361771270299</v>
      </c>
      <c r="T71" s="26">
        <v>-9.7975206268602094E-2</v>
      </c>
      <c r="U71" s="26">
        <v>-0.108080039656634</v>
      </c>
    </row>
    <row r="72" spans="2:21" x14ac:dyDescent="0.25">
      <c r="C72" s="26"/>
      <c r="E72" s="26"/>
      <c r="O72" s="26">
        <v>1.2070210934307399</v>
      </c>
      <c r="P72" s="26">
        <v>8.4629278822976606E-2</v>
      </c>
      <c r="Q72" s="26">
        <v>8.8814485219632255E-2</v>
      </c>
      <c r="R72" s="26">
        <v>3.3600000000005799</v>
      </c>
      <c r="S72" s="26">
        <v>4.9325073965519599E-2</v>
      </c>
      <c r="T72" s="26">
        <v>-8.6653131988860002E-2</v>
      </c>
      <c r="U72" s="26">
        <v>-0.106945669809647</v>
      </c>
    </row>
    <row r="73" spans="2:21" x14ac:dyDescent="0.25">
      <c r="C73" s="26"/>
      <c r="E73" s="26"/>
      <c r="O73" s="26">
        <v>1.0320729376926501</v>
      </c>
      <c r="P73" s="26">
        <v>8.9789658639056094E-2</v>
      </c>
      <c r="Q73" s="26">
        <v>9.5110352395984837E-2</v>
      </c>
      <c r="R73" s="26">
        <v>1.29999999999927</v>
      </c>
      <c r="S73" s="26">
        <v>3.3522369250931702E-2</v>
      </c>
      <c r="T73" s="26">
        <v>-0.113352605861146</v>
      </c>
      <c r="U73" s="26">
        <v>-0.11912264106373199</v>
      </c>
    </row>
    <row r="74" spans="2:21" x14ac:dyDescent="0.25">
      <c r="C74" s="26"/>
      <c r="E74" s="26"/>
      <c r="O74" s="26">
        <v>0</v>
      </c>
      <c r="P74" s="26">
        <v>0</v>
      </c>
      <c r="Q74" s="26">
        <v>0.18897637795284122</v>
      </c>
      <c r="R74" s="26">
        <v>1.60000000000036</v>
      </c>
      <c r="S74" s="26">
        <v>3.2848120572452899E-2</v>
      </c>
      <c r="T74" s="26">
        <v>0</v>
      </c>
      <c r="U74" s="26">
        <v>0</v>
      </c>
    </row>
    <row r="75" spans="2:21" x14ac:dyDescent="0.25">
      <c r="C75" s="26"/>
      <c r="E75" s="26"/>
      <c r="O75" s="26">
        <v>0</v>
      </c>
      <c r="P75" s="26">
        <v>0</v>
      </c>
      <c r="Q75" s="26">
        <v>0.1010627631843061</v>
      </c>
      <c r="R75" s="26">
        <v>0.84000000000014596</v>
      </c>
      <c r="S75" s="26">
        <v>6.2550443908548897E-3</v>
      </c>
      <c r="T75" s="26">
        <v>0</v>
      </c>
      <c r="U75" s="26">
        <v>0</v>
      </c>
    </row>
    <row r="76" spans="2:21" x14ac:dyDescent="0.25">
      <c r="C76" s="26"/>
      <c r="E76" s="26"/>
      <c r="O76" s="26">
        <v>0</v>
      </c>
      <c r="P76" s="26">
        <v>0</v>
      </c>
      <c r="Q76" s="26">
        <v>0.13752174357937333</v>
      </c>
      <c r="R76" s="26">
        <v>1.1200000000007999</v>
      </c>
      <c r="S76" s="26">
        <v>2.0692054386017799E-2</v>
      </c>
      <c r="T76" s="26">
        <v>0</v>
      </c>
      <c r="U76" s="26">
        <v>0</v>
      </c>
    </row>
    <row r="77" spans="2:21" x14ac:dyDescent="0.25">
      <c r="C77" s="26"/>
      <c r="E77" s="26"/>
      <c r="O77" s="26">
        <v>1.12485623771863</v>
      </c>
      <c r="P77" s="26">
        <v>8.3811083811015097E-2</v>
      </c>
      <c r="Q77" s="26">
        <v>8.7360087360096109E-2</v>
      </c>
      <c r="R77" s="26">
        <v>0.80000000000018201</v>
      </c>
      <c r="S77" s="26">
        <v>5.3927902143186698E-2</v>
      </c>
      <c r="T77" s="26">
        <v>-0.150773746890045</v>
      </c>
      <c r="U77" s="26">
        <v>-0.12836015076667501</v>
      </c>
    </row>
    <row r="78" spans="2:21" x14ac:dyDescent="0.25">
      <c r="C78" s="26"/>
      <c r="E78" s="26"/>
      <c r="O78" s="26">
        <v>0.25144110195469699</v>
      </c>
      <c r="P78" s="26">
        <v>0</v>
      </c>
      <c r="Q78" s="26">
        <v>7.6239854214181189E-3</v>
      </c>
      <c r="R78" s="26">
        <v>2.7891080000017601E-3</v>
      </c>
      <c r="S78" s="26">
        <v>5.2757793764612898E-2</v>
      </c>
      <c r="T78" s="26">
        <v>0.257879656159203</v>
      </c>
      <c r="U78" s="26">
        <v>0.314371257485764</v>
      </c>
    </row>
    <row r="79" spans="2:21" x14ac:dyDescent="0.25">
      <c r="C79" s="26"/>
      <c r="E79" s="26"/>
      <c r="O79" s="26">
        <v>1.1003671492726399</v>
      </c>
      <c r="P79" s="26">
        <v>9.8479902439139594E-2</v>
      </c>
      <c r="Q79" s="26">
        <v>9.8048780487815568E-2</v>
      </c>
      <c r="R79" s="26">
        <v>0.67000000000007298</v>
      </c>
      <c r="S79" s="26">
        <v>0.14926419060982901</v>
      </c>
      <c r="T79" s="26">
        <v>-0.20209936193714401</v>
      </c>
      <c r="U79" s="26">
        <v>-0.20059658943500799</v>
      </c>
    </row>
    <row r="80" spans="2:21" x14ac:dyDescent="0.25">
      <c r="C80" s="26"/>
      <c r="E80" s="26"/>
      <c r="O80" s="26">
        <v>1.18480565409118</v>
      </c>
      <c r="P80" s="26">
        <v>0.17372723894484801</v>
      </c>
      <c r="Q80" s="26">
        <v>0.16722408026753677</v>
      </c>
      <c r="R80" s="26">
        <v>1.5</v>
      </c>
      <c r="S80" s="26">
        <v>-1.8151965702600099E-2</v>
      </c>
      <c r="T80" s="26">
        <v>6.7167010918637998E-2</v>
      </c>
      <c r="U80" s="26">
        <v>8.9317452238901807E-2</v>
      </c>
    </row>
    <row r="81" spans="2:21" x14ac:dyDescent="0.25">
      <c r="C81" s="26"/>
      <c r="E81" s="26"/>
      <c r="O81" s="26">
        <v>1.0178091224915999</v>
      </c>
      <c r="P81" s="26">
        <v>9.5071613848995207E-2</v>
      </c>
      <c r="Q81" s="26">
        <v>0.1732265704296892</v>
      </c>
      <c r="R81" s="26">
        <v>1.28000000000065</v>
      </c>
      <c r="S81" s="26">
        <v>0.102175264140969</v>
      </c>
      <c r="T81" s="26">
        <v>-3.7518517765420298E-2</v>
      </c>
      <c r="U81" s="26">
        <v>-3.7613812962263203E-2</v>
      </c>
    </row>
    <row r="82" spans="2:21" x14ac:dyDescent="0.25">
      <c r="C82" s="26"/>
      <c r="E82" s="26"/>
      <c r="O82" s="26">
        <v>1.25137727628135</v>
      </c>
      <c r="P82" s="26">
        <v>0.18007662835239899</v>
      </c>
      <c r="Q82" s="26">
        <v>0.15651748593786377</v>
      </c>
      <c r="R82" s="26">
        <v>1.60000000000036</v>
      </c>
      <c r="S82" s="26">
        <v>4.2790036928636303E-2</v>
      </c>
      <c r="T82" s="26">
        <v>0.14410465770022701</v>
      </c>
      <c r="U82" s="26">
        <v>0.17890784134389801</v>
      </c>
    </row>
    <row r="83" spans="2:21" x14ac:dyDescent="0.25">
      <c r="C83" s="26"/>
      <c r="E83" s="26"/>
      <c r="O83" s="26">
        <v>1.0529461011810799</v>
      </c>
      <c r="P83" s="26">
        <v>8.9012345679075205E-2</v>
      </c>
      <c r="Q83" s="26">
        <v>8.8888888888942821E-2</v>
      </c>
      <c r="R83" s="26">
        <v>0.60000000000036402</v>
      </c>
      <c r="S83" s="26">
        <v>4.11311053976533E-2</v>
      </c>
      <c r="T83" s="26">
        <v>-0.16573342593998</v>
      </c>
      <c r="U83" s="26">
        <v>-0.152987910692027</v>
      </c>
    </row>
    <row r="84" spans="2:21" x14ac:dyDescent="0.25">
      <c r="C84" s="26"/>
      <c r="E84" s="26"/>
      <c r="O84" s="26">
        <v>0.97485793469059001</v>
      </c>
      <c r="P84" s="26">
        <v>4.5826976323660298E-2</v>
      </c>
      <c r="Q84" s="26">
        <v>7.1198508221694254E-2</v>
      </c>
      <c r="R84" s="26">
        <v>1.04999999999927</v>
      </c>
      <c r="S84" s="26">
        <v>0.121198682210961</v>
      </c>
      <c r="T84" s="26">
        <v>-0.14577701029615101</v>
      </c>
      <c r="U84" s="26">
        <v>-0.16080356925173001</v>
      </c>
    </row>
    <row r="85" spans="2:21" x14ac:dyDescent="0.25">
      <c r="C85" s="26"/>
      <c r="E85" s="26"/>
      <c r="O85" s="26">
        <v>0.95420800123429195</v>
      </c>
      <c r="P85" s="26">
        <v>9.3157149598846495E-2</v>
      </c>
      <c r="Q85" s="26">
        <v>0.10759792354887091</v>
      </c>
      <c r="R85" s="26">
        <v>0.94999999999981799</v>
      </c>
      <c r="S85" s="26">
        <v>4.3020279583288398E-2</v>
      </c>
      <c r="T85" s="26">
        <v>0.14349909105658301</v>
      </c>
      <c r="U85" s="26">
        <v>0.15198621939271101</v>
      </c>
    </row>
    <row r="86" spans="2:21" x14ac:dyDescent="0.25">
      <c r="C86" s="26"/>
      <c r="E86" s="26"/>
      <c r="O86" s="26">
        <v>0.945438173374896</v>
      </c>
      <c r="P86" s="26">
        <v>9.1280653951107502E-2</v>
      </c>
      <c r="Q86" s="26">
        <v>8.9918256130791407E-2</v>
      </c>
      <c r="R86" s="26">
        <v>0.55000000000018201</v>
      </c>
      <c r="S86" s="26">
        <v>0.11651962275573199</v>
      </c>
      <c r="T86" s="26">
        <v>-0.15837205272881</v>
      </c>
      <c r="U86" s="26">
        <v>-0.14175201233316301</v>
      </c>
    </row>
    <row r="87" spans="2:21" x14ac:dyDescent="0.25">
      <c r="C87" s="26"/>
      <c r="E87" s="26"/>
      <c r="O87" s="26">
        <v>1.2052969741525901</v>
      </c>
      <c r="P87" s="26">
        <v>8.6573602540447603E-2</v>
      </c>
      <c r="Q87" s="26">
        <v>7.9084536576663839E-2</v>
      </c>
      <c r="R87" s="26">
        <v>1.10000000000036</v>
      </c>
      <c r="S87" s="26">
        <v>5.0409062303515398E-2</v>
      </c>
      <c r="T87" s="26">
        <v>1.7885360184663999E-2</v>
      </c>
      <c r="U87" s="26">
        <v>6.4032631784357405E-2</v>
      </c>
    </row>
    <row r="88" spans="2:21" x14ac:dyDescent="0.25">
      <c r="C88" s="26"/>
      <c r="E88" s="26"/>
      <c r="O88" s="26">
        <v>0.921779804770267</v>
      </c>
      <c r="P88" s="26">
        <v>5.9880745971895501E-2</v>
      </c>
      <c r="Q88" s="26">
        <v>6.8507633103591314E-2</v>
      </c>
      <c r="R88" s="26">
        <v>1.35000000000036</v>
      </c>
      <c r="S88" s="26">
        <v>6.6862170087915701E-2</v>
      </c>
      <c r="T88" s="26">
        <v>0.123642403546983</v>
      </c>
      <c r="U88" s="26">
        <v>0.14433479114275499</v>
      </c>
    </row>
    <row r="89" spans="2:21" x14ac:dyDescent="0.25">
      <c r="C89" s="26"/>
      <c r="E89" s="26"/>
      <c r="O89" s="26">
        <v>0.906528730984974</v>
      </c>
      <c r="P89" s="26">
        <v>6.9675556568545294E-2</v>
      </c>
      <c r="Q89" s="26">
        <v>6.2913152495925717E-2</v>
      </c>
      <c r="R89" s="26">
        <v>0.68999999999960004</v>
      </c>
      <c r="S89" s="26">
        <v>0.103185247276997</v>
      </c>
      <c r="T89" s="26">
        <v>-0.103248976096511</v>
      </c>
      <c r="U89" s="26">
        <v>-6.9157614856521804E-2</v>
      </c>
    </row>
    <row r="90" spans="2:21" x14ac:dyDescent="0.25">
      <c r="C90" s="26"/>
      <c r="E90" s="26"/>
      <c r="O90" s="26">
        <v>1.0882392773964999</v>
      </c>
      <c r="P90" s="26">
        <v>7.4993490148481196E-2</v>
      </c>
      <c r="Q90" s="26">
        <v>7.4993490148475256E-2</v>
      </c>
      <c r="R90" s="26">
        <v>0.72000000000025499</v>
      </c>
      <c r="S90" s="26">
        <v>7.7937874251802E-2</v>
      </c>
      <c r="T90" s="26">
        <v>-4.2105671077515602E-2</v>
      </c>
      <c r="U90" s="26">
        <v>-2.22219924253295E-2</v>
      </c>
    </row>
    <row r="91" spans="2:21" x14ac:dyDescent="0.25">
      <c r="B91" s="53"/>
      <c r="C91" s="53"/>
      <c r="D91" s="53"/>
      <c r="E91" s="53"/>
      <c r="F91" s="53"/>
      <c r="G91" s="53"/>
      <c r="H91" s="53"/>
      <c r="I91" s="53"/>
      <c r="J91" s="53"/>
      <c r="K91" s="53"/>
      <c r="L91" s="53"/>
      <c r="M91" s="53"/>
      <c r="O91" s="26">
        <v>0.95459870244212697</v>
      </c>
      <c r="P91" s="26">
        <v>0.12577454071084501</v>
      </c>
      <c r="Q91" s="26">
        <v>0.13697140993578122</v>
      </c>
      <c r="R91" s="26">
        <v>1.04999999999927</v>
      </c>
      <c r="S91" s="26">
        <v>4.11997736282501E-2</v>
      </c>
      <c r="T91" s="26">
        <v>0.123352613120078</v>
      </c>
      <c r="U91" s="26">
        <v>0.15265746389559401</v>
      </c>
    </row>
    <row r="92" spans="2:21" x14ac:dyDescent="0.25">
      <c r="O92" s="26">
        <v>0</v>
      </c>
      <c r="P92" s="26">
        <v>0</v>
      </c>
      <c r="Q92" s="26">
        <v>0.14385614385622458</v>
      </c>
      <c r="R92" s="26">
        <v>0.12000000000000501</v>
      </c>
      <c r="S92" s="26">
        <v>1.3011999999434899E-2</v>
      </c>
      <c r="T92" s="26">
        <v>0</v>
      </c>
      <c r="U92" s="26">
        <v>0</v>
      </c>
    </row>
    <row r="93" spans="2:21" x14ac:dyDescent="0.25">
      <c r="O93" s="26">
        <v>0</v>
      </c>
      <c r="P93" s="26">
        <v>0</v>
      </c>
      <c r="Q93" s="26">
        <v>0.13737231419499424</v>
      </c>
      <c r="R93" s="26">
        <v>1.29999999999927</v>
      </c>
      <c r="S93" s="26">
        <v>9.1746506079361995E-2</v>
      </c>
      <c r="T93" s="26">
        <v>0</v>
      </c>
      <c r="U93" s="26">
        <v>0</v>
      </c>
    </row>
    <row r="94" spans="2:21" x14ac:dyDescent="0.25">
      <c r="O94" s="26">
        <v>1.09486957641639</v>
      </c>
      <c r="P94" s="26">
        <v>0.11773882720022801</v>
      </c>
      <c r="Q94" s="26">
        <v>0.13655134440672828</v>
      </c>
      <c r="R94" s="26">
        <v>1.2399999999997799</v>
      </c>
      <c r="S94" s="26">
        <v>5.4276315790048102E-2</v>
      </c>
      <c r="T94" s="26">
        <v>-8.2430489990656497E-2</v>
      </c>
      <c r="U94" s="26">
        <v>-6.3929163387947505E-2</v>
      </c>
    </row>
    <row r="95" spans="2:21" x14ac:dyDescent="0.25">
      <c r="O95" s="26">
        <v>0.96443646782063297</v>
      </c>
      <c r="P95" s="26">
        <v>0.103911980440171</v>
      </c>
      <c r="Q95" s="26">
        <v>9.1687041564870481E-2</v>
      </c>
      <c r="R95" s="26">
        <v>0.5</v>
      </c>
      <c r="S95" s="26">
        <v>9.20179703098256E-2</v>
      </c>
      <c r="T95" s="26">
        <v>-0.170762239010364</v>
      </c>
      <c r="U95" s="26">
        <v>-0.15526796674937901</v>
      </c>
    </row>
    <row r="96" spans="2:21" x14ac:dyDescent="0.25">
      <c r="O96" s="26">
        <v>1.0302814424903799</v>
      </c>
      <c r="P96" s="26">
        <v>0.10896285043505501</v>
      </c>
      <c r="Q96" s="26">
        <v>0.10771992818660572</v>
      </c>
      <c r="R96" s="26">
        <v>0.64999999999963598</v>
      </c>
      <c r="S96" s="26">
        <v>-1.2608292965523999E-2</v>
      </c>
      <c r="T96" s="26">
        <v>-0.28984508833033001</v>
      </c>
      <c r="U96" s="26">
        <v>-0.28984508833033001</v>
      </c>
    </row>
    <row r="97" spans="15:21" x14ac:dyDescent="0.25">
      <c r="O97" s="26">
        <v>1.0366632036602801</v>
      </c>
      <c r="P97" s="26">
        <v>9.3655589123809502E-2</v>
      </c>
      <c r="Q97" s="26">
        <v>9.6676737160238224E-2</v>
      </c>
      <c r="R97" s="26">
        <v>8.00000000000409E-2</v>
      </c>
      <c r="S97" s="26">
        <v>3.0303030307550199E-3</v>
      </c>
      <c r="T97" s="26">
        <v>4.4155149656944601E-2</v>
      </c>
      <c r="U97" s="26">
        <v>5.3191107683232999E-2</v>
      </c>
    </row>
    <row r="98" spans="15:21" x14ac:dyDescent="0.25">
      <c r="O98" s="26">
        <v>0</v>
      </c>
      <c r="P98" s="26">
        <v>0</v>
      </c>
      <c r="Q98" s="26">
        <v>0.10126582278490476</v>
      </c>
      <c r="R98" s="26">
        <v>0.60000000000036402</v>
      </c>
      <c r="S98" s="26">
        <v>-1.42786919968785E-3</v>
      </c>
      <c r="T98" s="26">
        <v>0</v>
      </c>
      <c r="U98" s="26">
        <v>0</v>
      </c>
    </row>
    <row r="99" spans="15:21" x14ac:dyDescent="0.25">
      <c r="O99" s="26">
        <v>0.90951926426987495</v>
      </c>
      <c r="P99" s="26">
        <v>0.103573959704227</v>
      </c>
      <c r="Q99" s="26">
        <v>9.1120785663645898E-2</v>
      </c>
      <c r="R99" s="26">
        <v>0.75</v>
      </c>
      <c r="S99" s="26">
        <v>7.9453551912592998E-2</v>
      </c>
      <c r="T99" s="26">
        <v>3.9827328169849401E-2</v>
      </c>
      <c r="U99" s="26">
        <v>4.5803347296896398E-2</v>
      </c>
    </row>
    <row r="100" spans="15:21" x14ac:dyDescent="0.25">
      <c r="O100" s="26">
        <v>1.32952157138243</v>
      </c>
      <c r="P100" s="26">
        <v>9.5914719557913503E-2</v>
      </c>
      <c r="Q100" s="26">
        <v>0.10100203251504</v>
      </c>
      <c r="R100" s="26">
        <v>1.96112279800036</v>
      </c>
      <c r="S100" s="26">
        <v>0.10894886071764601</v>
      </c>
      <c r="T100" s="26">
        <v>-0.10430785882636</v>
      </c>
      <c r="U100" s="26">
        <v>-8.3664011952350806E-2</v>
      </c>
    </row>
  </sheetData>
  <autoFilter ref="B6:M6" xr:uid="{46DF652B-0E0A-47CC-B6AF-AA80B52277DD}">
    <sortState xmlns:xlrd2="http://schemas.microsoft.com/office/spreadsheetml/2017/richdata2" ref="B7:M22">
      <sortCondition descending="1" ref="C6"/>
    </sortState>
  </autoFilter>
  <conditionalFormatting sqref="K3:M3">
    <cfRule type="cellIs" dxfId="213" priority="75" operator="lessThan">
      <formula>0</formula>
    </cfRule>
    <cfRule type="cellIs" dxfId="212" priority="76" operator="greaterThan">
      <formula>0</formula>
    </cfRule>
  </conditionalFormatting>
  <conditionalFormatting sqref="K7:M7">
    <cfRule type="cellIs" dxfId="211" priority="7" operator="lessThan">
      <formula>0</formula>
    </cfRule>
    <cfRule type="cellIs" dxfId="210" priority="8" operator="greaterThan">
      <formula>0</formula>
    </cfRule>
  </conditionalFormatting>
  <conditionalFormatting sqref="K8:M22">
    <cfRule type="cellIs" dxfId="209" priority="5" operator="lessThan">
      <formula>0</formula>
    </cfRule>
    <cfRule type="cellIs" dxfId="208" priority="6" operator="greaterThan">
      <formula>0</formula>
    </cfRule>
  </conditionalFormatting>
  <hyperlinks>
    <hyperlink ref="M2" location="'Stock Guide'!A1" display="Stock Guide" xr:uid="{4C27A900-3371-4242-A846-31E6B3A6BECF}"/>
    <hyperlink ref="L2" location="Menu!A1" display="Menu" xr:uid="{8F0F2BEB-5842-4DA3-BC4C-AB6160F2481A}"/>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35FE-584C-4E0C-B314-36A82ABE883A}">
  <sheetPr codeName="Sheet3">
    <tabColor rgb="FF2C5AAD"/>
  </sheetPr>
  <dimension ref="A1:Z213"/>
  <sheetViews>
    <sheetView showGridLines="0" zoomScale="85" zoomScaleNormal="85" workbookViewId="0">
      <pane ySplit="8" topLeftCell="A9" activePane="bottomLeft" state="frozen"/>
      <selection activeCell="E13" sqref="B1:R1048576"/>
      <selection pane="bottomLeft" activeCell="Q2" sqref="Q2"/>
    </sheetView>
  </sheetViews>
  <sheetFormatPr defaultColWidth="0" defaultRowHeight="0" customHeight="1" zeroHeight="1" x14ac:dyDescent="0.25"/>
  <cols>
    <col min="1" max="1" width="0.5703125" style="23" customWidth="1"/>
    <col min="2" max="2" width="12" style="23" customWidth="1"/>
    <col min="3" max="3" width="7.5703125" style="23" customWidth="1"/>
    <col min="4" max="4" width="14.42578125" style="23" customWidth="1"/>
    <col min="5" max="5" width="10.42578125" style="23" customWidth="1"/>
    <col min="6" max="6" width="40.7109375" style="23" bestFit="1" customWidth="1"/>
    <col min="7" max="7" width="18.42578125" style="23" customWidth="1"/>
    <col min="8" max="8" width="10.85546875" style="23" customWidth="1"/>
    <col min="9" max="9" width="17.85546875" style="23" customWidth="1"/>
    <col min="10" max="10" width="9.5703125" style="23" customWidth="1"/>
    <col min="11" max="12" width="12.28515625" style="23" customWidth="1"/>
    <col min="13" max="13" width="12.5703125" style="23" customWidth="1"/>
    <col min="14" max="14" width="12.140625" style="23" bestFit="1" customWidth="1"/>
    <col min="15" max="15" width="12.140625" style="23" customWidth="1"/>
    <col min="16" max="16" width="10" style="23" customWidth="1"/>
    <col min="17" max="17" width="10.5703125" style="23" bestFit="1" customWidth="1"/>
    <col min="18" max="18" width="11.28515625" style="23" bestFit="1" customWidth="1"/>
    <col min="19" max="19" width="2.140625" style="23" customWidth="1"/>
    <col min="20" max="22" width="9.140625" style="23" hidden="1" customWidth="1"/>
    <col min="23" max="23" width="17.28515625" style="23" hidden="1" customWidth="1"/>
    <col min="24" max="24" width="9.28515625" style="23" hidden="1" customWidth="1"/>
    <col min="25" max="25" width="12.28515625" style="23" hidden="1" customWidth="1"/>
    <col min="26" max="16384" width="9.140625" style="23" hidden="1"/>
  </cols>
  <sheetData>
    <row r="1" spans="2:18" s="10" customFormat="1" ht="3" customHeight="1" x14ac:dyDescent="0.2">
      <c r="C1" s="180"/>
      <c r="D1" s="180"/>
      <c r="E1" s="180"/>
      <c r="F1" s="180"/>
      <c r="G1" s="180"/>
      <c r="H1" s="180"/>
      <c r="I1" s="180"/>
      <c r="J1" s="180"/>
      <c r="K1" s="180"/>
      <c r="L1" s="180"/>
      <c r="M1" s="180"/>
      <c r="N1" s="180"/>
      <c r="O1" s="180"/>
      <c r="P1" s="180"/>
    </row>
    <row r="2" spans="2:18" s="10" customFormat="1" ht="14.25" customHeight="1" x14ac:dyDescent="0.2">
      <c r="C2" s="180"/>
      <c r="D2" s="180"/>
      <c r="E2" s="180"/>
      <c r="F2" s="180"/>
      <c r="G2" s="180"/>
      <c r="H2" s="180"/>
      <c r="I2" s="180"/>
      <c r="J2" s="180"/>
      <c r="K2" s="180"/>
      <c r="L2" s="180"/>
      <c r="M2" s="180"/>
      <c r="N2" s="180"/>
      <c r="O2" s="180"/>
      <c r="P2" s="180"/>
      <c r="Q2" s="154" t="s">
        <v>57</v>
      </c>
      <c r="R2" s="153" t="s">
        <v>68</v>
      </c>
    </row>
    <row r="3" spans="2:18" s="10" customFormat="1" ht="12.75" customHeight="1" thickBot="1" x14ac:dyDescent="0.25">
      <c r="C3" s="180"/>
      <c r="D3" s="180"/>
      <c r="E3" s="180"/>
      <c r="F3" s="180"/>
      <c r="G3" s="180"/>
      <c r="H3" s="180"/>
      <c r="I3" s="180"/>
      <c r="J3" s="180"/>
      <c r="K3" s="180"/>
      <c r="L3" s="180"/>
      <c r="M3" s="180"/>
      <c r="N3" s="180"/>
      <c r="O3" s="180"/>
      <c r="P3" s="180"/>
      <c r="Q3" s="152"/>
      <c r="R3" s="152"/>
    </row>
    <row r="4" spans="2:18" s="10" customFormat="1" ht="12.75" customHeight="1" thickTop="1" x14ac:dyDescent="0.2">
      <c r="B4" s="180"/>
      <c r="C4" s="180"/>
      <c r="D4" s="180"/>
      <c r="E4" s="180"/>
      <c r="F4" s="180"/>
      <c r="G4" s="180"/>
      <c r="H4" s="180"/>
      <c r="I4" s="180"/>
      <c r="J4" s="180"/>
      <c r="K4" s="180"/>
      <c r="L4" s="180"/>
      <c r="M4" s="180"/>
      <c r="N4" s="180"/>
      <c r="O4" s="180"/>
      <c r="P4" s="180"/>
      <c r="Q4" s="180"/>
      <c r="R4" s="180"/>
    </row>
    <row r="5" spans="2:18" s="10" customFormat="1" ht="22.5" customHeight="1" x14ac:dyDescent="0.2">
      <c r="B5" s="180" t="s">
        <v>162</v>
      </c>
      <c r="C5" s="180"/>
      <c r="D5" s="180"/>
      <c r="E5" s="180"/>
      <c r="F5" s="180"/>
      <c r="G5" s="180"/>
      <c r="H5" s="180"/>
      <c r="I5" s="180"/>
      <c r="J5" s="180"/>
      <c r="K5" s="180"/>
      <c r="L5" s="180"/>
      <c r="M5" s="180"/>
      <c r="N5" s="180"/>
      <c r="O5" s="180"/>
      <c r="P5" s="180"/>
      <c r="Q5" s="180"/>
      <c r="R5" s="180"/>
    </row>
    <row r="6" spans="2:18" s="26" customFormat="1" ht="17.25" customHeight="1" x14ac:dyDescent="0.25">
      <c r="B6" s="266" t="s">
        <v>137</v>
      </c>
      <c r="C6" s="267"/>
      <c r="D6" s="179">
        <v>1000000</v>
      </c>
      <c r="E6" s="180"/>
      <c r="F6" s="180"/>
      <c r="G6" s="180"/>
      <c r="H6" s="180"/>
      <c r="I6" s="180"/>
      <c r="J6" s="180"/>
      <c r="K6" s="180"/>
      <c r="L6" s="180"/>
      <c r="M6" s="180"/>
      <c r="N6" s="180"/>
      <c r="O6" s="180"/>
      <c r="P6" s="180"/>
      <c r="Q6" s="180"/>
      <c r="R6" s="180"/>
    </row>
    <row r="7" spans="2:18" s="26" customFormat="1" ht="21" customHeight="1" x14ac:dyDescent="0.25">
      <c r="B7" s="112" t="s">
        <v>54</v>
      </c>
      <c r="C7" s="112" t="s">
        <v>97</v>
      </c>
      <c r="D7" s="113" t="s">
        <v>142</v>
      </c>
      <c r="E7" s="113" t="s">
        <v>131</v>
      </c>
      <c r="F7" s="268" t="s">
        <v>98</v>
      </c>
      <c r="G7" s="270"/>
      <c r="H7" s="112" t="s">
        <v>99</v>
      </c>
      <c r="I7" s="112" t="s">
        <v>100</v>
      </c>
      <c r="J7" s="112" t="s">
        <v>7</v>
      </c>
      <c r="K7" s="268" t="s">
        <v>89</v>
      </c>
      <c r="L7" s="269"/>
      <c r="M7" s="270"/>
      <c r="N7" s="156" t="s">
        <v>134</v>
      </c>
      <c r="O7" s="156"/>
      <c r="P7" s="268" t="s">
        <v>101</v>
      </c>
      <c r="Q7" s="269"/>
      <c r="R7" s="270"/>
    </row>
    <row r="8" spans="2:18" s="26" customFormat="1" ht="32.25" customHeight="1" x14ac:dyDescent="0.25">
      <c r="B8" s="114" t="s">
        <v>102</v>
      </c>
      <c r="C8" s="114" t="s">
        <v>46</v>
      </c>
      <c r="D8" s="114" t="s">
        <v>17</v>
      </c>
      <c r="E8" s="114" t="s">
        <v>143</v>
      </c>
      <c r="F8" s="114" t="s">
        <v>169</v>
      </c>
      <c r="G8" s="114" t="s">
        <v>14</v>
      </c>
      <c r="H8" s="114" t="s">
        <v>103</v>
      </c>
      <c r="I8" s="114" t="s">
        <v>144</v>
      </c>
      <c r="J8" s="114" t="s">
        <v>44</v>
      </c>
      <c r="K8" s="114" t="s">
        <v>145</v>
      </c>
      <c r="L8" s="114" t="s">
        <v>146</v>
      </c>
      <c r="M8" s="114" t="s">
        <v>147</v>
      </c>
      <c r="N8" s="114" t="s">
        <v>103</v>
      </c>
      <c r="O8" s="114" t="s">
        <v>137</v>
      </c>
      <c r="P8" s="114" t="s">
        <v>141</v>
      </c>
      <c r="Q8" s="114" t="s">
        <v>139</v>
      </c>
      <c r="R8" s="114" t="s">
        <v>140</v>
      </c>
    </row>
    <row r="9" spans="2:18" s="26" customFormat="1" ht="18.75" customHeight="1" x14ac:dyDescent="0.25">
      <c r="B9" s="176" t="s">
        <v>117</v>
      </c>
      <c r="C9" s="177">
        <v>0.06</v>
      </c>
      <c r="D9" s="115">
        <f t="shared" ref="D9:D33" si="0">IF(C9*$D$6=0,"",C9*$D$6)</f>
        <v>60000</v>
      </c>
      <c r="E9" s="165">
        <f>IFERROR(ROUNDDOWN(D9/H9,0),"")</f>
        <v>6666</v>
      </c>
      <c r="F9" s="166" t="str">
        <f>IFERROR(VLOOKUP($B9,'Stock Guide'!$B:$W,3,0),"")</f>
        <v>BTG Pactual Crédito Imobiliário FII</v>
      </c>
      <c r="G9" s="166" t="str">
        <f>IFERROR(VLOOKUP($B9,'Stock Guide'!$B:$W,6,0),"")</f>
        <v>Recebível</v>
      </c>
      <c r="H9" s="167">
        <f>IFERROR(VLOOKUP($B9,'Stock Guide'!$B:$W,9,0),"")</f>
        <v>9</v>
      </c>
      <c r="I9" s="115">
        <f>IFERROR(VLOOKUP($B9,'Stock Guide'!$B:$W,8,0)/1000,"")</f>
        <v>3504.8616468</v>
      </c>
      <c r="J9" s="168">
        <f>IFERROR(VLOOKUP($B9,'Stock Guide'!$B:$W,14,0),"")</f>
        <v>0.8921572436346602</v>
      </c>
      <c r="K9" s="116">
        <f>IFERROR(N9/H9,"")</f>
        <v>1.1444444444444445E-2</v>
      </c>
      <c r="L9" s="116">
        <f>IFERROR(VLOOKUP($B9,'Stock Guide'!$B:$W,16,0),"")</f>
        <v>0.13055555556000001</v>
      </c>
      <c r="M9" s="116">
        <f>IFERROR((N9/H9)*12,"")</f>
        <v>0.13733333333333334</v>
      </c>
      <c r="N9" s="169">
        <f>IFERROR(VLOOKUP($B9,'Stock Guide'!$B:$W,19,0),"")</f>
        <v>0.10299999999999999</v>
      </c>
      <c r="O9" s="167">
        <f>IFERROR(N9*E9,"")</f>
        <v>686.59799999999996</v>
      </c>
      <c r="P9" s="116">
        <f>IFERROR(VLOOKUP($B9,'Stock Guide'!$B:$W,20,0),"")</f>
        <v>-4.0443824091000004E-3</v>
      </c>
      <c r="Q9" s="116">
        <f>IFERROR(VLOOKUP($B9,'Stock Guide'!$B:$W,21,0),"")</f>
        <v>4.8974723013000002E-2</v>
      </c>
      <c r="R9" s="116">
        <f>IFERROR(VLOOKUP($B9,'Stock Guide'!$B:$W,22,0),"")</f>
        <v>0.12285467526</v>
      </c>
    </row>
    <row r="10" spans="2:18" s="26" customFormat="1" ht="18.75" customHeight="1" x14ac:dyDescent="0.25">
      <c r="B10" s="178" t="s">
        <v>31</v>
      </c>
      <c r="C10" s="177">
        <v>0.13</v>
      </c>
      <c r="D10" s="115">
        <f t="shared" ref="D10:D25" si="1">IF(C10*$D$6=0,"",C10*$D$6)</f>
        <v>130000</v>
      </c>
      <c r="E10" s="165">
        <f t="shared" ref="E10:E25" si="2">IFERROR(ROUNDDOWN(D10/H10,0),"")</f>
        <v>1219</v>
      </c>
      <c r="F10" s="166" t="str">
        <f>IFERROR(VLOOKUP($B10,'Stock Guide'!$B:$W,3,0),"")</f>
        <v>Kinea Rendimentos Imobiliários FII</v>
      </c>
      <c r="G10" s="166" t="str">
        <f>IFERROR(VLOOKUP($B10,'Stock Guide'!$B:$W,6,0),"")</f>
        <v>Recebível</v>
      </c>
      <c r="H10" s="167">
        <f>IFERROR(VLOOKUP($B10,'Stock Guide'!$B:$W,9,0),"")</f>
        <v>106.6</v>
      </c>
      <c r="I10" s="115">
        <f>IFERROR(VLOOKUP($B10,'Stock Guide'!$B:$W,8,0)/1000,"")</f>
        <v>21474.425813999998</v>
      </c>
      <c r="J10" s="168">
        <f>IFERROR(VLOOKUP($B10,'Stock Guide'!$B:$W,14,0),"")</f>
        <v>1.0398102039502524</v>
      </c>
      <c r="K10" s="116">
        <f t="shared" ref="K10:K25" si="3">IFERROR(N10/H10,"")</f>
        <v>1.1726078799249532E-2</v>
      </c>
      <c r="L10" s="116">
        <f>IFERROR(VLOOKUP($B10,'Stock Guide'!$B:$W,16,0),"")</f>
        <v>0.13452157599</v>
      </c>
      <c r="M10" s="116">
        <f t="shared" ref="M10:M25" si="4">IFERROR((N10/H10)*12,"")</f>
        <v>0.1407129455909944</v>
      </c>
      <c r="N10" s="169">
        <f>IFERROR(VLOOKUP($B10,'Stock Guide'!$B:$W,19,0),"")</f>
        <v>1.25</v>
      </c>
      <c r="O10" s="167">
        <f t="shared" ref="O10:O33" si="5">IFERROR(N10*E10,"")</f>
        <v>1523.75</v>
      </c>
      <c r="P10" s="116">
        <f>IFERROR(VLOOKUP($B10,'Stock Guide'!$B:$W,20,0),"")</f>
        <v>-2.0595394117E-3</v>
      </c>
      <c r="Q10" s="116">
        <f>IFERROR(VLOOKUP($B10,'Stock Guide'!$B:$W,21,0),"")</f>
        <v>8.0907163892000006E-2</v>
      </c>
      <c r="R10" s="116">
        <f>IFERROR(VLOOKUP($B10,'Stock Guide'!$B:$W,22,0),"")</f>
        <v>0.18083758010000001</v>
      </c>
    </row>
    <row r="11" spans="2:18" s="26" customFormat="1" ht="18.75" customHeight="1" x14ac:dyDescent="0.25">
      <c r="B11" s="178" t="s">
        <v>29</v>
      </c>
      <c r="C11" s="177">
        <v>0.13</v>
      </c>
      <c r="D11" s="115">
        <f t="shared" si="1"/>
        <v>130000</v>
      </c>
      <c r="E11" s="165">
        <f t="shared" si="2"/>
        <v>1455</v>
      </c>
      <c r="F11" s="166" t="str">
        <f>IFERROR(VLOOKUP($B11,'Stock Guide'!$B:$W,3,0),"")</f>
        <v>Kinea Indices de Preços FII</v>
      </c>
      <c r="G11" s="166" t="str">
        <f>IFERROR(VLOOKUP($B11,'Stock Guide'!$B:$W,6,0),"")</f>
        <v>Recebível</v>
      </c>
      <c r="H11" s="167">
        <f>IFERROR(VLOOKUP($B11,'Stock Guide'!$B:$W,9,0),"")</f>
        <v>89.3</v>
      </c>
      <c r="I11" s="115">
        <f>IFERROR(VLOOKUP($B11,'Stock Guide'!$B:$W,8,0)/1000,"")</f>
        <v>10206.473310000001</v>
      </c>
      <c r="J11" s="168">
        <f>IFERROR(VLOOKUP($B11,'Stock Guide'!$B:$W,14,0),"")</f>
        <v>0.96172850670618804</v>
      </c>
      <c r="K11" s="116">
        <f t="shared" si="3"/>
        <v>1.0638297872340425E-2</v>
      </c>
      <c r="L11" s="116">
        <f>IFERROR(VLOOKUP($B11,'Stock Guide'!$B:$W,16,0),"")</f>
        <v>0.11377379619</v>
      </c>
      <c r="M11" s="116">
        <f t="shared" si="4"/>
        <v>0.1276595744680851</v>
      </c>
      <c r="N11" s="169">
        <f>IFERROR(VLOOKUP($B11,'Stock Guide'!$B:$W,19,0),"")</f>
        <v>0.95</v>
      </c>
      <c r="O11" s="167">
        <f t="shared" si="5"/>
        <v>1382.25</v>
      </c>
      <c r="P11" s="116">
        <f>IFERROR(VLOOKUP($B11,'Stock Guide'!$B:$W,20,0),"")</f>
        <v>-1.4783759927E-2</v>
      </c>
      <c r="Q11" s="116">
        <f>IFERROR(VLOOKUP($B11,'Stock Guide'!$B:$W,21,0),"")</f>
        <v>7.0350425191999993E-2</v>
      </c>
      <c r="R11" s="116">
        <f>IFERROR(VLOOKUP($B11,'Stock Guide'!$B:$W,22,0),"")</f>
        <v>0.15124008206</v>
      </c>
    </row>
    <row r="12" spans="2:18" s="26" customFormat="1" ht="18.75" customHeight="1" x14ac:dyDescent="0.25">
      <c r="B12" s="178" t="s">
        <v>32</v>
      </c>
      <c r="C12" s="177">
        <v>0.03</v>
      </c>
      <c r="D12" s="115">
        <f t="shared" si="1"/>
        <v>30000</v>
      </c>
      <c r="E12" s="165">
        <f t="shared" si="2"/>
        <v>400</v>
      </c>
      <c r="F12" s="166" t="str">
        <f>IFERROR(VLOOKUP($B12,'Stock Guide'!$B:$W,3,0),"")</f>
        <v>FII RBR Rendimento High</v>
      </c>
      <c r="G12" s="166" t="str">
        <f>IFERROR(VLOOKUP($B12,'Stock Guide'!$B:$W,6,0),"")</f>
        <v>Recebível</v>
      </c>
      <c r="H12" s="167">
        <f>IFERROR(VLOOKUP($B12,'Stock Guide'!$B:$W,9,0),"")</f>
        <v>75</v>
      </c>
      <c r="I12" s="115">
        <f>IFERROR(VLOOKUP($B12,'Stock Guide'!$B:$W,8,0)/1000,"")</f>
        <v>4149.1633065999995</v>
      </c>
      <c r="J12" s="168">
        <f>IFERROR(VLOOKUP($B12,'Stock Guide'!$B:$W,14,0),"")</f>
        <v>0.81605128097163937</v>
      </c>
      <c r="K12" s="116">
        <f t="shared" si="3"/>
        <v>1.2E-2</v>
      </c>
      <c r="L12" s="116">
        <f>IFERROR(VLOOKUP($B12,'Stock Guide'!$B:$W,16,0),"")</f>
        <v>0.13173333333000001</v>
      </c>
      <c r="M12" s="116">
        <f t="shared" si="4"/>
        <v>0.14400000000000002</v>
      </c>
      <c r="N12" s="169">
        <f>IFERROR(VLOOKUP($B12,'Stock Guide'!$B:$W,19,0),"")</f>
        <v>0.9</v>
      </c>
      <c r="O12" s="167">
        <f t="shared" si="5"/>
        <v>360</v>
      </c>
      <c r="P12" s="116">
        <f>IFERROR(VLOOKUP($B12,'Stock Guide'!$B:$W,20,0),"")</f>
        <v>-4.5359408796E-4</v>
      </c>
      <c r="Q12" s="116">
        <f>IFERROR(VLOOKUP($B12,'Stock Guide'!$B:$W,21,0),"")</f>
        <v>-7.0281296647000002E-2</v>
      </c>
      <c r="R12" s="116">
        <f>IFERROR(VLOOKUP($B12,'Stock Guide'!$B:$W,22,0),"")</f>
        <v>-2.3658732602E-2</v>
      </c>
    </row>
    <row r="13" spans="2:18" s="26" customFormat="1" ht="18.75" customHeight="1" x14ac:dyDescent="0.25">
      <c r="B13" s="178" t="s">
        <v>33</v>
      </c>
      <c r="C13" s="177">
        <v>0.09</v>
      </c>
      <c r="D13" s="115">
        <f t="shared" si="1"/>
        <v>90000</v>
      </c>
      <c r="E13" s="165">
        <f t="shared" si="2"/>
        <v>1170</v>
      </c>
      <c r="F13" s="166" t="str">
        <f>IFERROR(VLOOKUP($B13,'Stock Guide'!$B:$W,3,0),"")</f>
        <v>RBR Crédito Imobiliário Estruturado FII</v>
      </c>
      <c r="G13" s="166" t="str">
        <f>IFERROR(VLOOKUP($B13,'Stock Guide'!$B:$W,6,0),"")</f>
        <v>Recebível</v>
      </c>
      <c r="H13" s="167">
        <f>IFERROR(VLOOKUP($B13,'Stock Guide'!$B:$W,9,0),"")</f>
        <v>76.87</v>
      </c>
      <c r="I13" s="115">
        <f>IFERROR(VLOOKUP($B13,'Stock Guide'!$B:$W,8,0)/1000,"")</f>
        <v>4305.7881322000003</v>
      </c>
      <c r="J13" s="168">
        <f>IFERROR(VLOOKUP($B13,'Stock Guide'!$B:$W,14,0),"")</f>
        <v>0.76119221991005481</v>
      </c>
      <c r="K13" s="116">
        <f t="shared" si="3"/>
        <v>1.3008976193573565E-2</v>
      </c>
      <c r="L13" s="116">
        <f>IFERROR(VLOOKUP($B13,'Stock Guide'!$B:$W,16,0),"")</f>
        <v>0.17627162741999999</v>
      </c>
      <c r="M13" s="116">
        <f t="shared" si="4"/>
        <v>0.15610771432288278</v>
      </c>
      <c r="N13" s="169">
        <f>IFERROR(VLOOKUP($B13,'Stock Guide'!$B:$W,19,0),"")</f>
        <v>1</v>
      </c>
      <c r="O13" s="167">
        <f t="shared" si="5"/>
        <v>1170</v>
      </c>
      <c r="P13" s="116">
        <f>IFERROR(VLOOKUP($B13,'Stock Guide'!$B:$W,20,0),"")</f>
        <v>-8.1375576946999997E-2</v>
      </c>
      <c r="Q13" s="116">
        <f>IFERROR(VLOOKUP($B13,'Stock Guide'!$B:$W,21,0),"")</f>
        <v>-0.13772419495999999</v>
      </c>
      <c r="R13" s="116">
        <f>IFERROR(VLOOKUP($B13,'Stock Guide'!$B:$W,22,0),"")</f>
        <v>-3.8285444644000001E-2</v>
      </c>
    </row>
    <row r="14" spans="2:18" s="26" customFormat="1" ht="18.75" customHeight="1" x14ac:dyDescent="0.25">
      <c r="B14" s="178" t="s">
        <v>255</v>
      </c>
      <c r="C14" s="177">
        <v>0.08</v>
      </c>
      <c r="D14" s="115">
        <f t="shared" si="1"/>
        <v>80000</v>
      </c>
      <c r="E14" s="165">
        <f t="shared" si="2"/>
        <v>856</v>
      </c>
      <c r="F14" s="166" t="str">
        <f>IFERROR(VLOOKUP($B14,'Stock Guide'!$B:$W,3,0),"")</f>
        <v>Mauá Capital Recebíveis Imobiliários FII</v>
      </c>
      <c r="G14" s="166" t="str">
        <f>IFERROR(VLOOKUP($B14,'Stock Guide'!$B:$W,6,0),"")</f>
        <v>Recebível</v>
      </c>
      <c r="H14" s="167">
        <f>IFERROR(VLOOKUP($B14,'Stock Guide'!$B:$W,9,0),"")</f>
        <v>93.38</v>
      </c>
      <c r="I14" s="115">
        <f>IFERROR(VLOOKUP($B14,'Stock Guide'!$B:$W,8,0)/1000,"")</f>
        <v>4539.8289225999997</v>
      </c>
      <c r="J14" s="168">
        <f>IFERROR(VLOOKUP($B14,'Stock Guide'!$B:$W,14,0),"")</f>
        <v>0.99342629006675143</v>
      </c>
      <c r="K14" s="116">
        <f t="shared" si="3"/>
        <v>1.0708931248661385E-2</v>
      </c>
      <c r="L14" s="116">
        <f>IFERROR(VLOOKUP($B14,'Stock Guide'!$B:$W,16,0),"")</f>
        <v>0.12850717498</v>
      </c>
      <c r="M14" s="116">
        <f t="shared" si="4"/>
        <v>0.1285071749839366</v>
      </c>
      <c r="N14" s="169">
        <f>IFERROR(VLOOKUP($B14,'Stock Guide'!$B:$W,19,0),"")</f>
        <v>1</v>
      </c>
      <c r="O14" s="167">
        <f t="shared" si="5"/>
        <v>856</v>
      </c>
      <c r="P14" s="116">
        <f>IFERROR(VLOOKUP($B14,'Stock Guide'!$B:$W,20,0),"")</f>
        <v>-4.2546667318999996E-3</v>
      </c>
      <c r="Q14" s="116">
        <f>IFERROR(VLOOKUP($B14,'Stock Guide'!$B:$W,21,0),"")</f>
        <v>0.11080271396999999</v>
      </c>
      <c r="R14" s="116">
        <f>IFERROR(VLOOKUP($B14,'Stock Guide'!$B:$W,22,0),"")</f>
        <v>0.26147021172000001</v>
      </c>
    </row>
    <row r="15" spans="2:18" s="26" customFormat="1" ht="18.75" customHeight="1" x14ac:dyDescent="0.25">
      <c r="B15" s="178" t="s">
        <v>34</v>
      </c>
      <c r="C15" s="177">
        <v>4.4999999999999998E-2</v>
      </c>
      <c r="D15" s="115">
        <f t="shared" si="1"/>
        <v>45000</v>
      </c>
      <c r="E15" s="165">
        <f t="shared" si="2"/>
        <v>490</v>
      </c>
      <c r="F15" s="166" t="str">
        <f>IFERROR(VLOOKUP($B15,'Stock Guide'!$B:$W,3,0),"")</f>
        <v>Vinci Logística FII</v>
      </c>
      <c r="G15" s="166" t="str">
        <f>IFERROR(VLOOKUP($B15,'Stock Guide'!$B:$W,6,0),"")</f>
        <v>Galpão Logístico</v>
      </c>
      <c r="H15" s="167">
        <f>IFERROR(VLOOKUP($B15,'Stock Guide'!$B:$W,9,0),"")</f>
        <v>91.65</v>
      </c>
      <c r="I15" s="115">
        <f>IFERROR(VLOOKUP($B15,'Stock Guide'!$B:$W,8,0)/1000,"")</f>
        <v>2575.8593253999998</v>
      </c>
      <c r="J15" s="168">
        <f>IFERROR(VLOOKUP($B15,'Stock Guide'!$B:$W,14,0),"")</f>
        <v>0.83834886139434162</v>
      </c>
      <c r="K15" s="116">
        <f t="shared" si="3"/>
        <v>8.9470812875068178E-3</v>
      </c>
      <c r="L15" s="116">
        <f>IFERROR(VLOOKUP($B15,'Stock Guide'!$B:$W,16,0),"")</f>
        <v>0.10190943808</v>
      </c>
      <c r="M15" s="116">
        <f t="shared" si="4"/>
        <v>0.10736497545008181</v>
      </c>
      <c r="N15" s="169">
        <f>IFERROR(VLOOKUP($B15,'Stock Guide'!$B:$W,19,0),"")</f>
        <v>0.82</v>
      </c>
      <c r="O15" s="167">
        <f t="shared" si="5"/>
        <v>401.79999999999995</v>
      </c>
      <c r="P15" s="116">
        <f>IFERROR(VLOOKUP($B15,'Stock Guide'!$B:$W,20,0),"")</f>
        <v>5.8165057070999997E-3</v>
      </c>
      <c r="Q15" s="116">
        <f>IFERROR(VLOOKUP($B15,'Stock Guide'!$B:$W,21,0),"")</f>
        <v>-1.6190667618999999E-2</v>
      </c>
      <c r="R15" s="116">
        <f>IFERROR(VLOOKUP($B15,'Stock Guide'!$B:$W,22,0),"")</f>
        <v>0.25374251109000001</v>
      </c>
    </row>
    <row r="16" spans="2:18" s="26" customFormat="1" ht="18.75" customHeight="1" x14ac:dyDescent="0.25">
      <c r="B16" s="178" t="s">
        <v>23</v>
      </c>
      <c r="C16" s="177">
        <v>4.4999999999999998E-2</v>
      </c>
      <c r="D16" s="115">
        <f t="shared" si="1"/>
        <v>45000</v>
      </c>
      <c r="E16" s="165">
        <f t="shared" si="2"/>
        <v>402</v>
      </c>
      <c r="F16" s="166" t="str">
        <f>IFERROR(VLOOKUP($B16,'Stock Guide'!$B:$W,3,0),"")</f>
        <v>Bresco Logística FII</v>
      </c>
      <c r="G16" s="166" t="str">
        <f>IFERROR(VLOOKUP($B16,'Stock Guide'!$B:$W,6,0),"")</f>
        <v>Galpão Logístico</v>
      </c>
      <c r="H16" s="167">
        <f>IFERROR(VLOOKUP($B16,'Stock Guide'!$B:$W,9,0),"")</f>
        <v>111.84</v>
      </c>
      <c r="I16" s="115">
        <f>IFERROR(VLOOKUP($B16,'Stock Guide'!$B:$W,8,0)/1000,"")</f>
        <v>5135.9863602999994</v>
      </c>
      <c r="J16" s="168">
        <f>IFERROR(VLOOKUP($B16,'Stock Guide'!$B:$W,14,0),"")</f>
        <v>0.97361058371226783</v>
      </c>
      <c r="K16" s="116">
        <f t="shared" si="3"/>
        <v>8.1366237482117312E-3</v>
      </c>
      <c r="L16" s="116">
        <f>IFERROR(VLOOKUP($B16,'Stock Guide'!$B:$W,16,0),"")</f>
        <v>9.7639484977999999E-2</v>
      </c>
      <c r="M16" s="116">
        <f t="shared" si="4"/>
        <v>9.7639484978540775E-2</v>
      </c>
      <c r="N16" s="169">
        <f>IFERROR(VLOOKUP($B16,'Stock Guide'!$B:$W,19,0),"")</f>
        <v>0.91</v>
      </c>
      <c r="O16" s="167">
        <f t="shared" si="5"/>
        <v>365.82</v>
      </c>
      <c r="P16" s="116">
        <f>IFERROR(VLOOKUP($B16,'Stock Guide'!$B:$W,20,0),"")</f>
        <v>-1.9291476674999999E-2</v>
      </c>
      <c r="Q16" s="116">
        <f>IFERROR(VLOOKUP($B16,'Stock Guide'!$B:$W,21,0),"")</f>
        <v>1.0814625611E-2</v>
      </c>
      <c r="R16" s="116">
        <f>IFERROR(VLOOKUP($B16,'Stock Guide'!$B:$W,22,0),"")</f>
        <v>0.12894550842999999</v>
      </c>
    </row>
    <row r="17" spans="2:18" s="26" customFormat="1" ht="18.75" customHeight="1" x14ac:dyDescent="0.25">
      <c r="B17" s="178" t="s">
        <v>24</v>
      </c>
      <c r="C17" s="177">
        <v>0.13</v>
      </c>
      <c r="D17" s="115">
        <f t="shared" si="1"/>
        <v>130000</v>
      </c>
      <c r="E17" s="165">
        <f t="shared" si="2"/>
        <v>1321</v>
      </c>
      <c r="F17" s="166" t="str">
        <f>IFERROR(VLOOKUP($B17,'Stock Guide'!$B:$W,3,0),"")</f>
        <v>BTG Pactual Logística FII</v>
      </c>
      <c r="G17" s="166" t="str">
        <f>IFERROR(VLOOKUP($B17,'Stock Guide'!$B:$W,6,0),"")</f>
        <v>Galpão Logístico</v>
      </c>
      <c r="H17" s="167">
        <f>IFERROR(VLOOKUP($B17,'Stock Guide'!$B:$W,9,0),"")</f>
        <v>98.37</v>
      </c>
      <c r="I17" s="115">
        <f>IFERROR(VLOOKUP($B17,'Stock Guide'!$B:$W,8,0)/1000,"")</f>
        <v>12468.437922000001</v>
      </c>
      <c r="J17" s="168">
        <f>IFERROR(VLOOKUP($B17,'Stock Guide'!$B:$W,14,0),"")</f>
        <v>0.92052045130163107</v>
      </c>
      <c r="K17" s="116">
        <f t="shared" si="3"/>
        <v>8.2342177493138161E-3</v>
      </c>
      <c r="L17" s="116">
        <f>IFERROR(VLOOKUP($B17,'Stock Guide'!$B:$W,16,0),"")</f>
        <v>9.7590728880999997E-2</v>
      </c>
      <c r="M17" s="116">
        <f t="shared" si="4"/>
        <v>9.88106129917658E-2</v>
      </c>
      <c r="N17" s="169">
        <f>IFERROR(VLOOKUP($B17,'Stock Guide'!$B:$W,19,0),"")</f>
        <v>0.81</v>
      </c>
      <c r="O17" s="167">
        <f t="shared" si="5"/>
        <v>1070.01</v>
      </c>
      <c r="P17" s="116">
        <f>IFERROR(VLOOKUP($B17,'Stock Guide'!$B:$W,20,0),"")</f>
        <v>-1.6233044410000001E-2</v>
      </c>
      <c r="Q17" s="116">
        <f>IFERROR(VLOOKUP($B17,'Stock Guide'!$B:$W,21,0),"")</f>
        <v>2.2844674291000001E-2</v>
      </c>
      <c r="R17" s="116">
        <f>IFERROR(VLOOKUP($B17,'Stock Guide'!$B:$W,22,0),"")</f>
        <v>9.3649124868999997E-2</v>
      </c>
    </row>
    <row r="18" spans="2:18" s="26" customFormat="1" ht="18.75" customHeight="1" x14ac:dyDescent="0.25">
      <c r="B18" s="178" t="s">
        <v>22</v>
      </c>
      <c r="C18" s="177">
        <v>4.4999999999999998E-2</v>
      </c>
      <c r="D18" s="115">
        <f t="shared" si="1"/>
        <v>45000</v>
      </c>
      <c r="E18" s="165">
        <f t="shared" si="2"/>
        <v>1148</v>
      </c>
      <c r="F18" s="166" t="str">
        <f>IFERROR(VLOOKUP($B18,'Stock Guide'!$B:$W,3,0),"")</f>
        <v>BTG Pactual Corporate Offices FII</v>
      </c>
      <c r="G18" s="166" t="str">
        <f>IFERROR(VLOOKUP($B18,'Stock Guide'!$B:$W,6,0),"")</f>
        <v>Laje Corporativa</v>
      </c>
      <c r="H18" s="167">
        <f>IFERROR(VLOOKUP($B18,'Stock Guide'!$B:$W,9,0),"")</f>
        <v>39.19</v>
      </c>
      <c r="I18" s="115">
        <f>IFERROR(VLOOKUP($B18,'Stock Guide'!$B:$W,8,0)/1000,"")</f>
        <v>1254.8978038</v>
      </c>
      <c r="J18" s="168">
        <f>IFERROR(VLOOKUP($B18,'Stock Guide'!$B:$W,14,0),"")</f>
        <v>0.48377810701772034</v>
      </c>
      <c r="K18" s="116">
        <f t="shared" si="3"/>
        <v>1.0461852513396274E-2</v>
      </c>
      <c r="L18" s="116">
        <f>IFERROR(VLOOKUP($B18,'Stock Guide'!$B:$W,16,0),"")</f>
        <v>0.12554223015999999</v>
      </c>
      <c r="M18" s="116">
        <f t="shared" si="4"/>
        <v>0.12554223016075527</v>
      </c>
      <c r="N18" s="169">
        <f>IFERROR(VLOOKUP($B18,'Stock Guide'!$B:$W,19,0),"")</f>
        <v>0.41</v>
      </c>
      <c r="O18" s="167">
        <f t="shared" si="5"/>
        <v>470.67999999999995</v>
      </c>
      <c r="P18" s="116">
        <f>IFERROR(VLOOKUP($B18,'Stock Guide'!$B:$W,20,0),"")</f>
        <v>-1.8103262876999999E-2</v>
      </c>
      <c r="Q18" s="116">
        <f>IFERROR(VLOOKUP($B18,'Stock Guide'!$B:$W,21,0),"")</f>
        <v>-8.2991444748000007E-2</v>
      </c>
      <c r="R18" s="116">
        <f>IFERROR(VLOOKUP($B18,'Stock Guide'!$B:$W,22,0),"")</f>
        <v>8.4784476302999998E-2</v>
      </c>
    </row>
    <row r="19" spans="2:18" s="26" customFormat="1" ht="18.75" customHeight="1" x14ac:dyDescent="0.25">
      <c r="B19" s="178" t="s">
        <v>94</v>
      </c>
      <c r="C19" s="177">
        <v>0.05</v>
      </c>
      <c r="D19" s="115">
        <f t="shared" si="1"/>
        <v>50000</v>
      </c>
      <c r="E19" s="165">
        <f t="shared" si="2"/>
        <v>750</v>
      </c>
      <c r="F19" s="166" t="str">
        <f>IFERROR(VLOOKUP($B19,'Stock Guide'!$B:$W,3,0),"")</f>
        <v>VBI Prime Properties</v>
      </c>
      <c r="G19" s="166" t="str">
        <f>IFERROR(VLOOKUP($B19,'Stock Guide'!$B:$W,6,0),"")</f>
        <v>Laje Corporativa</v>
      </c>
      <c r="H19" s="167">
        <f>IFERROR(VLOOKUP($B19,'Stock Guide'!$B:$W,9,0),"")</f>
        <v>66.66</v>
      </c>
      <c r="I19" s="115">
        <f>IFERROR(VLOOKUP($B19,'Stock Guide'!$B:$W,8,0)/1000,"")</f>
        <v>3815.4921964999999</v>
      </c>
      <c r="J19" s="168">
        <f>IFERROR(VLOOKUP($B19,'Stock Guide'!$B:$W,14,0),"")</f>
        <v>0.63782682413865333</v>
      </c>
      <c r="K19" s="116">
        <f t="shared" si="3"/>
        <v>6.0006000600060011E-3</v>
      </c>
      <c r="L19" s="116">
        <f>IFERROR(VLOOKUP($B19,'Stock Guide'!$B:$W,16,0),"")</f>
        <v>7.7257725772999997E-2</v>
      </c>
      <c r="M19" s="116">
        <f t="shared" si="4"/>
        <v>7.2007200720072009E-2</v>
      </c>
      <c r="N19" s="169">
        <f>IFERROR(VLOOKUP($B19,'Stock Guide'!$B:$W,19,0),"")</f>
        <v>0.4</v>
      </c>
      <c r="O19" s="167">
        <f t="shared" si="5"/>
        <v>300</v>
      </c>
      <c r="P19" s="116">
        <f>IFERROR(VLOOKUP($B19,'Stock Guide'!$B:$W,20,0),"")</f>
        <v>-3.8372763992E-2</v>
      </c>
      <c r="Q19" s="116">
        <f>IFERROR(VLOOKUP($B19,'Stock Guide'!$B:$W,21,0),"")</f>
        <v>-0.15062473000000001</v>
      </c>
      <c r="R19" s="116">
        <f>IFERROR(VLOOKUP($B19,'Stock Guide'!$B:$W,22,0),"")</f>
        <v>-4.2919194649E-2</v>
      </c>
    </row>
    <row r="20" spans="2:18" s="26" customFormat="1" ht="18.75" customHeight="1" x14ac:dyDescent="0.25">
      <c r="B20" s="178" t="s">
        <v>27</v>
      </c>
      <c r="C20" s="177">
        <v>0.03</v>
      </c>
      <c r="D20" s="115">
        <f t="shared" si="1"/>
        <v>30000</v>
      </c>
      <c r="E20" s="165">
        <f t="shared" si="2"/>
        <v>1612</v>
      </c>
      <c r="F20" s="166" t="str">
        <f>IFERROR(VLOOKUP($B20,'Stock Guide'!$B:$W,3,0),"")</f>
        <v>Hedge Brasil Shopping FII</v>
      </c>
      <c r="G20" s="166" t="str">
        <f>IFERROR(VLOOKUP($B20,'Stock Guide'!$B:$W,6,0),"")</f>
        <v>Shopping Center</v>
      </c>
      <c r="H20" s="167">
        <f>IFERROR(VLOOKUP($B20,'Stock Guide'!$B:$W,9,0),"")</f>
        <v>18.600000000000001</v>
      </c>
      <c r="I20" s="115">
        <f>IFERROR(VLOOKUP($B20,'Stock Guide'!$B:$W,8,0)/1000,"")</f>
        <v>4435.5008686000001</v>
      </c>
      <c r="J20" s="168">
        <f>IFERROR(VLOOKUP($B20,'Stock Guide'!$B:$W,14,0),"")</f>
        <v>0.91869993448196707</v>
      </c>
      <c r="K20" s="116">
        <f t="shared" si="3"/>
        <v>9.1397849462365593E-3</v>
      </c>
      <c r="L20" s="116">
        <f>IFERROR(VLOOKUP($B20,'Stock Guide'!$B:$W,16,0),"")</f>
        <v>0.10376344086</v>
      </c>
      <c r="M20" s="116">
        <f t="shared" si="4"/>
        <v>0.10967741935483871</v>
      </c>
      <c r="N20" s="169">
        <f>IFERROR(VLOOKUP($B20,'Stock Guide'!$B:$W,19,0),"")</f>
        <v>0.17</v>
      </c>
      <c r="O20" s="167">
        <f t="shared" si="5"/>
        <v>274.04000000000002</v>
      </c>
      <c r="P20" s="116">
        <f>IFERROR(VLOOKUP($B20,'Stock Guide'!$B:$W,20,0),"")</f>
        <v>-1.9504480761E-2</v>
      </c>
      <c r="Q20" s="116">
        <f>IFERROR(VLOOKUP($B20,'Stock Guide'!$B:$W,21,0),"")</f>
        <v>-5.9386744851999997E-3</v>
      </c>
      <c r="R20" s="116">
        <f>IFERROR(VLOOKUP($B20,'Stock Guide'!$B:$W,22,0),"")</f>
        <v>8.8335596847E-2</v>
      </c>
    </row>
    <row r="21" spans="2:18" s="26" customFormat="1" ht="18.75" customHeight="1" x14ac:dyDescent="0.25">
      <c r="B21" s="178" t="s">
        <v>182</v>
      </c>
      <c r="C21" s="177">
        <v>2.5000000000000001E-2</v>
      </c>
      <c r="D21" s="115">
        <f t="shared" si="1"/>
        <v>25000</v>
      </c>
      <c r="E21" s="165">
        <f t="shared" si="2"/>
        <v>675</v>
      </c>
      <c r="F21" s="166" t="str">
        <f>IFERROR(VLOOKUP($B21,'Stock Guide'!$B:$W,3,0),"")</f>
        <v>Gazit Malls FII</v>
      </c>
      <c r="G21" s="166" t="str">
        <f>IFERROR(VLOOKUP($B21,'Stock Guide'!$B:$W,6,0),"")</f>
        <v>Shopping Center</v>
      </c>
      <c r="H21" s="167">
        <f>IFERROR(VLOOKUP($B21,'Stock Guide'!$B:$W,9,0),"")</f>
        <v>37.03</v>
      </c>
      <c r="I21" s="115">
        <f>IFERROR(VLOOKUP($B21,'Stock Guide'!$B:$W,8,0)/1000,"")</f>
        <v>408.06676753999994</v>
      </c>
      <c r="J21" s="168">
        <f>IFERROR(VLOOKUP($B21,'Stock Guide'!$B:$W,14,0),"")</f>
        <v>0.42614957060185815</v>
      </c>
      <c r="K21" s="116">
        <f t="shared" si="3"/>
        <v>1.1342155009451795E-2</v>
      </c>
      <c r="L21" s="116">
        <f>IFERROR(VLOOKUP($B21,'Stock Guide'!$B:$W,16,0),"")</f>
        <v>0.19443694302</v>
      </c>
      <c r="M21" s="116">
        <f t="shared" si="4"/>
        <v>0.13610586011342155</v>
      </c>
      <c r="N21" s="169">
        <f>IFERROR(VLOOKUP($B21,'Stock Guide'!$B:$W,19,0),"")</f>
        <v>0.42</v>
      </c>
      <c r="O21" s="167">
        <f t="shared" si="5"/>
        <v>283.5</v>
      </c>
      <c r="P21" s="116">
        <f>IFERROR(VLOOKUP($B21,'Stock Guide'!$B:$W,20,0),"")</f>
        <v>-8.6581154413999994E-2</v>
      </c>
      <c r="Q21" s="116">
        <f>IFERROR(VLOOKUP($B21,'Stock Guide'!$B:$W,21,0),"")</f>
        <v>-0.14218842612999999</v>
      </c>
      <c r="R21" s="116">
        <f>IFERROR(VLOOKUP($B21,'Stock Guide'!$B:$W,22,0),"")</f>
        <v>-2.0717713223000001E-3</v>
      </c>
    </row>
    <row r="22" spans="2:18" s="26" customFormat="1" ht="18.75" customHeight="1" x14ac:dyDescent="0.25">
      <c r="B22" s="178" t="s">
        <v>250</v>
      </c>
      <c r="C22" s="177">
        <v>0.02</v>
      </c>
      <c r="D22" s="115">
        <f t="shared" si="1"/>
        <v>20000</v>
      </c>
      <c r="E22" s="165">
        <f t="shared" si="2"/>
        <v>239</v>
      </c>
      <c r="F22" s="166" t="str">
        <f>IFERROR(VLOOKUP($B22,'Stock Guide'!$B:$W,3,0),"")</f>
        <v>HSI Malls FII</v>
      </c>
      <c r="G22" s="166" t="str">
        <f>IFERROR(VLOOKUP($B22,'Stock Guide'!$B:$W,6,0),"")</f>
        <v>Shopping Center</v>
      </c>
      <c r="H22" s="167">
        <f>IFERROR(VLOOKUP($B22,'Stock Guide'!$B:$W,9,0),"")</f>
        <v>83.52</v>
      </c>
      <c r="I22" s="115">
        <f>IFERROR(VLOOKUP($B22,'Stock Guide'!$B:$W,8,0)/1000,"")</f>
        <v>4261.6109919</v>
      </c>
      <c r="J22" s="168">
        <f>IFERROR(VLOOKUP($B22,'Stock Guide'!$B:$W,14,0),"")</f>
        <v>0.83794418617935607</v>
      </c>
      <c r="K22" s="116">
        <f t="shared" si="3"/>
        <v>8.9798850574712655E-3</v>
      </c>
      <c r="L22" s="116">
        <f>IFERROR(VLOOKUP($B22,'Stock Guide'!$B:$W,16,0),"")</f>
        <v>0.10189176245000001</v>
      </c>
      <c r="M22" s="116">
        <f t="shared" si="4"/>
        <v>0.10775862068965519</v>
      </c>
      <c r="N22" s="169">
        <f>IFERROR(VLOOKUP($B22,'Stock Guide'!$B:$W,19,0),"")</f>
        <v>0.75</v>
      </c>
      <c r="O22" s="167">
        <f t="shared" si="5"/>
        <v>179.25</v>
      </c>
      <c r="P22" s="116">
        <f>IFERROR(VLOOKUP($B22,'Stock Guide'!$B:$W,20,0),"")</f>
        <v>-3.4785623483000003E-2</v>
      </c>
      <c r="Q22" s="116">
        <f>IFERROR(VLOOKUP($B22,'Stock Guide'!$B:$W,21,0),"")</f>
        <v>-3.8807953702999998E-2</v>
      </c>
      <c r="R22" s="116">
        <f>IFERROR(VLOOKUP($B22,'Stock Guide'!$B:$W,22,0),"")</f>
        <v>0.14833052346</v>
      </c>
    </row>
    <row r="23" spans="2:18" s="26" customFormat="1" ht="18.75" customHeight="1" x14ac:dyDescent="0.25">
      <c r="B23" s="178" t="s">
        <v>720</v>
      </c>
      <c r="C23" s="177">
        <v>0.02</v>
      </c>
      <c r="D23" s="115">
        <f t="shared" si="1"/>
        <v>20000</v>
      </c>
      <c r="E23" s="165">
        <f t="shared" si="2"/>
        <v>196</v>
      </c>
      <c r="F23" s="166" t="str">
        <f>IFERROR(VLOOKUP($B23,'Stock Guide'!$B:$W,3,0),"")</f>
        <v>Vinci Shopping Centers FII</v>
      </c>
      <c r="G23" s="166" t="str">
        <f>IFERROR(VLOOKUP($B23,'Stock Guide'!$B:$W,6,0),"")</f>
        <v>Shopping Center</v>
      </c>
      <c r="H23" s="167">
        <f>IFERROR(VLOOKUP($B23,'Stock Guide'!$B:$W,9,0),"")</f>
        <v>101.7</v>
      </c>
      <c r="I23" s="115">
        <f>IFERROR(VLOOKUP($B23,'Stock Guide'!$B:$W,8,0)/1000,"")</f>
        <v>6047.3139791000003</v>
      </c>
      <c r="J23" s="168">
        <f>IFERROR(VLOOKUP($B23,'Stock Guide'!$B:$W,14,0),"")</f>
        <v>0.88098643706618218</v>
      </c>
      <c r="K23" s="116">
        <f t="shared" si="3"/>
        <v>8.2595870206489674E-3</v>
      </c>
      <c r="L23" s="116">
        <f>IFERROR(VLOOKUP($B23,'Stock Guide'!$B:$W,16,0),"")</f>
        <v>9.7640117994000006E-2</v>
      </c>
      <c r="M23" s="116">
        <f t="shared" si="4"/>
        <v>9.9115044247787609E-2</v>
      </c>
      <c r="N23" s="169">
        <f>IFERROR(VLOOKUP($B23,'Stock Guide'!$B:$W,19,0),"")</f>
        <v>0.84</v>
      </c>
      <c r="O23" s="167">
        <f t="shared" si="5"/>
        <v>164.64</v>
      </c>
      <c r="P23" s="116">
        <f>IFERROR(VLOOKUP($B23,'Stock Guide'!$B:$W,20,0),"")</f>
        <v>-2.2585295530999999E-2</v>
      </c>
      <c r="Q23" s="116">
        <f>IFERROR(VLOOKUP($B23,'Stock Guide'!$B:$W,21,0),"")</f>
        <v>-7.7786218062000003E-3</v>
      </c>
      <c r="R23" s="116">
        <f>IFERROR(VLOOKUP($B23,'Stock Guide'!$B:$W,22,0),"")</f>
        <v>8.3744613048000002E-2</v>
      </c>
    </row>
    <row r="24" spans="2:18" s="26" customFormat="1" ht="18.75" customHeight="1" x14ac:dyDescent="0.25">
      <c r="B24" s="178" t="s">
        <v>164</v>
      </c>
      <c r="C24" s="177">
        <v>7.0000000000000007E-2</v>
      </c>
      <c r="D24" s="115">
        <f t="shared" si="1"/>
        <v>70000</v>
      </c>
      <c r="E24" s="165">
        <f t="shared" si="2"/>
        <v>974</v>
      </c>
      <c r="F24" s="166" t="str">
        <f>IFERROR(VLOOKUP($B24,'Stock Guide'!$B:$W,3,0),"")</f>
        <v>TRX Real Estate FII</v>
      </c>
      <c r="G24" s="166" t="str">
        <f>IFERROR(VLOOKUP($B24,'Stock Guide'!$B:$W,6,0),"")</f>
        <v>Renda Urbana</v>
      </c>
      <c r="H24" s="167">
        <f>IFERROR(VLOOKUP($B24,'Stock Guide'!$B:$W,9,0),"")</f>
        <v>71.8</v>
      </c>
      <c r="I24" s="115">
        <f>IFERROR(VLOOKUP($B24,'Stock Guide'!$B:$W,8,0)/1000,"")</f>
        <v>23831.970943</v>
      </c>
      <c r="J24" s="168">
        <f>IFERROR(VLOOKUP($B24,'Stock Guide'!$B:$W,14,0),"")</f>
        <v>0.73970400570666728</v>
      </c>
      <c r="K24" s="116">
        <f t="shared" si="3"/>
        <v>1.2952646239554319E-2</v>
      </c>
      <c r="L24" s="116">
        <f>IFERROR(VLOOKUP($B24,'Stock Guide'!$B:$W,16,0),"")</f>
        <v>0.16434540389999999</v>
      </c>
      <c r="M24" s="116">
        <f t="shared" si="4"/>
        <v>0.15543175487465183</v>
      </c>
      <c r="N24" s="169">
        <f>IFERROR(VLOOKUP($B24,'Stock Guide'!$B:$W,19,0),"")</f>
        <v>0.93</v>
      </c>
      <c r="O24" s="167">
        <f t="shared" si="5"/>
        <v>905.82</v>
      </c>
      <c r="P24" s="116">
        <f>IFERROR(VLOOKUP($B24,'Stock Guide'!$B:$W,20,0),"")</f>
        <v>-0.20372629478000001</v>
      </c>
      <c r="Q24" s="116">
        <f>IFERROR(VLOOKUP($B24,'Stock Guide'!$B:$W,21,0),"")</f>
        <v>-0.20018374333</v>
      </c>
      <c r="R24" s="116">
        <f>IFERROR(VLOOKUP($B24,'Stock Guide'!$B:$W,22,0),"")</f>
        <v>-0.1619183609</v>
      </c>
    </row>
    <row r="25" spans="2:18" s="26" customFormat="1" ht="18.75" customHeight="1" x14ac:dyDescent="0.25">
      <c r="B25" s="178"/>
      <c r="C25" s="177"/>
      <c r="D25" s="115" t="str">
        <f t="shared" si="1"/>
        <v/>
      </c>
      <c r="E25" s="165" t="str">
        <f t="shared" si="2"/>
        <v/>
      </c>
      <c r="F25" s="166" t="str">
        <f>IFERROR(VLOOKUP($B25,'Stock Guide'!$B:$W,3,0),"")</f>
        <v/>
      </c>
      <c r="G25" s="166" t="str">
        <f>IFERROR(VLOOKUP($B25,'Stock Guide'!$B:$W,6,0),"")</f>
        <v/>
      </c>
      <c r="H25" s="167" t="str">
        <f>IFERROR(VLOOKUP($B25,'Stock Guide'!$B:$W,9,0),"")</f>
        <v/>
      </c>
      <c r="I25" s="115" t="str">
        <f>IFERROR(VLOOKUP($B25,'Stock Guide'!$B:$W,8,0)/1000,"")</f>
        <v/>
      </c>
      <c r="J25" s="168" t="str">
        <f>IFERROR(VLOOKUP($B25,'Stock Guide'!$B:$W,14,0),"")</f>
        <v/>
      </c>
      <c r="K25" s="116" t="str">
        <f t="shared" si="3"/>
        <v/>
      </c>
      <c r="L25" s="116" t="str">
        <f>IFERROR(VLOOKUP($B25,'Stock Guide'!$B:$W,16,0),"")</f>
        <v/>
      </c>
      <c r="M25" s="116" t="str">
        <f t="shared" si="4"/>
        <v/>
      </c>
      <c r="N25" s="169" t="str">
        <f>IFERROR(VLOOKUP($B25,'Stock Guide'!$B:$W,19,0),"")</f>
        <v/>
      </c>
      <c r="O25" s="167" t="str">
        <f t="shared" si="5"/>
        <v/>
      </c>
      <c r="P25" s="116" t="str">
        <f>IFERROR(VLOOKUP($B25,'Stock Guide'!$B:$W,20,0),"")</f>
        <v/>
      </c>
      <c r="Q25" s="116" t="str">
        <f>IFERROR(VLOOKUP($B25,'Stock Guide'!$B:$W,21,0),"")</f>
        <v/>
      </c>
      <c r="R25" s="116" t="str">
        <f>IFERROR(VLOOKUP($B25,'Stock Guide'!$B:$W,22,0),"")</f>
        <v/>
      </c>
    </row>
    <row r="26" spans="2:18" s="26" customFormat="1" ht="18.75" customHeight="1" x14ac:dyDescent="0.25">
      <c r="B26" s="178"/>
      <c r="C26" s="177"/>
      <c r="D26" s="115" t="str">
        <f t="shared" si="0"/>
        <v/>
      </c>
      <c r="E26" s="165" t="str">
        <f t="shared" ref="E26:E33" si="6">IFERROR(ROUNDDOWN(D26/H26,0),"")</f>
        <v/>
      </c>
      <c r="F26" s="166" t="str">
        <f>IFERROR(VLOOKUP($B26,'Stock Guide'!$B:$W,3,0),"")</f>
        <v/>
      </c>
      <c r="G26" s="166" t="str">
        <f>IFERROR(VLOOKUP($B26,'Stock Guide'!$B:$W,6,0),"")</f>
        <v/>
      </c>
      <c r="H26" s="167" t="str">
        <f>IFERROR(VLOOKUP($B26,'Stock Guide'!$B:$W,9,0),"")</f>
        <v/>
      </c>
      <c r="I26" s="115" t="str">
        <f>IFERROR(VLOOKUP($B26,'Stock Guide'!$B:$W,8,0)/1000,"")</f>
        <v/>
      </c>
      <c r="J26" s="168" t="str">
        <f>IFERROR(VLOOKUP($B26,'Stock Guide'!$B:$W,14,0),"")</f>
        <v/>
      </c>
      <c r="K26" s="116" t="str">
        <f t="shared" ref="K26:K33" si="7">IFERROR(N26/H26,"")</f>
        <v/>
      </c>
      <c r="L26" s="116" t="str">
        <f>IFERROR(VLOOKUP($B26,'Stock Guide'!$B:$W,16,0),"")</f>
        <v/>
      </c>
      <c r="M26" s="116" t="str">
        <f t="shared" ref="M26:M33" si="8">IFERROR((N26/H26)*12,"")</f>
        <v/>
      </c>
      <c r="N26" s="169" t="str">
        <f>IFERROR(VLOOKUP($B26,'Stock Guide'!$B:$W,19,0),"")</f>
        <v/>
      </c>
      <c r="O26" s="167" t="str">
        <f t="shared" si="5"/>
        <v/>
      </c>
      <c r="P26" s="116" t="str">
        <f>IFERROR(VLOOKUP($B26,'Stock Guide'!$B:$W,20,0),"")</f>
        <v/>
      </c>
      <c r="Q26" s="116" t="str">
        <f>IFERROR(VLOOKUP($B26,'Stock Guide'!$B:$W,21,0),"")</f>
        <v/>
      </c>
      <c r="R26" s="116" t="str">
        <f>IFERROR(VLOOKUP($B26,'Stock Guide'!$B:$W,22,0),"")</f>
        <v/>
      </c>
    </row>
    <row r="27" spans="2:18" s="26" customFormat="1" ht="18.75" customHeight="1" x14ac:dyDescent="0.25">
      <c r="B27" s="178"/>
      <c r="C27" s="177"/>
      <c r="D27" s="115" t="str">
        <f t="shared" si="0"/>
        <v/>
      </c>
      <c r="E27" s="165" t="str">
        <f t="shared" si="6"/>
        <v/>
      </c>
      <c r="F27" s="166" t="str">
        <f>IFERROR(VLOOKUP($B27,'Stock Guide'!$B:$W,3,0),"")</f>
        <v/>
      </c>
      <c r="G27" s="166" t="str">
        <f>IFERROR(VLOOKUP($B27,'Stock Guide'!$B:$W,6,0),"")</f>
        <v/>
      </c>
      <c r="H27" s="167" t="str">
        <f>IFERROR(VLOOKUP($B27,'Stock Guide'!$B:$W,9,0),"")</f>
        <v/>
      </c>
      <c r="I27" s="115" t="str">
        <f>IFERROR(VLOOKUP($B27,'Stock Guide'!$B:$W,8,0)/1000,"")</f>
        <v/>
      </c>
      <c r="J27" s="168" t="str">
        <f>IFERROR(VLOOKUP($B27,'Stock Guide'!$B:$W,14,0),"")</f>
        <v/>
      </c>
      <c r="K27" s="116" t="str">
        <f t="shared" si="7"/>
        <v/>
      </c>
      <c r="L27" s="116" t="str">
        <f>IFERROR(VLOOKUP($B27,'Stock Guide'!$B:$W,16,0),"")</f>
        <v/>
      </c>
      <c r="M27" s="116" t="str">
        <f t="shared" si="8"/>
        <v/>
      </c>
      <c r="N27" s="169" t="str">
        <f>IFERROR(VLOOKUP($B27,'Stock Guide'!$B:$W,19,0),"")</f>
        <v/>
      </c>
      <c r="O27" s="167" t="str">
        <f t="shared" si="5"/>
        <v/>
      </c>
      <c r="P27" s="116" t="str">
        <f>IFERROR(VLOOKUP($B27,'Stock Guide'!$B:$W,20,0),"")</f>
        <v/>
      </c>
      <c r="Q27" s="116" t="str">
        <f>IFERROR(VLOOKUP($B27,'Stock Guide'!$B:$W,21,0),"")</f>
        <v/>
      </c>
      <c r="R27" s="116" t="str">
        <f>IFERROR(VLOOKUP($B27,'Stock Guide'!$B:$W,22,0),"")</f>
        <v/>
      </c>
    </row>
    <row r="28" spans="2:18" s="26" customFormat="1" ht="18.75" customHeight="1" x14ac:dyDescent="0.25">
      <c r="B28" s="178"/>
      <c r="C28" s="177"/>
      <c r="D28" s="115" t="str">
        <f t="shared" si="0"/>
        <v/>
      </c>
      <c r="E28" s="165" t="str">
        <f t="shared" si="6"/>
        <v/>
      </c>
      <c r="F28" s="166" t="str">
        <f>IFERROR(VLOOKUP($B28,'Stock Guide'!$B:$W,3,0),"")</f>
        <v/>
      </c>
      <c r="G28" s="166" t="str">
        <f>IFERROR(VLOOKUP($B28,'Stock Guide'!$B:$W,6,0),"")</f>
        <v/>
      </c>
      <c r="H28" s="167" t="str">
        <f>IFERROR(VLOOKUP($B28,'Stock Guide'!$B:$W,9,0),"")</f>
        <v/>
      </c>
      <c r="I28" s="115" t="str">
        <f>IFERROR(VLOOKUP($B28,'Stock Guide'!$B:$W,8,0)/1000,"")</f>
        <v/>
      </c>
      <c r="J28" s="168" t="str">
        <f>IFERROR(VLOOKUP($B28,'Stock Guide'!$B:$W,14,0),"")</f>
        <v/>
      </c>
      <c r="K28" s="116" t="str">
        <f t="shared" si="7"/>
        <v/>
      </c>
      <c r="L28" s="116" t="str">
        <f>IFERROR(VLOOKUP($B28,'Stock Guide'!$B:$W,16,0),"")</f>
        <v/>
      </c>
      <c r="M28" s="116" t="str">
        <f t="shared" si="8"/>
        <v/>
      </c>
      <c r="N28" s="169" t="str">
        <f>IFERROR(VLOOKUP($B28,'Stock Guide'!$B:$W,19,0),"")</f>
        <v/>
      </c>
      <c r="O28" s="167" t="str">
        <f t="shared" si="5"/>
        <v/>
      </c>
      <c r="P28" s="116" t="str">
        <f>IFERROR(VLOOKUP($B28,'Stock Guide'!$B:$W,20,0),"")</f>
        <v/>
      </c>
      <c r="Q28" s="116" t="str">
        <f>IFERROR(VLOOKUP($B28,'Stock Guide'!$B:$W,21,0),"")</f>
        <v/>
      </c>
      <c r="R28" s="116" t="str">
        <f>IFERROR(VLOOKUP($B28,'Stock Guide'!$B:$W,22,0),"")</f>
        <v/>
      </c>
    </row>
    <row r="29" spans="2:18" s="26" customFormat="1" ht="18.75" customHeight="1" x14ac:dyDescent="0.25">
      <c r="B29" s="178"/>
      <c r="C29" s="177"/>
      <c r="D29" s="115" t="str">
        <f t="shared" si="0"/>
        <v/>
      </c>
      <c r="E29" s="165" t="str">
        <f t="shared" si="6"/>
        <v/>
      </c>
      <c r="F29" s="166" t="str">
        <f>IFERROR(VLOOKUP($B29,'Stock Guide'!$B:$W,3,0),"")</f>
        <v/>
      </c>
      <c r="G29" s="166" t="str">
        <f>IFERROR(VLOOKUP($B29,'Stock Guide'!$B:$W,6,0),"")</f>
        <v/>
      </c>
      <c r="H29" s="167" t="str">
        <f>IFERROR(VLOOKUP($B29,'Stock Guide'!$B:$W,9,0),"")</f>
        <v/>
      </c>
      <c r="I29" s="115" t="str">
        <f>IFERROR(VLOOKUP($B29,'Stock Guide'!$B:$W,8,0)/1000,"")</f>
        <v/>
      </c>
      <c r="J29" s="168" t="str">
        <f>IFERROR(VLOOKUP($B29,'Stock Guide'!$B:$W,14,0),"")</f>
        <v/>
      </c>
      <c r="K29" s="116" t="str">
        <f t="shared" si="7"/>
        <v/>
      </c>
      <c r="L29" s="116" t="str">
        <f>IFERROR(VLOOKUP($B29,'Stock Guide'!$B:$W,16,0),"")</f>
        <v/>
      </c>
      <c r="M29" s="116" t="str">
        <f t="shared" si="8"/>
        <v/>
      </c>
      <c r="N29" s="169" t="str">
        <f>IFERROR(VLOOKUP($B29,'Stock Guide'!$B:$W,19,0),"")</f>
        <v/>
      </c>
      <c r="O29" s="167" t="str">
        <f t="shared" si="5"/>
        <v/>
      </c>
      <c r="P29" s="116" t="str">
        <f>IFERROR(VLOOKUP($B29,'Stock Guide'!$B:$W,20,0),"")</f>
        <v/>
      </c>
      <c r="Q29" s="116" t="str">
        <f>IFERROR(VLOOKUP($B29,'Stock Guide'!$B:$W,21,0),"")</f>
        <v/>
      </c>
      <c r="R29" s="116" t="str">
        <f>IFERROR(VLOOKUP($B29,'Stock Guide'!$B:$W,22,0),"")</f>
        <v/>
      </c>
    </row>
    <row r="30" spans="2:18" s="26" customFormat="1" ht="18.75" customHeight="1" x14ac:dyDescent="0.25">
      <c r="B30" s="178"/>
      <c r="C30" s="177"/>
      <c r="D30" s="115" t="str">
        <f t="shared" si="0"/>
        <v/>
      </c>
      <c r="E30" s="165" t="str">
        <f t="shared" si="6"/>
        <v/>
      </c>
      <c r="F30" s="166" t="str">
        <f>IFERROR(VLOOKUP($B30,'Stock Guide'!$B:$W,3,0),"")</f>
        <v/>
      </c>
      <c r="G30" s="166" t="str">
        <f>IFERROR(VLOOKUP($B30,'Stock Guide'!$B:$W,6,0),"")</f>
        <v/>
      </c>
      <c r="H30" s="167" t="str">
        <f>IFERROR(VLOOKUP($B30,'Stock Guide'!$B:$W,9,0),"")</f>
        <v/>
      </c>
      <c r="I30" s="115" t="str">
        <f>IFERROR(VLOOKUP($B30,'Stock Guide'!$B:$W,8,0)/1000,"")</f>
        <v/>
      </c>
      <c r="J30" s="168" t="str">
        <f>IFERROR(VLOOKUP($B30,'Stock Guide'!$B:$W,14,0),"")</f>
        <v/>
      </c>
      <c r="K30" s="116" t="str">
        <f t="shared" si="7"/>
        <v/>
      </c>
      <c r="L30" s="116" t="str">
        <f>IFERROR(VLOOKUP($B30,'Stock Guide'!$B:$W,16,0),"")</f>
        <v/>
      </c>
      <c r="M30" s="116" t="str">
        <f t="shared" si="8"/>
        <v/>
      </c>
      <c r="N30" s="169" t="str">
        <f>IFERROR(VLOOKUP($B30,'Stock Guide'!$B:$W,19,0),"")</f>
        <v/>
      </c>
      <c r="O30" s="167" t="str">
        <f t="shared" si="5"/>
        <v/>
      </c>
      <c r="P30" s="116" t="str">
        <f>IFERROR(VLOOKUP($B30,'Stock Guide'!$B:$W,20,0),"")</f>
        <v/>
      </c>
      <c r="Q30" s="116" t="str">
        <f>IFERROR(VLOOKUP($B30,'Stock Guide'!$B:$W,21,0),"")</f>
        <v/>
      </c>
      <c r="R30" s="116" t="str">
        <f>IFERROR(VLOOKUP($B30,'Stock Guide'!$B:$W,22,0),"")</f>
        <v/>
      </c>
    </row>
    <row r="31" spans="2:18" s="26" customFormat="1" ht="18.75" customHeight="1" x14ac:dyDescent="0.25">
      <c r="B31" s="178"/>
      <c r="C31" s="177"/>
      <c r="D31" s="115" t="str">
        <f t="shared" si="0"/>
        <v/>
      </c>
      <c r="E31" s="165" t="str">
        <f t="shared" si="6"/>
        <v/>
      </c>
      <c r="F31" s="166" t="str">
        <f>IFERROR(VLOOKUP($B31,'Stock Guide'!$B:$W,3,0),"")</f>
        <v/>
      </c>
      <c r="G31" s="166" t="str">
        <f>IFERROR(VLOOKUP($B31,'Stock Guide'!$B:$W,6,0),"")</f>
        <v/>
      </c>
      <c r="H31" s="167" t="str">
        <f>IFERROR(VLOOKUP($B31,'Stock Guide'!$B:$W,9,0),"")</f>
        <v/>
      </c>
      <c r="I31" s="115" t="str">
        <f>IFERROR(VLOOKUP($B31,'Stock Guide'!$B:$W,8,0)/1000,"")</f>
        <v/>
      </c>
      <c r="J31" s="168" t="str">
        <f>IFERROR(VLOOKUP($B31,'Stock Guide'!$B:$W,14,0),"")</f>
        <v/>
      </c>
      <c r="K31" s="116" t="str">
        <f t="shared" si="7"/>
        <v/>
      </c>
      <c r="L31" s="116" t="str">
        <f>IFERROR(VLOOKUP($B31,'Stock Guide'!$B:$W,16,0),"")</f>
        <v/>
      </c>
      <c r="M31" s="116" t="str">
        <f t="shared" si="8"/>
        <v/>
      </c>
      <c r="N31" s="169" t="str">
        <f>IFERROR(VLOOKUP($B31,'Stock Guide'!$B:$W,19,0),"")</f>
        <v/>
      </c>
      <c r="O31" s="167" t="str">
        <f t="shared" si="5"/>
        <v/>
      </c>
      <c r="P31" s="116" t="str">
        <f>IFERROR(VLOOKUP($B31,'Stock Guide'!$B:$W,20,0),"")</f>
        <v/>
      </c>
      <c r="Q31" s="116" t="str">
        <f>IFERROR(VLOOKUP($B31,'Stock Guide'!$B:$W,21,0),"")</f>
        <v/>
      </c>
      <c r="R31" s="116" t="str">
        <f>IFERROR(VLOOKUP($B31,'Stock Guide'!$B:$W,22,0),"")</f>
        <v/>
      </c>
    </row>
    <row r="32" spans="2:18" s="26" customFormat="1" ht="18.75" customHeight="1" x14ac:dyDescent="0.25">
      <c r="B32" s="178"/>
      <c r="C32" s="177"/>
      <c r="D32" s="115" t="str">
        <f t="shared" si="0"/>
        <v/>
      </c>
      <c r="E32" s="165" t="str">
        <f t="shared" si="6"/>
        <v/>
      </c>
      <c r="F32" s="166" t="str">
        <f>IFERROR(VLOOKUP($B32,'Stock Guide'!$B:$W,3,0),"")</f>
        <v/>
      </c>
      <c r="G32" s="166" t="str">
        <f>IFERROR(VLOOKUP($B32,'Stock Guide'!$B:$W,6,0),"")</f>
        <v/>
      </c>
      <c r="H32" s="167" t="str">
        <f>IFERROR(VLOOKUP($B32,'Stock Guide'!$B:$W,9,0),"")</f>
        <v/>
      </c>
      <c r="I32" s="115" t="str">
        <f>IFERROR(VLOOKUP($B32,'Stock Guide'!$B:$W,8,0)/1000,"")</f>
        <v/>
      </c>
      <c r="J32" s="168" t="str">
        <f>IFERROR(VLOOKUP($B32,'Stock Guide'!$B:$W,14,0),"")</f>
        <v/>
      </c>
      <c r="K32" s="116" t="str">
        <f t="shared" si="7"/>
        <v/>
      </c>
      <c r="L32" s="116" t="str">
        <f>IFERROR(VLOOKUP($B32,'Stock Guide'!$B:$W,16,0),"")</f>
        <v/>
      </c>
      <c r="M32" s="116" t="str">
        <f t="shared" si="8"/>
        <v/>
      </c>
      <c r="N32" s="169" t="str">
        <f>IFERROR(VLOOKUP($B32,'Stock Guide'!$B:$W,19,0),"")</f>
        <v/>
      </c>
      <c r="O32" s="167" t="str">
        <f t="shared" si="5"/>
        <v/>
      </c>
      <c r="P32" s="116" t="str">
        <f>IFERROR(VLOOKUP($B32,'Stock Guide'!$B:$W,20,0),"")</f>
        <v/>
      </c>
      <c r="Q32" s="116" t="str">
        <f>IFERROR(VLOOKUP($B32,'Stock Guide'!$B:$W,21,0),"")</f>
        <v/>
      </c>
      <c r="R32" s="116" t="str">
        <f>IFERROR(VLOOKUP($B32,'Stock Guide'!$B:$W,22,0),"")</f>
        <v/>
      </c>
    </row>
    <row r="33" spans="2:23" s="26" customFormat="1" ht="18.75" customHeight="1" x14ac:dyDescent="0.25">
      <c r="B33" s="178"/>
      <c r="C33" s="177"/>
      <c r="D33" s="115" t="str">
        <f t="shared" si="0"/>
        <v/>
      </c>
      <c r="E33" s="165" t="str">
        <f t="shared" si="6"/>
        <v/>
      </c>
      <c r="F33" s="166" t="str">
        <f>IFERROR(VLOOKUP($B33,'Stock Guide'!$B:$W,3,0),"")</f>
        <v/>
      </c>
      <c r="G33" s="166" t="str">
        <f>IFERROR(VLOOKUP($B33,'Stock Guide'!$B:$W,6,0),"")</f>
        <v/>
      </c>
      <c r="H33" s="167" t="str">
        <f>IFERROR(VLOOKUP($B33,'Stock Guide'!$B:$W,9,0),"")</f>
        <v/>
      </c>
      <c r="I33" s="115" t="str">
        <f>IFERROR(VLOOKUP($B33,'Stock Guide'!$B:$W,8,0)/1000,"")</f>
        <v/>
      </c>
      <c r="J33" s="168" t="str">
        <f>IFERROR(VLOOKUP($B33,'Stock Guide'!$B:$W,14,0),"")</f>
        <v/>
      </c>
      <c r="K33" s="116" t="str">
        <f t="shared" si="7"/>
        <v/>
      </c>
      <c r="L33" s="116" t="str">
        <f>IFERROR(VLOOKUP($B33,'Stock Guide'!$B:$W,16,0),"")</f>
        <v/>
      </c>
      <c r="M33" s="116" t="str">
        <f t="shared" si="8"/>
        <v/>
      </c>
      <c r="N33" s="169" t="str">
        <f>IFERROR(VLOOKUP($B33,'Stock Guide'!$B:$W,19,0),"")</f>
        <v/>
      </c>
      <c r="O33" s="167" t="str">
        <f t="shared" si="5"/>
        <v/>
      </c>
      <c r="P33" s="116" t="str">
        <f>IFERROR(VLOOKUP($B33,'Stock Guide'!$B:$W,20,0),"")</f>
        <v/>
      </c>
      <c r="Q33" s="116" t="str">
        <f>IFERROR(VLOOKUP($B33,'Stock Guide'!$B:$W,21,0),"")</f>
        <v/>
      </c>
      <c r="R33" s="116" t="str">
        <f>IFERROR(VLOOKUP($B33,'Stock Guide'!$B:$W,22,0),"")</f>
        <v/>
      </c>
    </row>
    <row r="34" spans="2:23" s="33" customFormat="1" ht="18.75" customHeight="1" x14ac:dyDescent="0.25">
      <c r="B34" s="118" t="s">
        <v>51</v>
      </c>
      <c r="C34" s="192">
        <f>SUM(C9:C33)</f>
        <v>1.0000000000000002</v>
      </c>
      <c r="D34" s="175">
        <f>SUM(D9:D33)</f>
        <v>1000000</v>
      </c>
      <c r="E34" s="155"/>
      <c r="F34" s="155"/>
      <c r="G34" s="155"/>
      <c r="H34" s="155"/>
      <c r="I34" s="119">
        <f>SUMPRODUCT($I$9:$I$33,$C$9:$C$33)</f>
        <v>9436.8488872209982</v>
      </c>
      <c r="J34" s="120">
        <f>SUMPRODUCT(J$9:J$33,$C$9:$C$33)</f>
        <v>0.86543222831543354</v>
      </c>
      <c r="K34" s="121">
        <f>SUMPRODUCT(K$9:K$33,$C$9:$C$33)</f>
        <v>1.0400808493363754E-2</v>
      </c>
      <c r="L34" s="121">
        <f>SUMPRODUCT(L$9:L$33,$C$9:$C$33)</f>
        <v>0.12485617780427001</v>
      </c>
      <c r="M34" s="121">
        <f>SUMPRODUCT(M$9:M$33,$C$9:$C$33)</f>
        <v>0.12480970192036504</v>
      </c>
      <c r="N34" s="155" t="s">
        <v>44</v>
      </c>
      <c r="O34" s="175">
        <f>SUM(O9:O33)</f>
        <v>10394.157999999999</v>
      </c>
      <c r="P34" s="121">
        <f>SUMPRODUCT(P$9:P$33,$C$9:$C$33)</f>
        <v>-3.3717951738978305E-2</v>
      </c>
      <c r="Q34" s="121">
        <f>SUMPRODUCT(Q$9:Q$33,$C$9:$C$33)</f>
        <v>-1.0252859543789997E-2</v>
      </c>
      <c r="R34" s="121">
        <f>SUMPRODUCT(R$9:R$33,$C$9:$C$33)</f>
        <v>9.4273721440047503E-2</v>
      </c>
      <c r="W34"/>
    </row>
    <row r="35" spans="2:23" s="66" customFormat="1" ht="5.25" customHeight="1" x14ac:dyDescent="0.25">
      <c r="B35" s="67"/>
      <c r="C35" s="28"/>
      <c r="D35" s="68"/>
      <c r="E35" s="68"/>
      <c r="F35" s="27"/>
      <c r="G35" s="27"/>
      <c r="H35" s="67"/>
      <c r="I35" s="68"/>
      <c r="J35" s="69"/>
      <c r="K35" s="70"/>
      <c r="L35" s="70"/>
      <c r="M35" s="70"/>
      <c r="N35" s="70"/>
      <c r="O35" s="70"/>
      <c r="P35" s="70"/>
      <c r="Q35" s="70"/>
      <c r="R35" s="70"/>
      <c r="W35"/>
    </row>
    <row r="36" spans="2:23" s="33" customFormat="1" ht="14.25" customHeight="1" x14ac:dyDescent="0.25">
      <c r="B36" s="157" t="s">
        <v>135</v>
      </c>
      <c r="C36" s="27"/>
      <c r="D36" s="27"/>
      <c r="E36" s="27"/>
      <c r="F36" s="27"/>
      <c r="G36" s="27"/>
      <c r="H36" s="27"/>
      <c r="I36" s="27"/>
      <c r="J36" s="27"/>
      <c r="K36" s="27"/>
      <c r="L36" s="27"/>
      <c r="M36" s="27"/>
      <c r="N36" s="27"/>
      <c r="O36" s="27"/>
      <c r="P36" s="27"/>
      <c r="Q36" s="27"/>
      <c r="R36" s="27"/>
      <c r="W36"/>
    </row>
    <row r="37" spans="2:23" s="33" customFormat="1" ht="14.25" customHeight="1" x14ac:dyDescent="0.25">
      <c r="B37" s="158" t="s">
        <v>138</v>
      </c>
      <c r="C37" s="27"/>
      <c r="D37" s="27"/>
      <c r="E37" s="27"/>
      <c r="F37" s="27"/>
      <c r="G37" s="27"/>
      <c r="H37" s="27"/>
      <c r="I37" s="27"/>
      <c r="J37" s="27"/>
      <c r="K37" s="27"/>
      <c r="L37" s="27"/>
      <c r="M37" s="27"/>
      <c r="N37" s="27"/>
      <c r="O37" s="27"/>
      <c r="P37" s="27"/>
      <c r="Q37" s="27"/>
      <c r="R37" s="27"/>
      <c r="W37"/>
    </row>
    <row r="38" spans="2:23" s="33" customFormat="1" ht="14.25" customHeight="1" x14ac:dyDescent="0.25">
      <c r="B38" s="27"/>
      <c r="C38" s="27"/>
      <c r="D38" s="27"/>
      <c r="E38" s="27"/>
      <c r="F38" s="27"/>
      <c r="G38" s="27"/>
      <c r="H38" s="27"/>
      <c r="I38" s="27"/>
      <c r="J38" s="27"/>
      <c r="K38" s="27"/>
      <c r="L38" s="27"/>
      <c r="M38" s="27"/>
      <c r="N38" s="27"/>
      <c r="O38" s="27"/>
      <c r="P38" s="27"/>
      <c r="Q38" s="27"/>
      <c r="R38" s="27"/>
      <c r="W38"/>
    </row>
    <row r="39" spans="2:23" ht="12.75" customHeight="1" x14ac:dyDescent="0.25">
      <c r="B39" s="36"/>
      <c r="C39" s="28"/>
      <c r="D39" s="29"/>
      <c r="E39" s="29"/>
      <c r="F39" s="29"/>
      <c r="G39" s="30"/>
      <c r="H39" s="31"/>
      <c r="I39" s="32"/>
      <c r="J39" s="32"/>
      <c r="K39" s="58"/>
      <c r="L39" s="58"/>
      <c r="M39" s="58"/>
      <c r="N39" s="58"/>
      <c r="O39" s="58"/>
      <c r="P39" s="58"/>
      <c r="Q39" s="58"/>
      <c r="W39"/>
    </row>
    <row r="40" spans="2:23" ht="12.75" customHeight="1" x14ac:dyDescent="0.25">
      <c r="B40" s="36"/>
      <c r="C40" s="28"/>
      <c r="D40" s="29"/>
      <c r="E40" s="29"/>
      <c r="F40" s="29"/>
      <c r="G40" s="30"/>
      <c r="H40" s="31"/>
      <c r="I40" s="32"/>
      <c r="J40" s="32"/>
      <c r="K40" s="58"/>
      <c r="L40" s="58"/>
      <c r="M40" s="58"/>
      <c r="N40" s="58"/>
      <c r="O40" s="58"/>
      <c r="P40" s="58"/>
      <c r="Q40" s="58"/>
      <c r="W40"/>
    </row>
    <row r="41" spans="2:23" ht="12.75" customHeight="1" x14ac:dyDescent="0.25">
      <c r="B41" s="52" t="s">
        <v>132</v>
      </c>
      <c r="C41" s="60"/>
      <c r="D41" s="61"/>
      <c r="E41" s="61"/>
      <c r="F41" s="61"/>
      <c r="G41" s="30"/>
      <c r="H41" s="52" t="s">
        <v>100</v>
      </c>
      <c r="I41" s="64"/>
      <c r="J41" s="64"/>
      <c r="K41" s="65"/>
      <c r="L41" s="65"/>
      <c r="M41" s="65"/>
      <c r="N41" s="65"/>
      <c r="O41" s="65"/>
      <c r="P41" s="65"/>
      <c r="Q41" s="65"/>
      <c r="R41" s="59"/>
      <c r="W41"/>
    </row>
    <row r="42" spans="2:23" ht="12.75" customHeight="1" x14ac:dyDescent="0.25">
      <c r="B42" s="36"/>
      <c r="C42" s="28"/>
      <c r="D42" s="29"/>
      <c r="E42" s="29"/>
      <c r="F42" s="29"/>
      <c r="G42" s="30"/>
      <c r="H42" s="31"/>
      <c r="I42" s="32"/>
      <c r="J42" s="32"/>
      <c r="K42" s="58"/>
      <c r="L42" s="58"/>
      <c r="M42" s="58"/>
      <c r="N42" s="58"/>
      <c r="O42" s="58"/>
      <c r="P42" s="58"/>
      <c r="Q42" s="58"/>
      <c r="W42"/>
    </row>
    <row r="43" spans="2:23" ht="12.75" customHeight="1" x14ac:dyDescent="0.25">
      <c r="B43" s="36"/>
      <c r="C43" s="28"/>
      <c r="D43" s="29"/>
      <c r="E43" s="29"/>
      <c r="F43" s="29"/>
      <c r="G43" s="30"/>
      <c r="H43" s="31"/>
      <c r="I43" s="32"/>
      <c r="J43" s="32"/>
      <c r="K43" s="58"/>
      <c r="L43" s="58"/>
      <c r="M43" s="58"/>
      <c r="N43" s="58"/>
      <c r="O43" s="58"/>
      <c r="P43" s="58"/>
      <c r="Q43" s="58"/>
      <c r="W43"/>
    </row>
    <row r="44" spans="2:23" ht="12.75" customHeight="1" x14ac:dyDescent="0.25">
      <c r="B44" s="36"/>
      <c r="C44" s="28"/>
      <c r="D44" s="29"/>
      <c r="E44" s="29"/>
      <c r="F44" s="29"/>
      <c r="G44" s="30"/>
      <c r="H44" s="31"/>
      <c r="I44" s="32"/>
      <c r="J44" s="32"/>
      <c r="K44" s="58"/>
      <c r="L44" s="58"/>
      <c r="M44" s="58"/>
      <c r="N44" s="58"/>
      <c r="O44" s="58"/>
      <c r="P44" s="58"/>
      <c r="Q44" s="58"/>
      <c r="W44"/>
    </row>
    <row r="45" spans="2:23" ht="12.75" customHeight="1" x14ac:dyDescent="0.25">
      <c r="B45" s="36"/>
      <c r="C45" s="28"/>
      <c r="D45" s="29"/>
      <c r="E45" s="29"/>
      <c r="F45" s="29"/>
      <c r="G45" s="30"/>
      <c r="H45" s="31"/>
      <c r="I45" s="32"/>
      <c r="J45" s="32"/>
      <c r="K45" s="58"/>
      <c r="L45" s="58"/>
      <c r="M45" s="58"/>
      <c r="N45" s="58"/>
      <c r="O45" s="58"/>
      <c r="P45" s="58"/>
      <c r="Q45" s="58"/>
      <c r="W45"/>
    </row>
    <row r="46" spans="2:23" ht="12.75" customHeight="1" x14ac:dyDescent="0.25">
      <c r="B46" s="36"/>
      <c r="C46" s="28"/>
      <c r="D46" s="29"/>
      <c r="E46" s="29"/>
      <c r="F46" s="29"/>
      <c r="G46" s="30"/>
      <c r="H46" s="31"/>
      <c r="I46" s="32"/>
      <c r="J46" s="32"/>
      <c r="K46" s="58"/>
      <c r="L46" s="58"/>
      <c r="M46" s="58"/>
      <c r="N46" s="58"/>
      <c r="O46" s="58"/>
      <c r="P46" s="58"/>
      <c r="Q46" s="58"/>
      <c r="W46"/>
    </row>
    <row r="47" spans="2:23" ht="12.75" customHeight="1" x14ac:dyDescent="0.25">
      <c r="B47" s="36"/>
      <c r="C47" s="28"/>
      <c r="D47" s="29"/>
      <c r="E47" s="29"/>
      <c r="F47" s="29"/>
      <c r="G47" s="30"/>
      <c r="H47" s="31"/>
      <c r="I47" s="32"/>
      <c r="J47" s="32"/>
      <c r="K47" s="58"/>
      <c r="L47" s="58"/>
      <c r="M47" s="58"/>
      <c r="N47" s="58"/>
      <c r="O47" s="58"/>
      <c r="P47" s="58"/>
      <c r="Q47" s="58"/>
      <c r="W47"/>
    </row>
    <row r="48" spans="2:23" ht="12.75" customHeight="1" x14ac:dyDescent="0.25">
      <c r="B48" s="36"/>
      <c r="C48" s="28"/>
      <c r="D48" s="29"/>
      <c r="E48" s="29"/>
      <c r="F48" s="29"/>
      <c r="G48" s="30"/>
      <c r="H48" s="31"/>
      <c r="I48" s="32"/>
      <c r="J48" s="32"/>
      <c r="K48" s="58"/>
      <c r="L48" s="58"/>
      <c r="M48" s="58"/>
      <c r="N48" s="58"/>
      <c r="O48" s="58"/>
      <c r="P48" s="58"/>
      <c r="Q48" s="58"/>
      <c r="W48"/>
    </row>
    <row r="49" spans="2:26" ht="12.75" customHeight="1" x14ac:dyDescent="0.25">
      <c r="B49" s="36"/>
      <c r="C49" s="28"/>
      <c r="D49" s="29"/>
      <c r="E49" s="29"/>
      <c r="F49" s="29"/>
      <c r="G49" s="30"/>
      <c r="H49" s="31"/>
      <c r="I49" s="32"/>
      <c r="J49" s="32"/>
      <c r="K49" s="58"/>
      <c r="L49" s="58"/>
      <c r="M49" s="58"/>
      <c r="N49" s="58"/>
      <c r="O49" s="58"/>
      <c r="P49" s="58"/>
      <c r="Q49" s="58"/>
      <c r="W49"/>
    </row>
    <row r="50" spans="2:26" ht="12.75" customHeight="1" x14ac:dyDescent="0.25">
      <c r="B50" s="36"/>
      <c r="C50" s="28"/>
      <c r="D50" s="29"/>
      <c r="E50" s="29"/>
      <c r="F50" s="29"/>
      <c r="G50" s="30"/>
      <c r="H50" s="31"/>
      <c r="I50" s="32"/>
      <c r="J50" s="32"/>
      <c r="K50" s="58"/>
      <c r="L50" s="58"/>
      <c r="M50" s="58"/>
      <c r="N50" s="58"/>
      <c r="O50" s="58"/>
      <c r="P50" s="58"/>
      <c r="Q50" s="58"/>
      <c r="W50"/>
    </row>
    <row r="51" spans="2:26" ht="12.75" customHeight="1" x14ac:dyDescent="0.25">
      <c r="B51" s="36"/>
      <c r="C51" s="28"/>
      <c r="D51" s="29"/>
      <c r="E51" s="29"/>
      <c r="F51" s="29"/>
      <c r="G51" s="30"/>
      <c r="H51" s="31"/>
      <c r="I51" s="32"/>
      <c r="J51" s="32"/>
      <c r="K51" s="58"/>
      <c r="L51" s="58"/>
      <c r="M51" s="58"/>
      <c r="N51" s="58"/>
      <c r="O51" s="58"/>
      <c r="P51" s="58"/>
      <c r="Q51" s="58"/>
      <c r="W51"/>
    </row>
    <row r="52" spans="2:26" ht="12.75" customHeight="1" x14ac:dyDescent="0.25">
      <c r="B52" s="36"/>
      <c r="C52" s="28"/>
      <c r="D52" s="29"/>
      <c r="E52" s="29"/>
      <c r="F52" s="29"/>
      <c r="G52" s="30"/>
      <c r="H52" s="31"/>
      <c r="I52" s="32"/>
      <c r="J52" s="32"/>
      <c r="K52" s="58"/>
      <c r="L52" s="58"/>
      <c r="M52" s="58"/>
      <c r="N52" s="58"/>
      <c r="O52" s="58"/>
      <c r="P52" s="58"/>
      <c r="Q52" s="58"/>
      <c r="W52"/>
    </row>
    <row r="53" spans="2:26" ht="12.75" customHeight="1" x14ac:dyDescent="0.25">
      <c r="B53" s="36"/>
      <c r="C53" s="28"/>
      <c r="D53" s="29"/>
      <c r="E53" s="29"/>
      <c r="F53" s="29"/>
      <c r="G53" s="30"/>
      <c r="H53" s="31"/>
      <c r="I53" s="32"/>
      <c r="J53" s="32"/>
      <c r="K53" s="58"/>
      <c r="L53" s="58"/>
      <c r="M53" s="58"/>
      <c r="N53" s="58"/>
      <c r="O53" s="58"/>
      <c r="P53" s="58"/>
      <c r="Q53" s="58"/>
      <c r="W53"/>
    </row>
    <row r="54" spans="2:26" ht="12.75" customHeight="1" x14ac:dyDescent="0.25">
      <c r="B54" s="36"/>
      <c r="C54" s="28"/>
      <c r="D54" s="29"/>
      <c r="E54" s="29"/>
      <c r="F54" s="29"/>
      <c r="G54" s="30"/>
      <c r="H54" s="31"/>
      <c r="I54" s="32"/>
      <c r="J54" s="32"/>
      <c r="K54" s="58"/>
      <c r="L54" s="58"/>
      <c r="M54" s="58"/>
      <c r="N54" s="58"/>
      <c r="O54" s="58"/>
      <c r="P54" s="58"/>
      <c r="Q54" s="58"/>
      <c r="W54"/>
    </row>
    <row r="55" spans="2:26" ht="12.75" customHeight="1" x14ac:dyDescent="0.25">
      <c r="B55" s="36"/>
      <c r="C55" s="28"/>
      <c r="D55" s="29"/>
      <c r="E55" s="29"/>
      <c r="F55" s="29"/>
      <c r="G55" s="30"/>
      <c r="H55" s="31"/>
      <c r="I55" s="32"/>
      <c r="J55" s="32"/>
      <c r="K55" s="58"/>
      <c r="L55" s="58"/>
      <c r="M55" s="58"/>
      <c r="N55" s="58"/>
      <c r="O55" s="58"/>
      <c r="P55" s="58"/>
      <c r="Q55" s="58"/>
      <c r="W55"/>
    </row>
    <row r="56" spans="2:26" ht="12.75" customHeight="1" x14ac:dyDescent="0.25">
      <c r="B56" s="36"/>
      <c r="C56" s="28"/>
      <c r="D56" s="29"/>
      <c r="E56" s="29"/>
      <c r="F56" s="29"/>
      <c r="G56" s="30"/>
      <c r="H56" s="31"/>
      <c r="I56" s="32"/>
      <c r="J56" s="32"/>
      <c r="K56" s="58"/>
      <c r="L56" s="58"/>
      <c r="M56" s="58"/>
      <c r="N56" s="58"/>
      <c r="O56" s="58"/>
      <c r="P56" s="58"/>
      <c r="Q56" s="58"/>
      <c r="W56"/>
    </row>
    <row r="57" spans="2:26" ht="12.75" customHeight="1" x14ac:dyDescent="0.25">
      <c r="B57" s="36"/>
      <c r="C57" s="28"/>
      <c r="D57" s="29"/>
      <c r="E57" s="29"/>
      <c r="F57" s="29"/>
      <c r="G57" s="30"/>
      <c r="H57" s="31"/>
      <c r="I57" s="32"/>
      <c r="J57" s="32"/>
      <c r="K57" s="58"/>
      <c r="L57" s="58"/>
      <c r="M57" s="58"/>
      <c r="N57" s="58"/>
      <c r="O57" s="58"/>
      <c r="P57" s="58"/>
      <c r="Q57" s="58"/>
      <c r="W57"/>
    </row>
    <row r="58" spans="2:26" ht="12.75" customHeight="1" x14ac:dyDescent="0.25">
      <c r="B58" s="36"/>
      <c r="C58" s="28"/>
      <c r="D58" s="29"/>
      <c r="E58" s="29"/>
      <c r="F58" s="29"/>
      <c r="G58" s="30"/>
      <c r="H58" s="31"/>
      <c r="I58" s="32"/>
      <c r="J58" s="32"/>
      <c r="K58" s="58"/>
      <c r="L58" s="58"/>
      <c r="M58" s="58"/>
      <c r="N58" s="58"/>
      <c r="O58" s="58"/>
      <c r="P58" s="58"/>
      <c r="Q58" s="58"/>
      <c r="W58"/>
    </row>
    <row r="59" spans="2:26" ht="12.75" customHeight="1" x14ac:dyDescent="0.25">
      <c r="B59" s="36"/>
      <c r="C59" s="28"/>
      <c r="D59" s="29"/>
      <c r="E59" s="29"/>
      <c r="F59" s="29"/>
      <c r="G59" s="30"/>
      <c r="H59" s="31"/>
      <c r="I59" s="32"/>
      <c r="J59" s="32"/>
      <c r="K59" s="58"/>
      <c r="L59" s="58"/>
      <c r="M59" s="58"/>
      <c r="N59" s="58"/>
      <c r="O59" s="58"/>
      <c r="P59" s="58"/>
      <c r="Q59" s="58"/>
      <c r="W59"/>
    </row>
    <row r="60" spans="2:26" ht="12.75" customHeight="1" x14ac:dyDescent="0.25">
      <c r="B60" s="52" t="s">
        <v>116</v>
      </c>
      <c r="C60" s="60"/>
      <c r="D60" s="61"/>
      <c r="E60" s="61"/>
      <c r="F60" s="61"/>
      <c r="G60" s="62"/>
      <c r="H60" s="63"/>
      <c r="I60" s="64"/>
      <c r="J60" s="64"/>
      <c r="K60" s="65"/>
      <c r="L60" s="65"/>
      <c r="M60" s="65"/>
      <c r="N60" s="65"/>
      <c r="O60" s="65"/>
      <c r="P60" s="65"/>
      <c r="Q60" s="65"/>
      <c r="R60" s="59"/>
      <c r="S60" s="31"/>
      <c r="T60" s="32"/>
      <c r="U60" s="32"/>
      <c r="V60" s="58"/>
      <c r="W60"/>
      <c r="X60" s="58"/>
      <c r="Y60" s="58"/>
      <c r="Z60" s="58"/>
    </row>
    <row r="61" spans="2:26" ht="12.75" customHeight="1" x14ac:dyDescent="0.25">
      <c r="B61" s="36"/>
      <c r="C61" s="28"/>
      <c r="D61" s="29"/>
      <c r="E61" s="29"/>
      <c r="F61" s="29"/>
      <c r="G61" s="30"/>
      <c r="H61" s="31"/>
      <c r="I61" s="32"/>
      <c r="J61" s="32"/>
      <c r="K61" s="58"/>
      <c r="L61" s="58"/>
      <c r="M61" s="58"/>
      <c r="N61" s="58"/>
      <c r="O61" s="58"/>
      <c r="P61" s="58"/>
      <c r="Q61" s="58"/>
      <c r="W61"/>
    </row>
    <row r="62" spans="2:26" ht="12.75" customHeight="1" x14ac:dyDescent="0.25">
      <c r="B62" s="36"/>
      <c r="C62" s="28"/>
      <c r="D62" s="29"/>
      <c r="E62" s="29"/>
      <c r="F62" s="29"/>
      <c r="G62" s="30"/>
      <c r="H62" s="31"/>
      <c r="I62" s="32"/>
      <c r="J62" s="32"/>
      <c r="K62" s="58"/>
      <c r="L62" s="58"/>
      <c r="M62" s="58"/>
      <c r="N62" s="58"/>
      <c r="O62" s="58"/>
      <c r="P62" s="58"/>
      <c r="Q62" s="58"/>
      <c r="W62"/>
    </row>
    <row r="63" spans="2:26" ht="12.75" customHeight="1" x14ac:dyDescent="0.25">
      <c r="B63" s="36"/>
      <c r="C63" s="28"/>
      <c r="D63" s="29"/>
      <c r="E63" s="29"/>
      <c r="F63" s="29"/>
      <c r="G63" s="30"/>
      <c r="H63" s="31"/>
      <c r="I63" s="32"/>
      <c r="J63" s="32"/>
      <c r="K63" s="58"/>
      <c r="L63" s="58"/>
      <c r="M63" s="58"/>
      <c r="N63" s="58"/>
      <c r="O63" s="58"/>
      <c r="P63" s="58"/>
      <c r="Q63" s="58"/>
      <c r="W63"/>
    </row>
    <row r="64" spans="2:26" ht="12.75" customHeight="1" x14ac:dyDescent="0.25">
      <c r="B64" s="36"/>
      <c r="C64" s="28"/>
      <c r="D64" s="29"/>
      <c r="E64" s="29"/>
      <c r="F64" s="29"/>
      <c r="G64" s="30"/>
      <c r="H64" s="31"/>
      <c r="I64" s="32"/>
      <c r="J64" s="32"/>
      <c r="K64" s="58"/>
      <c r="L64" s="58"/>
      <c r="M64" s="58"/>
      <c r="N64" s="58"/>
      <c r="O64" s="58"/>
      <c r="P64" s="58"/>
      <c r="Q64" s="58"/>
      <c r="W64"/>
    </row>
    <row r="65" spans="2:23" ht="12.75" customHeight="1" x14ac:dyDescent="0.25">
      <c r="B65" s="36"/>
      <c r="C65" s="28"/>
      <c r="D65" s="29"/>
      <c r="E65" s="29"/>
      <c r="F65" s="29"/>
      <c r="G65" s="30"/>
      <c r="H65" s="31"/>
      <c r="I65" s="32"/>
      <c r="J65" s="32"/>
      <c r="K65" s="58"/>
      <c r="L65" s="58"/>
      <c r="M65" s="58"/>
      <c r="N65" s="58"/>
      <c r="O65" s="58"/>
      <c r="P65" s="58"/>
      <c r="Q65" s="58"/>
      <c r="W65"/>
    </row>
    <row r="66" spans="2:23" ht="12.75" customHeight="1" x14ac:dyDescent="0.25">
      <c r="B66" s="36"/>
      <c r="C66" s="28"/>
      <c r="D66" s="29"/>
      <c r="E66" s="29"/>
      <c r="F66" s="29"/>
      <c r="G66" s="30"/>
      <c r="H66" s="31"/>
      <c r="I66" s="32"/>
      <c r="J66" s="32"/>
      <c r="K66" s="58"/>
      <c r="L66" s="58"/>
      <c r="M66" s="58"/>
      <c r="N66" s="58"/>
      <c r="O66" s="58"/>
      <c r="P66" s="58"/>
      <c r="Q66" s="58"/>
      <c r="W66"/>
    </row>
    <row r="67" spans="2:23" ht="12.75" customHeight="1" x14ac:dyDescent="0.25">
      <c r="B67" s="36"/>
      <c r="C67" s="28"/>
      <c r="D67" s="29"/>
      <c r="E67" s="29"/>
      <c r="F67" s="29"/>
      <c r="G67" s="30"/>
      <c r="H67" s="31"/>
      <c r="I67" s="32"/>
      <c r="J67" s="32"/>
      <c r="K67" s="58"/>
      <c r="L67" s="58"/>
      <c r="M67" s="58"/>
      <c r="N67" s="58"/>
      <c r="O67" s="58"/>
      <c r="P67" s="58"/>
      <c r="Q67" s="58"/>
      <c r="W67"/>
    </row>
    <row r="68" spans="2:23" ht="12.75" customHeight="1" x14ac:dyDescent="0.25">
      <c r="B68" s="36"/>
      <c r="C68" s="28"/>
      <c r="D68" s="29"/>
      <c r="E68" s="29"/>
      <c r="F68" s="29"/>
      <c r="G68" s="30"/>
      <c r="H68" s="31"/>
      <c r="I68" s="32"/>
      <c r="J68" s="32"/>
      <c r="K68" s="58"/>
      <c r="L68" s="58"/>
      <c r="M68" s="58"/>
      <c r="N68" s="58"/>
      <c r="O68" s="58"/>
      <c r="P68" s="58"/>
      <c r="Q68" s="58"/>
      <c r="W68"/>
    </row>
    <row r="69" spans="2:23" ht="12.75" customHeight="1" x14ac:dyDescent="0.25">
      <c r="B69" s="36"/>
      <c r="C69" s="28"/>
      <c r="D69" s="29"/>
      <c r="E69" s="29"/>
      <c r="F69" s="29"/>
      <c r="G69" s="30"/>
      <c r="H69" s="31"/>
      <c r="I69" s="32"/>
      <c r="J69" s="32"/>
      <c r="K69" s="58"/>
      <c r="L69" s="58"/>
      <c r="M69" s="58"/>
      <c r="N69" s="58"/>
      <c r="O69" s="58"/>
      <c r="P69" s="58"/>
      <c r="Q69" s="58"/>
      <c r="W69"/>
    </row>
    <row r="70" spans="2:23" ht="12.75" customHeight="1" x14ac:dyDescent="0.25">
      <c r="B70" s="36"/>
      <c r="C70" s="28"/>
      <c r="D70" s="29"/>
      <c r="E70" s="29"/>
      <c r="F70" s="29"/>
      <c r="G70" s="30"/>
      <c r="H70" s="31"/>
      <c r="I70" s="32"/>
      <c r="J70" s="32"/>
      <c r="K70" s="58"/>
      <c r="L70" s="58"/>
      <c r="M70" s="58"/>
      <c r="N70" s="58"/>
      <c r="O70" s="58"/>
      <c r="P70" s="58"/>
      <c r="Q70" s="58"/>
      <c r="W70"/>
    </row>
    <row r="71" spans="2:23" ht="12.75" customHeight="1" x14ac:dyDescent="0.25">
      <c r="B71" s="36"/>
      <c r="C71" s="28"/>
      <c r="D71" s="29"/>
      <c r="E71" s="29"/>
      <c r="F71" s="29"/>
      <c r="G71" s="30"/>
      <c r="H71" s="31"/>
      <c r="I71" s="32"/>
      <c r="J71" s="32"/>
      <c r="K71" s="58"/>
      <c r="L71" s="58"/>
      <c r="M71" s="58"/>
      <c r="N71" s="58"/>
      <c r="O71" s="58"/>
      <c r="P71" s="58"/>
      <c r="Q71" s="58"/>
      <c r="W71"/>
    </row>
    <row r="72" spans="2:23" ht="12.75" customHeight="1" x14ac:dyDescent="0.25">
      <c r="B72" s="36"/>
      <c r="C72" s="28"/>
      <c r="D72" s="29"/>
      <c r="E72" s="29"/>
      <c r="F72" s="29"/>
      <c r="G72" s="30"/>
      <c r="H72" s="31"/>
      <c r="I72" s="32"/>
      <c r="J72" s="32"/>
      <c r="K72" s="58"/>
      <c r="L72" s="58"/>
      <c r="M72" s="58"/>
      <c r="N72" s="58"/>
      <c r="O72" s="58"/>
      <c r="P72" s="58"/>
      <c r="Q72" s="58"/>
      <c r="W72"/>
    </row>
    <row r="73" spans="2:23" ht="12.75" customHeight="1" x14ac:dyDescent="0.25">
      <c r="B73" s="36"/>
      <c r="C73" s="28"/>
      <c r="D73" s="29"/>
      <c r="E73" s="29"/>
      <c r="F73" s="29"/>
      <c r="G73" s="30"/>
      <c r="H73" s="31"/>
      <c r="I73" s="32"/>
      <c r="J73" s="32"/>
      <c r="K73" s="58"/>
      <c r="L73" s="58"/>
      <c r="M73" s="58"/>
      <c r="N73" s="58"/>
      <c r="O73" s="58"/>
      <c r="P73" s="58"/>
      <c r="Q73" s="58"/>
      <c r="W73"/>
    </row>
    <row r="74" spans="2:23" ht="12.75" customHeight="1" x14ac:dyDescent="0.25">
      <c r="B74" s="36"/>
      <c r="C74" s="28"/>
      <c r="D74" s="29"/>
      <c r="E74" s="29"/>
      <c r="F74" s="29"/>
      <c r="G74" s="30"/>
      <c r="H74" s="31"/>
      <c r="I74" s="32"/>
      <c r="J74" s="32"/>
      <c r="K74" s="58"/>
      <c r="L74" s="58"/>
      <c r="M74" s="58"/>
      <c r="N74" s="58"/>
      <c r="O74" s="58"/>
      <c r="P74" s="58"/>
      <c r="Q74" s="58"/>
      <c r="W74"/>
    </row>
    <row r="75" spans="2:23" ht="12.75" customHeight="1" x14ac:dyDescent="0.25">
      <c r="B75" s="36"/>
      <c r="C75" s="28"/>
      <c r="D75" s="29"/>
      <c r="E75" s="29"/>
      <c r="F75" s="29"/>
      <c r="G75" s="30"/>
      <c r="H75" s="31"/>
      <c r="I75" s="32"/>
      <c r="J75" s="32"/>
      <c r="K75" s="58"/>
      <c r="L75" s="58"/>
      <c r="M75" s="58"/>
      <c r="N75" s="58"/>
      <c r="O75" s="58"/>
      <c r="P75" s="58"/>
      <c r="Q75" s="58"/>
      <c r="W75"/>
    </row>
    <row r="76" spans="2:23" ht="12.75" customHeight="1" x14ac:dyDescent="0.25">
      <c r="B76" s="36"/>
      <c r="C76" s="28"/>
      <c r="D76" s="29"/>
      <c r="E76" s="29"/>
      <c r="F76" s="29"/>
      <c r="G76" s="30"/>
      <c r="H76" s="31"/>
      <c r="I76" s="32"/>
      <c r="J76" s="32"/>
      <c r="K76" s="58"/>
      <c r="L76" s="58"/>
      <c r="M76" s="58"/>
      <c r="N76" s="58"/>
      <c r="O76" s="58"/>
      <c r="P76" s="58"/>
      <c r="Q76" s="58"/>
      <c r="W76"/>
    </row>
    <row r="77" spans="2:23" ht="12.75" customHeight="1" x14ac:dyDescent="0.25">
      <c r="B77" s="36"/>
      <c r="C77" s="28"/>
      <c r="D77" s="29"/>
      <c r="E77" s="29"/>
      <c r="F77" s="29"/>
      <c r="G77" s="30"/>
      <c r="H77" s="31"/>
      <c r="I77" s="32"/>
      <c r="J77" s="32"/>
      <c r="K77" s="58"/>
      <c r="L77" s="58"/>
      <c r="M77" s="58"/>
      <c r="N77" s="58"/>
      <c r="O77" s="58"/>
      <c r="P77" s="58"/>
      <c r="Q77" s="58"/>
      <c r="W77"/>
    </row>
    <row r="78" spans="2:23" ht="12.75" customHeight="1" x14ac:dyDescent="0.25">
      <c r="B78" s="36"/>
      <c r="C78" s="28"/>
      <c r="D78" s="29"/>
      <c r="E78" s="29"/>
      <c r="F78" s="29"/>
      <c r="G78" s="30"/>
      <c r="H78" s="31"/>
      <c r="I78" s="32"/>
      <c r="J78" s="32"/>
      <c r="K78" s="58"/>
      <c r="L78" s="58"/>
      <c r="M78" s="58"/>
      <c r="N78" s="58"/>
      <c r="O78" s="58"/>
      <c r="P78" s="58"/>
      <c r="Q78" s="58"/>
      <c r="W78"/>
    </row>
    <row r="79" spans="2:23" ht="12.75" customHeight="1" x14ac:dyDescent="0.25">
      <c r="B79" s="36"/>
      <c r="C79" s="28"/>
      <c r="D79" s="29"/>
      <c r="E79" s="29"/>
      <c r="F79" s="29"/>
      <c r="G79" s="30"/>
      <c r="H79" s="31"/>
      <c r="I79" s="32"/>
      <c r="J79" s="32"/>
      <c r="K79" s="58"/>
      <c r="L79" s="58"/>
      <c r="M79" s="58"/>
      <c r="N79" s="58"/>
      <c r="O79" s="58"/>
      <c r="P79" s="58"/>
      <c r="Q79" s="58"/>
      <c r="W79"/>
    </row>
    <row r="80" spans="2:23" ht="5.25" customHeight="1" x14ac:dyDescent="0.25">
      <c r="B80" s="35"/>
      <c r="C80" s="28"/>
      <c r="D80" s="29"/>
      <c r="E80" s="29"/>
      <c r="F80" s="29"/>
      <c r="G80" s="30"/>
      <c r="H80" s="31"/>
      <c r="I80" s="32"/>
      <c r="J80" s="32"/>
      <c r="W80"/>
    </row>
    <row r="81" spans="2:23" s="34" customFormat="1" ht="12.75" customHeight="1" x14ac:dyDescent="0.25">
      <c r="B81" s="265" t="s">
        <v>133</v>
      </c>
      <c r="C81" s="265"/>
      <c r="D81" s="265"/>
      <c r="E81" s="265"/>
      <c r="F81" s="265"/>
      <c r="G81" s="265"/>
      <c r="H81" s="265"/>
      <c r="I81" s="265"/>
      <c r="J81" s="265"/>
      <c r="K81" s="265"/>
      <c r="L81" s="265"/>
      <c r="M81" s="265"/>
      <c r="N81" s="265"/>
      <c r="O81" s="265"/>
      <c r="P81" s="265"/>
      <c r="Q81" s="265"/>
      <c r="R81" s="265"/>
      <c r="W81"/>
    </row>
    <row r="82" spans="2:23" ht="18" customHeight="1" x14ac:dyDescent="0.25">
      <c r="B82" s="36"/>
      <c r="W82"/>
    </row>
    <row r="83" spans="2:23" ht="18" customHeight="1" x14ac:dyDescent="0.25">
      <c r="B83" s="36"/>
      <c r="W83"/>
    </row>
    <row r="84" spans="2:23" ht="18" customHeight="1" x14ac:dyDescent="0.25">
      <c r="B84" s="36"/>
      <c r="W84"/>
    </row>
    <row r="85" spans="2:23" ht="18" customHeight="1" x14ac:dyDescent="0.25">
      <c r="B85" s="36"/>
      <c r="W85"/>
    </row>
    <row r="86" spans="2:23" ht="18" customHeight="1" x14ac:dyDescent="0.25">
      <c r="B86" s="36"/>
      <c r="W86"/>
    </row>
    <row r="87" spans="2:23" ht="18" customHeight="1" x14ac:dyDescent="0.25">
      <c r="B87" s="36"/>
      <c r="W87"/>
    </row>
    <row r="88" spans="2:23" ht="18" customHeight="1" x14ac:dyDescent="0.25">
      <c r="B88" s="36"/>
      <c r="W88"/>
    </row>
    <row r="89" spans="2:23" ht="18" customHeight="1" x14ac:dyDescent="0.25">
      <c r="B89" s="36"/>
      <c r="W89"/>
    </row>
    <row r="90" spans="2:23" ht="18" customHeight="1" x14ac:dyDescent="0.25">
      <c r="B90" s="36"/>
      <c r="W90"/>
    </row>
    <row r="91" spans="2:23" ht="18" customHeight="1" x14ac:dyDescent="0.25">
      <c r="B91" s="36"/>
      <c r="W91"/>
    </row>
    <row r="92" spans="2:23" ht="18" customHeight="1" x14ac:dyDescent="0.25">
      <c r="B92" s="36"/>
      <c r="W92"/>
    </row>
    <row r="93" spans="2:23" ht="18" customHeight="1" x14ac:dyDescent="0.25">
      <c r="B93" s="36"/>
      <c r="W93"/>
    </row>
    <row r="94" spans="2:23" ht="18" customHeight="1" x14ac:dyDescent="0.25">
      <c r="B94" s="36"/>
      <c r="W94"/>
    </row>
    <row r="95" spans="2:23" ht="18" customHeight="1" x14ac:dyDescent="0.25">
      <c r="B95" s="36"/>
      <c r="W95"/>
    </row>
    <row r="96" spans="2:23" ht="18" customHeight="1" x14ac:dyDescent="0.25">
      <c r="B96" s="36"/>
      <c r="W96"/>
    </row>
    <row r="97" spans="2:23" ht="18" customHeight="1" x14ac:dyDescent="0.25">
      <c r="B97" s="36"/>
      <c r="W97"/>
    </row>
    <row r="98" spans="2:23" ht="18" customHeight="1" x14ac:dyDescent="0.25">
      <c r="B98" s="36"/>
      <c r="W98"/>
    </row>
    <row r="99" spans="2:23" ht="18" customHeight="1" x14ac:dyDescent="0.25">
      <c r="B99" s="36"/>
      <c r="W99"/>
    </row>
    <row r="100" spans="2:23" ht="18" customHeight="1" x14ac:dyDescent="0.25">
      <c r="B100" s="36"/>
      <c r="W100"/>
    </row>
    <row r="101" spans="2:23" ht="18" customHeight="1" x14ac:dyDescent="0.25">
      <c r="B101" s="36"/>
      <c r="W101"/>
    </row>
    <row r="102" spans="2:23" ht="18" customHeight="1" x14ac:dyDescent="0.25">
      <c r="B102" s="36"/>
      <c r="W102"/>
    </row>
    <row r="103" spans="2:23" ht="18" customHeight="1" x14ac:dyDescent="0.25">
      <c r="B103" s="36"/>
      <c r="W103"/>
    </row>
    <row r="104" spans="2:23" ht="18" customHeight="1" x14ac:dyDescent="0.25">
      <c r="B104" s="36"/>
      <c r="W104"/>
    </row>
    <row r="105" spans="2:23" ht="18" customHeight="1" x14ac:dyDescent="0.25">
      <c r="B105" s="36"/>
      <c r="W105"/>
    </row>
    <row r="106" spans="2:23" ht="18" customHeight="1" x14ac:dyDescent="0.25">
      <c r="B106" s="36"/>
      <c r="W106"/>
    </row>
    <row r="107" spans="2:23" ht="18" customHeight="1" x14ac:dyDescent="0.25">
      <c r="B107" s="36"/>
      <c r="W107"/>
    </row>
    <row r="108" spans="2:23" ht="18" customHeight="1" x14ac:dyDescent="0.25">
      <c r="B108" s="36"/>
      <c r="W108"/>
    </row>
    <row r="109" spans="2:23" ht="18" customHeight="1" x14ac:dyDescent="0.25">
      <c r="B109" s="36"/>
      <c r="W109"/>
    </row>
    <row r="110" spans="2:23" ht="18" customHeight="1" x14ac:dyDescent="0.25">
      <c r="B110" s="36"/>
      <c r="W110"/>
    </row>
    <row r="111" spans="2:23" ht="18" customHeight="1" x14ac:dyDescent="0.25">
      <c r="B111" s="36"/>
      <c r="W111"/>
    </row>
    <row r="112" spans="2:23" ht="18" customHeight="1" x14ac:dyDescent="0.25">
      <c r="B112" s="36"/>
      <c r="W112"/>
    </row>
    <row r="113" spans="2:23" ht="18" customHeight="1" x14ac:dyDescent="0.25">
      <c r="B113" s="36"/>
      <c r="W113"/>
    </row>
    <row r="114" spans="2:23" ht="18" customHeight="1" x14ac:dyDescent="0.25">
      <c r="B114" s="36"/>
      <c r="W114"/>
    </row>
    <row r="115" spans="2:23" ht="18" customHeight="1" x14ac:dyDescent="0.25">
      <c r="B115" s="36"/>
      <c r="W115"/>
    </row>
    <row r="116" spans="2:23" ht="18" customHeight="1" x14ac:dyDescent="0.25">
      <c r="W116"/>
    </row>
    <row r="117" spans="2:23" ht="18" customHeight="1" x14ac:dyDescent="0.25">
      <c r="W117"/>
    </row>
    <row r="118" spans="2:23" ht="18" customHeight="1" x14ac:dyDescent="0.25">
      <c r="W118"/>
    </row>
    <row r="119" spans="2:23" ht="18" customHeight="1" x14ac:dyDescent="0.25">
      <c r="W119"/>
    </row>
    <row r="120" spans="2:23" ht="18" customHeight="1" x14ac:dyDescent="0.25">
      <c r="W120"/>
    </row>
    <row r="121" spans="2:23" ht="18" customHeight="1" x14ac:dyDescent="0.25">
      <c r="W121"/>
    </row>
    <row r="122" spans="2:23" ht="18" customHeight="1" x14ac:dyDescent="0.25">
      <c r="W122"/>
    </row>
    <row r="123" spans="2:23" ht="18" customHeight="1" x14ac:dyDescent="0.25">
      <c r="W123"/>
    </row>
    <row r="124" spans="2:23" ht="18" customHeight="1" x14ac:dyDescent="0.25">
      <c r="W124"/>
    </row>
    <row r="125" spans="2:23" ht="18" customHeight="1" x14ac:dyDescent="0.25">
      <c r="W125"/>
    </row>
    <row r="126" spans="2:23" ht="18" customHeight="1" x14ac:dyDescent="0.25">
      <c r="W126"/>
    </row>
    <row r="127" spans="2:23" ht="18" customHeight="1" x14ac:dyDescent="0.25">
      <c r="W127"/>
    </row>
    <row r="128" spans="2:23" ht="18" customHeight="1" x14ac:dyDescent="0.25">
      <c r="W128"/>
    </row>
    <row r="129" spans="23:23" ht="18" customHeight="1" x14ac:dyDescent="0.25">
      <c r="W129"/>
    </row>
    <row r="130" spans="23:23" ht="18" customHeight="1" x14ac:dyDescent="0.25">
      <c r="W130"/>
    </row>
    <row r="131" spans="23:23" ht="18" customHeight="1" x14ac:dyDescent="0.25">
      <c r="W131"/>
    </row>
    <row r="132" spans="23:23" ht="18" customHeight="1" x14ac:dyDescent="0.25">
      <c r="W132"/>
    </row>
    <row r="133" spans="23:23" ht="18" customHeight="1" x14ac:dyDescent="0.25">
      <c r="W133"/>
    </row>
    <row r="134" spans="23:23" ht="18" customHeight="1" x14ac:dyDescent="0.25">
      <c r="W134"/>
    </row>
    <row r="135" spans="23:23" ht="18" customHeight="1" x14ac:dyDescent="0.25">
      <c r="W135"/>
    </row>
    <row r="136" spans="23:23" ht="18" customHeight="1" x14ac:dyDescent="0.25">
      <c r="W136"/>
    </row>
    <row r="137" spans="23:23" ht="18" customHeight="1" x14ac:dyDescent="0.25">
      <c r="W137"/>
    </row>
    <row r="138" spans="23:23" ht="18" customHeight="1" x14ac:dyDescent="0.25">
      <c r="W138"/>
    </row>
    <row r="139" spans="23:23" ht="18" customHeight="1" x14ac:dyDescent="0.25">
      <c r="W139"/>
    </row>
    <row r="140" spans="23:23" ht="18" customHeight="1" x14ac:dyDescent="0.25">
      <c r="W140"/>
    </row>
    <row r="141" spans="23:23" ht="18" customHeight="1" x14ac:dyDescent="0.25">
      <c r="W141"/>
    </row>
    <row r="142" spans="23:23" ht="18" customHeight="1" x14ac:dyDescent="0.25">
      <c r="W142"/>
    </row>
    <row r="143" spans="23:23" ht="18" customHeight="1" x14ac:dyDescent="0.25">
      <c r="W143"/>
    </row>
    <row r="144" spans="23:23" ht="18" customHeight="1" x14ac:dyDescent="0.25">
      <c r="W144"/>
    </row>
    <row r="145" spans="23:23" ht="18" customHeight="1" x14ac:dyDescent="0.25">
      <c r="W145"/>
    </row>
    <row r="146" spans="23:23" ht="18" customHeight="1" x14ac:dyDescent="0.25">
      <c r="W146"/>
    </row>
    <row r="147" spans="23:23" ht="18" customHeight="1" x14ac:dyDescent="0.25">
      <c r="W147"/>
    </row>
    <row r="148" spans="23:23" ht="18" customHeight="1" x14ac:dyDescent="0.25">
      <c r="W148"/>
    </row>
    <row r="149" spans="23:23" ht="18" customHeight="1" x14ac:dyDescent="0.25">
      <c r="W149"/>
    </row>
    <row r="150" spans="23:23" ht="18" customHeight="1" x14ac:dyDescent="0.25">
      <c r="W150"/>
    </row>
    <row r="151" spans="23:23" ht="18" customHeight="1" x14ac:dyDescent="0.25">
      <c r="W151"/>
    </row>
    <row r="152" spans="23:23" ht="18" customHeight="1" x14ac:dyDescent="0.25">
      <c r="W152"/>
    </row>
    <row r="153" spans="23:23" ht="18" customHeight="1" x14ac:dyDescent="0.25">
      <c r="W153"/>
    </row>
    <row r="154" spans="23:23" ht="18" customHeight="1" x14ac:dyDescent="0.25">
      <c r="W154"/>
    </row>
    <row r="155" spans="23:23" ht="18" customHeight="1" x14ac:dyDescent="0.25">
      <c r="W155"/>
    </row>
    <row r="156" spans="23:23" ht="18" customHeight="1" x14ac:dyDescent="0.25">
      <c r="W156"/>
    </row>
    <row r="157" spans="23:23" ht="18" customHeight="1" x14ac:dyDescent="0.25">
      <c r="W157"/>
    </row>
    <row r="158" spans="23:23" ht="18" customHeight="1" x14ac:dyDescent="0.25">
      <c r="W158"/>
    </row>
    <row r="159" spans="23:23" ht="18" customHeight="1" x14ac:dyDescent="0.25">
      <c r="W159"/>
    </row>
    <row r="160" spans="23:23" ht="18" customHeight="1" x14ac:dyDescent="0.25">
      <c r="W160"/>
    </row>
    <row r="161" spans="2:23" ht="18" customHeight="1" x14ac:dyDescent="0.25">
      <c r="W161"/>
    </row>
    <row r="162" spans="2:23" ht="18" customHeight="1" x14ac:dyDescent="0.25">
      <c r="W162"/>
    </row>
    <row r="163" spans="2:23" ht="18" customHeight="1" x14ac:dyDescent="0.25">
      <c r="W163"/>
    </row>
    <row r="164" spans="2:23" ht="18" customHeight="1" x14ac:dyDescent="0.25">
      <c r="W164"/>
    </row>
    <row r="165" spans="2:23" ht="18" customHeight="1" x14ac:dyDescent="0.25">
      <c r="W165"/>
    </row>
    <row r="166" spans="2:23" ht="18" customHeight="1" x14ac:dyDescent="0.25">
      <c r="W166"/>
    </row>
    <row r="167" spans="2:23" ht="18" customHeight="1" x14ac:dyDescent="0.25">
      <c r="C167" s="196" t="s">
        <v>18</v>
      </c>
      <c r="W167"/>
    </row>
    <row r="168" spans="2:23" ht="18" customHeight="1" x14ac:dyDescent="0.25">
      <c r="B168" s="112" t="s">
        <v>14</v>
      </c>
      <c r="C168" s="112" t="s">
        <v>15</v>
      </c>
      <c r="F168" s="26" t="s">
        <v>12</v>
      </c>
      <c r="G168" s="26" t="s">
        <v>12</v>
      </c>
      <c r="W168"/>
    </row>
    <row r="169" spans="2:23" ht="18" customHeight="1" x14ac:dyDescent="0.25">
      <c r="B169" s="33" t="s">
        <v>64</v>
      </c>
      <c r="C169" s="150">
        <f t="shared" ref="C169:C179" si="9">SUMIFS($C$9:$C$33,$G$9:$G$33,B169)</f>
        <v>0.51999999999999991</v>
      </c>
      <c r="F169" s="26" t="str">
        <f>$B169&amp;" ("&amp;TEXT(C169,"0,0%")&amp;")"</f>
        <v>Recebível (52,0%)</v>
      </c>
      <c r="G169" s="26" t="str">
        <f t="shared" ref="G169:G180" si="10">C169&amp;" ("&amp;TEXT(D169,"0,00%")&amp;")"</f>
        <v>0,52 (0,00%)</v>
      </c>
      <c r="W169"/>
    </row>
    <row r="170" spans="2:23" ht="18" customHeight="1" x14ac:dyDescent="0.25">
      <c r="B170" s="33" t="s">
        <v>63</v>
      </c>
      <c r="C170" s="150">
        <f t="shared" si="9"/>
        <v>9.5000000000000001E-2</v>
      </c>
      <c r="F170" s="26" t="str">
        <f t="shared" ref="F170:F180" si="11">$B170&amp;" ("&amp;TEXT(C170,"0,0%")&amp;")"</f>
        <v>Laje Corporativa (9,5%)</v>
      </c>
      <c r="G170" s="26" t="str">
        <f t="shared" si="10"/>
        <v>0,095 (0,00%)</v>
      </c>
      <c r="W170"/>
    </row>
    <row r="171" spans="2:23" ht="18" customHeight="1" x14ac:dyDescent="0.25">
      <c r="B171" s="33" t="s">
        <v>65</v>
      </c>
      <c r="C171" s="150">
        <f t="shared" si="9"/>
        <v>0.22</v>
      </c>
      <c r="F171" s="26" t="str">
        <f t="shared" si="11"/>
        <v>Galpão Logístico (22,0%)</v>
      </c>
      <c r="G171" s="26" t="str">
        <f t="shared" si="10"/>
        <v>0,22 (0,00%)</v>
      </c>
      <c r="W171"/>
    </row>
    <row r="172" spans="2:23" ht="18" customHeight="1" x14ac:dyDescent="0.25">
      <c r="B172" s="33" t="s">
        <v>61</v>
      </c>
      <c r="C172" s="150">
        <f t="shared" si="9"/>
        <v>9.5000000000000001E-2</v>
      </c>
      <c r="F172" s="26" t="str">
        <f t="shared" si="11"/>
        <v>Shopping Center (9,5%)</v>
      </c>
      <c r="G172" s="26" t="str">
        <f t="shared" si="10"/>
        <v>0,095 (0,00%)</v>
      </c>
      <c r="W172"/>
    </row>
    <row r="173" spans="2:23" ht="18" customHeight="1" x14ac:dyDescent="0.25">
      <c r="B173" s="33" t="s">
        <v>19</v>
      </c>
      <c r="C173" s="150">
        <f t="shared" si="9"/>
        <v>0</v>
      </c>
      <c r="F173" s="26" t="str">
        <f t="shared" si="11"/>
        <v>Híbrido (0,0%)</v>
      </c>
      <c r="G173" s="26" t="str">
        <f t="shared" si="10"/>
        <v>0 (0,00%)</v>
      </c>
      <c r="W173"/>
    </row>
    <row r="174" spans="2:23" ht="18" customHeight="1" x14ac:dyDescent="0.25">
      <c r="B174" s="33" t="s">
        <v>180</v>
      </c>
      <c r="C174" s="150">
        <f t="shared" si="9"/>
        <v>7.0000000000000007E-2</v>
      </c>
      <c r="F174" s="26" t="str">
        <f t="shared" si="11"/>
        <v>Renda Urbana (7,0%)</v>
      </c>
      <c r="G174" s="26" t="str">
        <f t="shared" si="10"/>
        <v>0,07 (0,00%)</v>
      </c>
      <c r="W174"/>
    </row>
    <row r="175" spans="2:23" ht="18" customHeight="1" x14ac:dyDescent="0.25">
      <c r="B175" s="33" t="s">
        <v>43</v>
      </c>
      <c r="C175" s="150">
        <f t="shared" si="9"/>
        <v>0</v>
      </c>
      <c r="F175" s="26" t="str">
        <f t="shared" si="11"/>
        <v>Fundo de Fundos (0,0%)</v>
      </c>
      <c r="G175" s="26" t="str">
        <f t="shared" si="10"/>
        <v>0 (0,00%)</v>
      </c>
      <c r="W175"/>
    </row>
    <row r="176" spans="2:23" ht="18" customHeight="1" x14ac:dyDescent="0.25">
      <c r="B176" s="33" t="s">
        <v>179</v>
      </c>
      <c r="C176" s="150">
        <f t="shared" si="9"/>
        <v>0</v>
      </c>
      <c r="F176" s="26" t="str">
        <f t="shared" si="11"/>
        <v>Hedge Fund (0,0%)</v>
      </c>
      <c r="G176" s="26" t="str">
        <f t="shared" si="10"/>
        <v>0 (0,00%)</v>
      </c>
      <c r="W176"/>
    </row>
    <row r="177" spans="2:23" ht="18" customHeight="1" x14ac:dyDescent="0.25">
      <c r="B177" s="33" t="s">
        <v>126</v>
      </c>
      <c r="C177" s="150">
        <f t="shared" si="9"/>
        <v>0</v>
      </c>
      <c r="F177" s="26" t="str">
        <f t="shared" si="11"/>
        <v>FIAgro - FII (0,0%)</v>
      </c>
      <c r="G177" s="26" t="str">
        <f t="shared" si="10"/>
        <v>0 (0,00%)</v>
      </c>
      <c r="W177"/>
    </row>
    <row r="178" spans="2:23" ht="18" customHeight="1" x14ac:dyDescent="0.25">
      <c r="B178" s="33" t="s">
        <v>118</v>
      </c>
      <c r="C178" s="150">
        <f t="shared" si="9"/>
        <v>0</v>
      </c>
      <c r="F178" s="26" t="str">
        <f t="shared" si="11"/>
        <v>FI-Infra (0,0%)</v>
      </c>
      <c r="G178" s="26" t="str">
        <f t="shared" si="10"/>
        <v>0 (0,00%)</v>
      </c>
      <c r="W178"/>
    </row>
    <row r="179" spans="2:23" ht="18" customHeight="1" x14ac:dyDescent="0.25">
      <c r="B179" s="66" t="s">
        <v>127</v>
      </c>
      <c r="C179" s="150">
        <f t="shared" si="9"/>
        <v>0</v>
      </c>
      <c r="F179" s="26" t="str">
        <f t="shared" si="11"/>
        <v>FIAgro - FIDC (0,0%)</v>
      </c>
      <c r="G179" s="26" t="str">
        <f t="shared" si="10"/>
        <v>0 (0,00%)</v>
      </c>
      <c r="W179"/>
    </row>
    <row r="180" spans="2:23" ht="18" customHeight="1" x14ac:dyDescent="0.25">
      <c r="B180" s="33" t="s">
        <v>21</v>
      </c>
      <c r="C180" s="151">
        <f>SUM(C182:C198)</f>
        <v>0</v>
      </c>
      <c r="F180" s="26" t="str">
        <f t="shared" si="11"/>
        <v>Outros (0,0%)</v>
      </c>
      <c r="G180" s="26" t="str">
        <f t="shared" si="10"/>
        <v>0 (0,00%)</v>
      </c>
      <c r="W180"/>
    </row>
    <row r="181" spans="2:23" ht="18" customHeight="1" x14ac:dyDescent="0.25">
      <c r="B181" s="26"/>
      <c r="C181" s="26"/>
      <c r="W181"/>
    </row>
    <row r="182" spans="2:23" ht="18" customHeight="1" x14ac:dyDescent="0.25">
      <c r="B182" s="26" t="s">
        <v>30</v>
      </c>
      <c r="C182" s="150">
        <f t="shared" ref="C182:C190" si="12">SUMIFS($C$9:$C$33,$G$9:$G$33,B182)</f>
        <v>0</v>
      </c>
      <c r="W182"/>
    </row>
    <row r="183" spans="2:23" ht="18" customHeight="1" x14ac:dyDescent="0.25">
      <c r="B183" s="26" t="s">
        <v>62</v>
      </c>
      <c r="C183" s="150">
        <f t="shared" si="12"/>
        <v>0</v>
      </c>
      <c r="W183"/>
    </row>
    <row r="184" spans="2:23" ht="18" customHeight="1" x14ac:dyDescent="0.25">
      <c r="B184" s="26" t="s">
        <v>113</v>
      </c>
      <c r="C184" s="150">
        <f t="shared" si="12"/>
        <v>0</v>
      </c>
      <c r="W184"/>
    </row>
    <row r="185" spans="2:23" ht="18" customHeight="1" x14ac:dyDescent="0.25">
      <c r="B185" s="23" t="s">
        <v>20</v>
      </c>
      <c r="C185" s="150">
        <f t="shared" si="12"/>
        <v>0</v>
      </c>
      <c r="W185"/>
    </row>
    <row r="186" spans="2:23" ht="18" customHeight="1" x14ac:dyDescent="0.25">
      <c r="B186" s="23" t="s">
        <v>67</v>
      </c>
      <c r="C186" s="150">
        <f t="shared" si="12"/>
        <v>0</v>
      </c>
      <c r="W186"/>
    </row>
    <row r="187" spans="2:23" ht="18" customHeight="1" x14ac:dyDescent="0.25">
      <c r="B187" s="23" t="s">
        <v>28</v>
      </c>
      <c r="C187" s="150">
        <f t="shared" si="12"/>
        <v>0</v>
      </c>
      <c r="W187"/>
    </row>
    <row r="188" spans="2:23" ht="18" customHeight="1" x14ac:dyDescent="0.25">
      <c r="B188" s="23" t="s">
        <v>21</v>
      </c>
      <c r="C188" s="150">
        <f t="shared" si="12"/>
        <v>0</v>
      </c>
      <c r="W188"/>
    </row>
    <row r="189" spans="2:23" ht="18" customHeight="1" x14ac:dyDescent="0.25">
      <c r="B189" s="23" t="s">
        <v>66</v>
      </c>
      <c r="C189" s="150">
        <f t="shared" si="12"/>
        <v>0</v>
      </c>
      <c r="W189"/>
    </row>
    <row r="190" spans="2:23" ht="18" customHeight="1" x14ac:dyDescent="0.25">
      <c r="B190" s="23" t="s">
        <v>25</v>
      </c>
      <c r="C190" s="150">
        <f t="shared" si="12"/>
        <v>0</v>
      </c>
      <c r="W190"/>
    </row>
    <row r="191" spans="2:23" ht="18" customHeight="1" x14ac:dyDescent="0.25">
      <c r="C191" s="150"/>
      <c r="W191"/>
    </row>
    <row r="192" spans="2:23" ht="18" customHeight="1" x14ac:dyDescent="0.25">
      <c r="C192" s="150"/>
      <c r="W192"/>
    </row>
    <row r="193" spans="3:23" ht="18" customHeight="1" x14ac:dyDescent="0.25">
      <c r="C193" s="150"/>
      <c r="W193"/>
    </row>
    <row r="194" spans="3:23" ht="18" customHeight="1" x14ac:dyDescent="0.25">
      <c r="W194"/>
    </row>
    <row r="195" spans="3:23" ht="18" customHeight="1" x14ac:dyDescent="0.25">
      <c r="W195"/>
    </row>
    <row r="196" spans="3:23" ht="18" customHeight="1" x14ac:dyDescent="0.25">
      <c r="W196"/>
    </row>
    <row r="197" spans="3:23" ht="18" customHeight="1" x14ac:dyDescent="0.25">
      <c r="W197"/>
    </row>
    <row r="198" spans="3:23" ht="18" customHeight="1" x14ac:dyDescent="0.25">
      <c r="W198"/>
    </row>
    <row r="199" spans="3:23" ht="0" hidden="1" customHeight="1" x14ac:dyDescent="0.25">
      <c r="W199"/>
    </row>
    <row r="200" spans="3:23" ht="0" hidden="1" customHeight="1" x14ac:dyDescent="0.25">
      <c r="W200"/>
    </row>
    <row r="201" spans="3:23" ht="0" hidden="1" customHeight="1" x14ac:dyDescent="0.25">
      <c r="W201"/>
    </row>
    <row r="202" spans="3:23" ht="0" hidden="1" customHeight="1" x14ac:dyDescent="0.25">
      <c r="W202"/>
    </row>
    <row r="203" spans="3:23" ht="0" hidden="1" customHeight="1" x14ac:dyDescent="0.25">
      <c r="W203"/>
    </row>
    <row r="204" spans="3:23" ht="0" hidden="1" customHeight="1" x14ac:dyDescent="0.25">
      <c r="W204"/>
    </row>
    <row r="205" spans="3:23" ht="0" hidden="1" customHeight="1" x14ac:dyDescent="0.25">
      <c r="W205"/>
    </row>
    <row r="206" spans="3:23" ht="0" hidden="1" customHeight="1" x14ac:dyDescent="0.25">
      <c r="W206"/>
    </row>
    <row r="207" spans="3:23" ht="0" hidden="1" customHeight="1" x14ac:dyDescent="0.25">
      <c r="W207"/>
    </row>
    <row r="208" spans="3:23" ht="0" hidden="1" customHeight="1" x14ac:dyDescent="0.25">
      <c r="W208"/>
    </row>
    <row r="209" spans="23:23" ht="0" hidden="1" customHeight="1" x14ac:dyDescent="0.25">
      <c r="W209"/>
    </row>
    <row r="210" spans="23:23" ht="0" hidden="1" customHeight="1" x14ac:dyDescent="0.25">
      <c r="W210"/>
    </row>
    <row r="211" spans="23:23" ht="0" hidden="1" customHeight="1" x14ac:dyDescent="0.25">
      <c r="W211"/>
    </row>
    <row r="212" spans="23:23" ht="0" hidden="1" customHeight="1" x14ac:dyDescent="0.25">
      <c r="W212"/>
    </row>
    <row r="213" spans="23:23" ht="0" hidden="1" customHeight="1" x14ac:dyDescent="0.25">
      <c r="W213"/>
    </row>
  </sheetData>
  <mergeCells count="5">
    <mergeCell ref="B81:R81"/>
    <mergeCell ref="B6:C6"/>
    <mergeCell ref="P7:R7"/>
    <mergeCell ref="F7:G7"/>
    <mergeCell ref="K7:M7"/>
  </mergeCells>
  <conditionalFormatting sqref="Q3:R3">
    <cfRule type="cellIs" dxfId="207" priority="3" operator="lessThan">
      <formula>0</formula>
    </cfRule>
    <cfRule type="cellIs" dxfId="206" priority="4" operator="greaterThan">
      <formula>0</formula>
    </cfRule>
  </conditionalFormatting>
  <hyperlinks>
    <hyperlink ref="R2" location="'Stock Guide'!A1" display="Stock Guide" xr:uid="{AEAB89B5-CF99-4D05-9EC8-213A2290C37B}"/>
    <hyperlink ref="Q2" location="Menu!A1" display="Menu" xr:uid="{881F4079-1CCD-489E-BD74-32ACFB7B8418}"/>
  </hyperlinks>
  <printOptions horizontalCentered="1" verticalCentered="1"/>
  <pageMargins left="0.05" right="0.05" top="0.05" bottom="0" header="0.05" footer="0.05"/>
  <pageSetup scale="55" fitToWidth="0"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787D7-B452-4F37-8A18-ED3507394E29}">
  <sheetPr codeName="Sheet19">
    <tabColor rgb="FF2C5AAD"/>
  </sheetPr>
  <dimension ref="A1:Z213"/>
  <sheetViews>
    <sheetView showGridLines="0" zoomScale="85" zoomScaleNormal="85" workbookViewId="0">
      <pane ySplit="8" topLeftCell="A9" activePane="bottomLeft" state="frozen"/>
      <selection activeCell="A28" sqref="A28:XFD33"/>
      <selection pane="bottomLeft" activeCell="Q2" sqref="Q2"/>
    </sheetView>
  </sheetViews>
  <sheetFormatPr defaultColWidth="0" defaultRowHeight="0" customHeight="1" zeroHeight="1" x14ac:dyDescent="0.25"/>
  <cols>
    <col min="1" max="1" width="0.5703125" style="23" customWidth="1"/>
    <col min="2" max="2" width="12" style="23" customWidth="1"/>
    <col min="3" max="3" width="7.5703125" style="23" customWidth="1"/>
    <col min="4" max="4" width="14.42578125" style="23" customWidth="1"/>
    <col min="5" max="5" width="10.42578125" style="23" customWidth="1"/>
    <col min="6" max="6" width="40.7109375" style="23" bestFit="1" customWidth="1"/>
    <col min="7" max="7" width="18.42578125" style="23" customWidth="1"/>
    <col min="8" max="8" width="10.85546875" style="23" customWidth="1"/>
    <col min="9" max="9" width="17.85546875" style="23" customWidth="1"/>
    <col min="10" max="10" width="9.5703125" style="23" customWidth="1"/>
    <col min="11" max="12" width="12.28515625" style="23" customWidth="1"/>
    <col min="13" max="13" width="12.5703125" style="23" customWidth="1"/>
    <col min="14" max="14" width="12.140625" style="23" bestFit="1" customWidth="1"/>
    <col min="15" max="15" width="12.140625" style="23" customWidth="1"/>
    <col min="16" max="16" width="10" style="23" customWidth="1"/>
    <col min="17" max="17" width="10.5703125" style="23" bestFit="1" customWidth="1"/>
    <col min="18" max="18" width="11.28515625" style="23" bestFit="1" customWidth="1"/>
    <col min="19" max="19" width="2.140625" style="23" customWidth="1"/>
    <col min="20" max="22" width="9.140625" style="23" hidden="1" customWidth="1"/>
    <col min="23" max="23" width="17.28515625" style="23" hidden="1" customWidth="1"/>
    <col min="24" max="24" width="9.28515625" style="23" hidden="1" customWidth="1"/>
    <col min="25" max="25" width="12.28515625" style="23" hidden="1" customWidth="1"/>
    <col min="26" max="16384" width="9.140625" style="23" hidden="1"/>
  </cols>
  <sheetData>
    <row r="1" spans="1:18" s="10" customFormat="1" ht="3" customHeight="1" x14ac:dyDescent="0.2">
      <c r="C1" s="180"/>
      <c r="D1" s="180"/>
      <c r="E1" s="180"/>
      <c r="F1" s="180"/>
      <c r="G1" s="180"/>
      <c r="H1" s="180"/>
      <c r="I1" s="180"/>
      <c r="J1" s="180"/>
      <c r="K1" s="180"/>
      <c r="L1" s="180"/>
      <c r="M1" s="180"/>
      <c r="N1" s="180"/>
      <c r="O1" s="180"/>
      <c r="P1" s="180"/>
    </row>
    <row r="2" spans="1:18" s="10" customFormat="1" ht="14.25" customHeight="1" x14ac:dyDescent="0.2">
      <c r="C2" s="180"/>
      <c r="D2" s="180"/>
      <c r="E2" s="180"/>
      <c r="F2" s="180"/>
      <c r="G2" s="180"/>
      <c r="H2" s="180"/>
      <c r="I2" s="180"/>
      <c r="J2" s="180"/>
      <c r="K2" s="180"/>
      <c r="L2" s="180"/>
      <c r="M2" s="180"/>
      <c r="N2" s="180"/>
      <c r="O2" s="180"/>
      <c r="P2" s="180"/>
      <c r="Q2" s="154" t="s">
        <v>57</v>
      </c>
      <c r="R2" s="153" t="s">
        <v>68</v>
      </c>
    </row>
    <row r="3" spans="1:18" s="10" customFormat="1" ht="12.75" customHeight="1" thickBot="1" x14ac:dyDescent="0.25">
      <c r="C3" s="180"/>
      <c r="D3" s="180"/>
      <c r="E3" s="180"/>
      <c r="F3" s="180"/>
      <c r="G3" s="180"/>
      <c r="H3" s="180"/>
      <c r="I3" s="180"/>
      <c r="J3" s="180"/>
      <c r="K3" s="180"/>
      <c r="L3" s="180"/>
      <c r="M3" s="180"/>
      <c r="N3" s="180"/>
      <c r="O3" s="180"/>
      <c r="P3" s="180"/>
      <c r="Q3" s="152"/>
      <c r="R3" s="152"/>
    </row>
    <row r="4" spans="1:18" s="10" customFormat="1" ht="12.75" customHeight="1" thickTop="1" x14ac:dyDescent="0.2">
      <c r="B4" s="180"/>
      <c r="C4" s="180"/>
      <c r="D4" s="180"/>
      <c r="E4" s="180"/>
      <c r="F4" s="180"/>
      <c r="G4" s="180"/>
      <c r="H4" s="180"/>
      <c r="I4" s="180"/>
      <c r="J4" s="180"/>
      <c r="K4" s="180"/>
      <c r="L4" s="180"/>
      <c r="M4" s="180"/>
      <c r="N4" s="180"/>
      <c r="O4" s="180"/>
      <c r="P4" s="180"/>
      <c r="Q4" s="180"/>
      <c r="R4" s="180"/>
    </row>
    <row r="5" spans="1:18" s="10" customFormat="1" ht="22.5" customHeight="1" x14ac:dyDescent="0.2">
      <c r="B5" s="180" t="s">
        <v>162</v>
      </c>
      <c r="C5" s="180"/>
      <c r="D5" s="180"/>
      <c r="E5" s="180"/>
      <c r="F5" s="180"/>
      <c r="G5" s="180"/>
      <c r="H5" s="180"/>
      <c r="I5" s="180"/>
      <c r="J5" s="180"/>
      <c r="K5" s="180"/>
      <c r="L5" s="180"/>
      <c r="M5" s="180"/>
      <c r="N5" s="180"/>
      <c r="O5" s="180"/>
      <c r="P5" s="180"/>
      <c r="Q5" s="180"/>
      <c r="R5" s="180"/>
    </row>
    <row r="6" spans="1:18" s="26" customFormat="1" ht="3.75" customHeight="1" x14ac:dyDescent="0.25">
      <c r="A6" s="180"/>
      <c r="B6" s="180"/>
      <c r="C6" s="180"/>
      <c r="D6" s="180"/>
      <c r="E6" s="180"/>
      <c r="F6" s="180"/>
      <c r="G6" s="180"/>
      <c r="H6" s="180"/>
      <c r="I6" s="180"/>
      <c r="J6" s="180"/>
      <c r="K6" s="180"/>
      <c r="L6" s="180"/>
      <c r="M6" s="180"/>
      <c r="N6" s="180"/>
      <c r="O6" s="180"/>
      <c r="P6" s="180"/>
      <c r="Q6" s="180"/>
      <c r="R6" s="180"/>
    </row>
    <row r="7" spans="1:18" s="26" customFormat="1" ht="21" customHeight="1" x14ac:dyDescent="0.25">
      <c r="B7" s="112" t="s">
        <v>54</v>
      </c>
      <c r="C7" s="112" t="s">
        <v>97</v>
      </c>
      <c r="D7" s="113" t="s">
        <v>142</v>
      </c>
      <c r="E7" s="113" t="s">
        <v>131</v>
      </c>
      <c r="F7" s="268" t="s">
        <v>98</v>
      </c>
      <c r="G7" s="270"/>
      <c r="H7" s="112" t="s">
        <v>99</v>
      </c>
      <c r="I7" s="112" t="s">
        <v>100</v>
      </c>
      <c r="J7" s="112" t="s">
        <v>7</v>
      </c>
      <c r="K7" s="268" t="s">
        <v>89</v>
      </c>
      <c r="L7" s="269"/>
      <c r="M7" s="270"/>
      <c r="N7" s="156" t="s">
        <v>134</v>
      </c>
      <c r="O7" s="156"/>
      <c r="P7" s="268" t="s">
        <v>101</v>
      </c>
      <c r="Q7" s="269"/>
      <c r="R7" s="270"/>
    </row>
    <row r="8" spans="1:18" s="26" customFormat="1" ht="32.25" customHeight="1" x14ac:dyDescent="0.25">
      <c r="B8" s="114" t="s">
        <v>102</v>
      </c>
      <c r="C8" s="114" t="s">
        <v>46</v>
      </c>
      <c r="D8" s="114" t="s">
        <v>17</v>
      </c>
      <c r="E8" s="114" t="s">
        <v>143</v>
      </c>
      <c r="F8" s="114" t="s">
        <v>169</v>
      </c>
      <c r="G8" s="114" t="s">
        <v>14</v>
      </c>
      <c r="H8" s="114" t="s">
        <v>103</v>
      </c>
      <c r="I8" s="114" t="s">
        <v>144</v>
      </c>
      <c r="J8" s="114" t="s">
        <v>44</v>
      </c>
      <c r="K8" s="114" t="s">
        <v>145</v>
      </c>
      <c r="L8" s="114" t="s">
        <v>146</v>
      </c>
      <c r="M8" s="114" t="s">
        <v>147</v>
      </c>
      <c r="N8" s="114" t="s">
        <v>103</v>
      </c>
      <c r="O8" s="114" t="s">
        <v>137</v>
      </c>
      <c r="P8" s="114" t="s">
        <v>141</v>
      </c>
      <c r="Q8" s="114" t="s">
        <v>139</v>
      </c>
      <c r="R8" s="114" t="s">
        <v>140</v>
      </c>
    </row>
    <row r="9" spans="1:18" s="26" customFormat="1" ht="18.75" customHeight="1" x14ac:dyDescent="0.25">
      <c r="B9" s="176" t="s">
        <v>117</v>
      </c>
      <c r="C9" s="177">
        <f>IF(D9=0,"",IFERROR(D9/$D$34,""))</f>
        <v>0.06</v>
      </c>
      <c r="D9" s="115">
        <v>60000</v>
      </c>
      <c r="E9" s="165">
        <f t="shared" ref="E9:E33" si="0">IFERROR(ROUNDDOWN(D9/H9,0),"")</f>
        <v>6666</v>
      </c>
      <c r="F9" s="166" t="str">
        <f>IFERROR(VLOOKUP($B9,'Stock Guide'!$B:$W,3,0),"")</f>
        <v>BTG Pactual Crédito Imobiliário FII</v>
      </c>
      <c r="G9" s="166" t="str">
        <f>IFERROR(VLOOKUP($B9,'Stock Guide'!$B:$W,6,0),"")</f>
        <v>Recebível</v>
      </c>
      <c r="H9" s="167">
        <f>IFERROR(VLOOKUP($B9,'Stock Guide'!$B:$W,9,0),"")</f>
        <v>9</v>
      </c>
      <c r="I9" s="115">
        <f>IFERROR(VLOOKUP($B9,'Stock Guide'!$B:$W,8,0)/1000,"")</f>
        <v>3504.8616468</v>
      </c>
      <c r="J9" s="168">
        <f>IFERROR(VLOOKUP($B9,'Stock Guide'!$B:$W,14,0),"")</f>
        <v>0.8921572436346602</v>
      </c>
      <c r="K9" s="116">
        <f>IFERROR(N9/H9,"")</f>
        <v>1.1444444444444445E-2</v>
      </c>
      <c r="L9" s="116">
        <f>IFERROR(VLOOKUP($B9,'Stock Guide'!$B:$W,16,0),"")</f>
        <v>0.13055555556000001</v>
      </c>
      <c r="M9" s="116">
        <f>IFERROR((N9/H9)*12,"")</f>
        <v>0.13733333333333334</v>
      </c>
      <c r="N9" s="169">
        <f>IFERROR(VLOOKUP($B9,'Stock Guide'!$B:$W,19,0),"")</f>
        <v>0.10299999999999999</v>
      </c>
      <c r="O9" s="167">
        <f>IFERROR(N9*E9,"")</f>
        <v>686.59799999999996</v>
      </c>
      <c r="P9" s="116">
        <f>IFERROR(VLOOKUP($B9,'Stock Guide'!$B:$W,20,0),"")</f>
        <v>-4.0443824091000004E-3</v>
      </c>
      <c r="Q9" s="116">
        <f>IFERROR(VLOOKUP($B9,'Stock Guide'!$B:$W,21,0),"")</f>
        <v>4.8974723013000002E-2</v>
      </c>
      <c r="R9" s="116">
        <f>IFERROR(VLOOKUP($B9,'Stock Guide'!$B:$W,22,0),"")</f>
        <v>0.12285467526</v>
      </c>
    </row>
    <row r="10" spans="1:18" s="26" customFormat="1" ht="18.75" customHeight="1" x14ac:dyDescent="0.25">
      <c r="B10" s="178" t="s">
        <v>31</v>
      </c>
      <c r="C10" s="177">
        <f t="shared" ref="C10:C33" si="1">IF(D10=0,"",IFERROR(D10/$D$34,""))</f>
        <v>0.13</v>
      </c>
      <c r="D10" s="117">
        <v>130000</v>
      </c>
      <c r="E10" s="165">
        <f t="shared" si="0"/>
        <v>1219</v>
      </c>
      <c r="F10" s="166" t="str">
        <f>IFERROR(VLOOKUP($B10,'Stock Guide'!$B:$W,3,0),"")</f>
        <v>Kinea Rendimentos Imobiliários FII</v>
      </c>
      <c r="G10" s="166" t="str">
        <f>IFERROR(VLOOKUP($B10,'Stock Guide'!$B:$W,6,0),"")</f>
        <v>Recebível</v>
      </c>
      <c r="H10" s="167">
        <f>IFERROR(VLOOKUP($B10,'Stock Guide'!$B:$W,9,0),"")</f>
        <v>106.6</v>
      </c>
      <c r="I10" s="115">
        <f>IFERROR(VLOOKUP($B10,'Stock Guide'!$B:$W,8,0)/1000,"")</f>
        <v>21474.425813999998</v>
      </c>
      <c r="J10" s="168">
        <f>IFERROR(VLOOKUP($B10,'Stock Guide'!$B:$W,14,0),"")</f>
        <v>1.0398102039502524</v>
      </c>
      <c r="K10" s="116">
        <f t="shared" ref="K10:K33" si="2">IFERROR(N10/H10,"")</f>
        <v>1.1726078799249532E-2</v>
      </c>
      <c r="L10" s="116">
        <f>IFERROR(VLOOKUP($B10,'Stock Guide'!$B:$W,16,0),"")</f>
        <v>0.13452157599</v>
      </c>
      <c r="M10" s="116">
        <f t="shared" ref="M10:M33" si="3">IFERROR((N10/H10)*12,"")</f>
        <v>0.1407129455909944</v>
      </c>
      <c r="N10" s="169">
        <f>IFERROR(VLOOKUP($B10,'Stock Guide'!$B:$W,19,0),"")</f>
        <v>1.25</v>
      </c>
      <c r="O10" s="167">
        <f t="shared" ref="O10:O33" si="4">IFERROR(N10*E10,"")</f>
        <v>1523.75</v>
      </c>
      <c r="P10" s="116">
        <f>IFERROR(VLOOKUP($B10,'Stock Guide'!$B:$W,20,0),"")</f>
        <v>-2.0595394117E-3</v>
      </c>
      <c r="Q10" s="116">
        <f>IFERROR(VLOOKUP($B10,'Stock Guide'!$B:$W,21,0),"")</f>
        <v>8.0907163892000006E-2</v>
      </c>
      <c r="R10" s="116">
        <f>IFERROR(VLOOKUP($B10,'Stock Guide'!$B:$W,22,0),"")</f>
        <v>0.18083758010000001</v>
      </c>
    </row>
    <row r="11" spans="1:18" s="26" customFormat="1" ht="18.75" customHeight="1" x14ac:dyDescent="0.25">
      <c r="B11" s="178" t="s">
        <v>29</v>
      </c>
      <c r="C11" s="177">
        <f t="shared" si="1"/>
        <v>0.13</v>
      </c>
      <c r="D11" s="117">
        <v>130000</v>
      </c>
      <c r="E11" s="165">
        <f t="shared" si="0"/>
        <v>1455</v>
      </c>
      <c r="F11" s="166" t="str">
        <f>IFERROR(VLOOKUP($B11,'Stock Guide'!$B:$W,3,0),"")</f>
        <v>Kinea Indices de Preços FII</v>
      </c>
      <c r="G11" s="166" t="str">
        <f>IFERROR(VLOOKUP($B11,'Stock Guide'!$B:$W,6,0),"")</f>
        <v>Recebível</v>
      </c>
      <c r="H11" s="167">
        <f>IFERROR(VLOOKUP($B11,'Stock Guide'!$B:$W,9,0),"")</f>
        <v>89.3</v>
      </c>
      <c r="I11" s="115">
        <f>IFERROR(VLOOKUP($B11,'Stock Guide'!$B:$W,8,0)/1000,"")</f>
        <v>10206.473310000001</v>
      </c>
      <c r="J11" s="168">
        <f>IFERROR(VLOOKUP($B11,'Stock Guide'!$B:$W,14,0),"")</f>
        <v>0.96172850670618804</v>
      </c>
      <c r="K11" s="116">
        <f t="shared" si="2"/>
        <v>1.0638297872340425E-2</v>
      </c>
      <c r="L11" s="116">
        <f>IFERROR(VLOOKUP($B11,'Stock Guide'!$B:$W,16,0),"")</f>
        <v>0.11377379619</v>
      </c>
      <c r="M11" s="116">
        <f t="shared" si="3"/>
        <v>0.1276595744680851</v>
      </c>
      <c r="N11" s="169">
        <f>IFERROR(VLOOKUP($B11,'Stock Guide'!$B:$W,19,0),"")</f>
        <v>0.95</v>
      </c>
      <c r="O11" s="167">
        <f t="shared" si="4"/>
        <v>1382.25</v>
      </c>
      <c r="P11" s="116">
        <f>IFERROR(VLOOKUP($B11,'Stock Guide'!$B:$W,20,0),"")</f>
        <v>-1.4783759927E-2</v>
      </c>
      <c r="Q11" s="116">
        <f>IFERROR(VLOOKUP($B11,'Stock Guide'!$B:$W,21,0),"")</f>
        <v>7.0350425191999993E-2</v>
      </c>
      <c r="R11" s="116">
        <f>IFERROR(VLOOKUP($B11,'Stock Guide'!$B:$W,22,0),"")</f>
        <v>0.15124008206</v>
      </c>
    </row>
    <row r="12" spans="1:18" s="26" customFormat="1" ht="18.75" customHeight="1" x14ac:dyDescent="0.25">
      <c r="B12" s="178" t="s">
        <v>32</v>
      </c>
      <c r="C12" s="177">
        <f t="shared" si="1"/>
        <v>0.03</v>
      </c>
      <c r="D12" s="117">
        <v>30000</v>
      </c>
      <c r="E12" s="165">
        <f t="shared" si="0"/>
        <v>400</v>
      </c>
      <c r="F12" s="166" t="str">
        <f>IFERROR(VLOOKUP($B12,'Stock Guide'!$B:$W,3,0),"")</f>
        <v>FII RBR Rendimento High</v>
      </c>
      <c r="G12" s="166" t="str">
        <f>IFERROR(VLOOKUP($B12,'Stock Guide'!$B:$W,6,0),"")</f>
        <v>Recebível</v>
      </c>
      <c r="H12" s="167">
        <f>IFERROR(VLOOKUP($B12,'Stock Guide'!$B:$W,9,0),"")</f>
        <v>75</v>
      </c>
      <c r="I12" s="115">
        <f>IFERROR(VLOOKUP($B12,'Stock Guide'!$B:$W,8,0)/1000,"")</f>
        <v>4149.1633065999995</v>
      </c>
      <c r="J12" s="168">
        <f>IFERROR(VLOOKUP($B12,'Stock Guide'!$B:$W,14,0),"")</f>
        <v>0.81605128097163937</v>
      </c>
      <c r="K12" s="116">
        <f t="shared" si="2"/>
        <v>1.2E-2</v>
      </c>
      <c r="L12" s="116">
        <f>IFERROR(VLOOKUP($B12,'Stock Guide'!$B:$W,16,0),"")</f>
        <v>0.13173333333000001</v>
      </c>
      <c r="M12" s="116">
        <f t="shared" si="3"/>
        <v>0.14400000000000002</v>
      </c>
      <c r="N12" s="169">
        <f>IFERROR(VLOOKUP($B12,'Stock Guide'!$B:$W,19,0),"")</f>
        <v>0.9</v>
      </c>
      <c r="O12" s="167">
        <f t="shared" si="4"/>
        <v>360</v>
      </c>
      <c r="P12" s="116">
        <f>IFERROR(VLOOKUP($B12,'Stock Guide'!$B:$W,20,0),"")</f>
        <v>-4.5359408796E-4</v>
      </c>
      <c r="Q12" s="116">
        <f>IFERROR(VLOOKUP($B12,'Stock Guide'!$B:$W,21,0),"")</f>
        <v>-7.0281296647000002E-2</v>
      </c>
      <c r="R12" s="116">
        <f>IFERROR(VLOOKUP($B12,'Stock Guide'!$B:$W,22,0),"")</f>
        <v>-2.3658732602E-2</v>
      </c>
    </row>
    <row r="13" spans="1:18" s="26" customFormat="1" ht="18.75" customHeight="1" x14ac:dyDescent="0.25">
      <c r="B13" s="178" t="s">
        <v>33</v>
      </c>
      <c r="C13" s="177">
        <f t="shared" si="1"/>
        <v>0.09</v>
      </c>
      <c r="D13" s="117">
        <v>90000</v>
      </c>
      <c r="E13" s="165">
        <f t="shared" si="0"/>
        <v>1170</v>
      </c>
      <c r="F13" s="166" t="str">
        <f>IFERROR(VLOOKUP($B13,'Stock Guide'!$B:$W,3,0),"")</f>
        <v>RBR Crédito Imobiliário Estruturado FII</v>
      </c>
      <c r="G13" s="166" t="str">
        <f>IFERROR(VLOOKUP($B13,'Stock Guide'!$B:$W,6,0),"")</f>
        <v>Recebível</v>
      </c>
      <c r="H13" s="167">
        <f>IFERROR(VLOOKUP($B13,'Stock Guide'!$B:$W,9,0),"")</f>
        <v>76.87</v>
      </c>
      <c r="I13" s="115">
        <f>IFERROR(VLOOKUP($B13,'Stock Guide'!$B:$W,8,0)/1000,"")</f>
        <v>4305.7881322000003</v>
      </c>
      <c r="J13" s="168">
        <f>IFERROR(VLOOKUP($B13,'Stock Guide'!$B:$W,14,0),"")</f>
        <v>0.76119221991005481</v>
      </c>
      <c r="K13" s="116">
        <f t="shared" si="2"/>
        <v>1.3008976193573565E-2</v>
      </c>
      <c r="L13" s="116">
        <f>IFERROR(VLOOKUP($B13,'Stock Guide'!$B:$W,16,0),"")</f>
        <v>0.17627162741999999</v>
      </c>
      <c r="M13" s="116">
        <f t="shared" si="3"/>
        <v>0.15610771432288278</v>
      </c>
      <c r="N13" s="169">
        <f>IFERROR(VLOOKUP($B13,'Stock Guide'!$B:$W,19,0),"")</f>
        <v>1</v>
      </c>
      <c r="O13" s="167">
        <f t="shared" si="4"/>
        <v>1170</v>
      </c>
      <c r="P13" s="116">
        <f>IFERROR(VLOOKUP($B13,'Stock Guide'!$B:$W,20,0),"")</f>
        <v>-8.1375576946999997E-2</v>
      </c>
      <c r="Q13" s="116">
        <f>IFERROR(VLOOKUP($B13,'Stock Guide'!$B:$W,21,0),"")</f>
        <v>-0.13772419495999999</v>
      </c>
      <c r="R13" s="116">
        <f>IFERROR(VLOOKUP($B13,'Stock Guide'!$B:$W,22,0),"")</f>
        <v>-3.8285444644000001E-2</v>
      </c>
    </row>
    <row r="14" spans="1:18" s="26" customFormat="1" ht="18.75" customHeight="1" x14ac:dyDescent="0.25">
      <c r="B14" s="178" t="s">
        <v>255</v>
      </c>
      <c r="C14" s="177">
        <f t="shared" si="1"/>
        <v>0.08</v>
      </c>
      <c r="D14" s="117">
        <v>80000</v>
      </c>
      <c r="E14" s="165">
        <f t="shared" si="0"/>
        <v>856</v>
      </c>
      <c r="F14" s="166" t="str">
        <f>IFERROR(VLOOKUP($B14,'Stock Guide'!$B:$W,3,0),"")</f>
        <v>Mauá Capital Recebíveis Imobiliários FII</v>
      </c>
      <c r="G14" s="166" t="str">
        <f>IFERROR(VLOOKUP($B14,'Stock Guide'!$B:$W,6,0),"")</f>
        <v>Recebível</v>
      </c>
      <c r="H14" s="167">
        <f>IFERROR(VLOOKUP($B14,'Stock Guide'!$B:$W,9,0),"")</f>
        <v>93.38</v>
      </c>
      <c r="I14" s="115">
        <f>IFERROR(VLOOKUP($B14,'Stock Guide'!$B:$W,8,0)/1000,"")</f>
        <v>4539.8289225999997</v>
      </c>
      <c r="J14" s="168">
        <f>IFERROR(VLOOKUP($B14,'Stock Guide'!$B:$W,14,0),"")</f>
        <v>0.99342629006675143</v>
      </c>
      <c r="K14" s="116">
        <f t="shared" si="2"/>
        <v>1.0708931248661385E-2</v>
      </c>
      <c r="L14" s="116">
        <f>IFERROR(VLOOKUP($B14,'Stock Guide'!$B:$W,16,0),"")</f>
        <v>0.12850717498</v>
      </c>
      <c r="M14" s="116">
        <f t="shared" si="3"/>
        <v>0.1285071749839366</v>
      </c>
      <c r="N14" s="169">
        <f>IFERROR(VLOOKUP($B14,'Stock Guide'!$B:$W,19,0),"")</f>
        <v>1</v>
      </c>
      <c r="O14" s="167">
        <f t="shared" si="4"/>
        <v>856</v>
      </c>
      <c r="P14" s="116">
        <f>IFERROR(VLOOKUP($B14,'Stock Guide'!$B:$W,20,0),"")</f>
        <v>-4.2546667318999996E-3</v>
      </c>
      <c r="Q14" s="116">
        <f>IFERROR(VLOOKUP($B14,'Stock Guide'!$B:$W,21,0),"")</f>
        <v>0.11080271396999999</v>
      </c>
      <c r="R14" s="116">
        <f>IFERROR(VLOOKUP($B14,'Stock Guide'!$B:$W,22,0),"")</f>
        <v>0.26147021172000001</v>
      </c>
    </row>
    <row r="15" spans="1:18" s="26" customFormat="1" ht="18.75" customHeight="1" x14ac:dyDescent="0.25">
      <c r="B15" s="178" t="s">
        <v>34</v>
      </c>
      <c r="C15" s="177">
        <f t="shared" si="1"/>
        <v>4.4999999999999998E-2</v>
      </c>
      <c r="D15" s="117">
        <v>45000</v>
      </c>
      <c r="E15" s="165">
        <f t="shared" si="0"/>
        <v>490</v>
      </c>
      <c r="F15" s="166" t="str">
        <f>IFERROR(VLOOKUP($B15,'Stock Guide'!$B:$W,3,0),"")</f>
        <v>Vinci Logística FII</v>
      </c>
      <c r="G15" s="166" t="str">
        <f>IFERROR(VLOOKUP($B15,'Stock Guide'!$B:$W,6,0),"")</f>
        <v>Galpão Logístico</v>
      </c>
      <c r="H15" s="167">
        <f>IFERROR(VLOOKUP($B15,'Stock Guide'!$B:$W,9,0),"")</f>
        <v>91.65</v>
      </c>
      <c r="I15" s="115">
        <f>IFERROR(VLOOKUP($B15,'Stock Guide'!$B:$W,8,0)/1000,"")</f>
        <v>2575.8593253999998</v>
      </c>
      <c r="J15" s="168">
        <f>IFERROR(VLOOKUP($B15,'Stock Guide'!$B:$W,14,0),"")</f>
        <v>0.83834886139434162</v>
      </c>
      <c r="K15" s="116">
        <f t="shared" si="2"/>
        <v>8.9470812875068178E-3</v>
      </c>
      <c r="L15" s="116">
        <f>IFERROR(VLOOKUP($B15,'Stock Guide'!$B:$W,16,0),"")</f>
        <v>0.10190943808</v>
      </c>
      <c r="M15" s="116">
        <f t="shared" si="3"/>
        <v>0.10736497545008181</v>
      </c>
      <c r="N15" s="169">
        <f>IFERROR(VLOOKUP($B15,'Stock Guide'!$B:$W,19,0),"")</f>
        <v>0.82</v>
      </c>
      <c r="O15" s="167">
        <f t="shared" si="4"/>
        <v>401.79999999999995</v>
      </c>
      <c r="P15" s="116">
        <f>IFERROR(VLOOKUP($B15,'Stock Guide'!$B:$W,20,0),"")</f>
        <v>5.8165057070999997E-3</v>
      </c>
      <c r="Q15" s="116">
        <f>IFERROR(VLOOKUP($B15,'Stock Guide'!$B:$W,21,0),"")</f>
        <v>-1.6190667618999999E-2</v>
      </c>
      <c r="R15" s="116">
        <f>IFERROR(VLOOKUP($B15,'Stock Guide'!$B:$W,22,0),"")</f>
        <v>0.25374251109000001</v>
      </c>
    </row>
    <row r="16" spans="1:18" s="26" customFormat="1" ht="18.75" customHeight="1" x14ac:dyDescent="0.25">
      <c r="B16" s="178" t="s">
        <v>23</v>
      </c>
      <c r="C16" s="177">
        <f t="shared" si="1"/>
        <v>4.4999999999999998E-2</v>
      </c>
      <c r="D16" s="117">
        <v>45000</v>
      </c>
      <c r="E16" s="165">
        <f t="shared" si="0"/>
        <v>402</v>
      </c>
      <c r="F16" s="166" t="str">
        <f>IFERROR(VLOOKUP($B16,'Stock Guide'!$B:$W,3,0),"")</f>
        <v>Bresco Logística FII</v>
      </c>
      <c r="G16" s="166" t="str">
        <f>IFERROR(VLOOKUP($B16,'Stock Guide'!$B:$W,6,0),"")</f>
        <v>Galpão Logístico</v>
      </c>
      <c r="H16" s="167">
        <f>IFERROR(VLOOKUP($B16,'Stock Guide'!$B:$W,9,0),"")</f>
        <v>111.84</v>
      </c>
      <c r="I16" s="115">
        <f>IFERROR(VLOOKUP($B16,'Stock Guide'!$B:$W,8,0)/1000,"")</f>
        <v>5135.9863602999994</v>
      </c>
      <c r="J16" s="168">
        <f>IFERROR(VLOOKUP($B16,'Stock Guide'!$B:$W,14,0),"")</f>
        <v>0.97361058371226783</v>
      </c>
      <c r="K16" s="116">
        <f t="shared" si="2"/>
        <v>8.1366237482117312E-3</v>
      </c>
      <c r="L16" s="116">
        <f>IFERROR(VLOOKUP($B16,'Stock Guide'!$B:$W,16,0),"")</f>
        <v>9.7639484977999999E-2</v>
      </c>
      <c r="M16" s="116">
        <f t="shared" si="3"/>
        <v>9.7639484978540775E-2</v>
      </c>
      <c r="N16" s="169">
        <f>IFERROR(VLOOKUP($B16,'Stock Guide'!$B:$W,19,0),"")</f>
        <v>0.91</v>
      </c>
      <c r="O16" s="167">
        <f t="shared" si="4"/>
        <v>365.82</v>
      </c>
      <c r="P16" s="116">
        <f>IFERROR(VLOOKUP($B16,'Stock Guide'!$B:$W,20,0),"")</f>
        <v>-1.9291476674999999E-2</v>
      </c>
      <c r="Q16" s="116">
        <f>IFERROR(VLOOKUP($B16,'Stock Guide'!$B:$W,21,0),"")</f>
        <v>1.0814625611E-2</v>
      </c>
      <c r="R16" s="116">
        <f>IFERROR(VLOOKUP($B16,'Stock Guide'!$B:$W,22,0),"")</f>
        <v>0.12894550842999999</v>
      </c>
    </row>
    <row r="17" spans="2:18" s="26" customFormat="1" ht="18.75" customHeight="1" x14ac:dyDescent="0.25">
      <c r="B17" s="178" t="s">
        <v>24</v>
      </c>
      <c r="C17" s="177">
        <f t="shared" si="1"/>
        <v>0.13</v>
      </c>
      <c r="D17" s="117">
        <v>130000</v>
      </c>
      <c r="E17" s="165">
        <f t="shared" si="0"/>
        <v>1321</v>
      </c>
      <c r="F17" s="166" t="str">
        <f>IFERROR(VLOOKUP($B17,'Stock Guide'!$B:$W,3,0),"")</f>
        <v>BTG Pactual Logística FII</v>
      </c>
      <c r="G17" s="166" t="str">
        <f>IFERROR(VLOOKUP($B17,'Stock Guide'!$B:$W,6,0),"")</f>
        <v>Galpão Logístico</v>
      </c>
      <c r="H17" s="167">
        <f>IFERROR(VLOOKUP($B17,'Stock Guide'!$B:$W,9,0),"")</f>
        <v>98.37</v>
      </c>
      <c r="I17" s="115">
        <f>IFERROR(VLOOKUP($B17,'Stock Guide'!$B:$W,8,0)/1000,"")</f>
        <v>12468.437922000001</v>
      </c>
      <c r="J17" s="168">
        <f>IFERROR(VLOOKUP($B17,'Stock Guide'!$B:$W,14,0),"")</f>
        <v>0.92052045130163107</v>
      </c>
      <c r="K17" s="116">
        <f t="shared" si="2"/>
        <v>8.2342177493138161E-3</v>
      </c>
      <c r="L17" s="116">
        <f>IFERROR(VLOOKUP($B17,'Stock Guide'!$B:$W,16,0),"")</f>
        <v>9.7590728880999997E-2</v>
      </c>
      <c r="M17" s="116">
        <f t="shared" si="3"/>
        <v>9.88106129917658E-2</v>
      </c>
      <c r="N17" s="169">
        <f>IFERROR(VLOOKUP($B17,'Stock Guide'!$B:$W,19,0),"")</f>
        <v>0.81</v>
      </c>
      <c r="O17" s="167">
        <f t="shared" si="4"/>
        <v>1070.01</v>
      </c>
      <c r="P17" s="116">
        <f>IFERROR(VLOOKUP($B17,'Stock Guide'!$B:$W,20,0),"")</f>
        <v>-1.6233044410000001E-2</v>
      </c>
      <c r="Q17" s="116">
        <f>IFERROR(VLOOKUP($B17,'Stock Guide'!$B:$W,21,0),"")</f>
        <v>2.2844674291000001E-2</v>
      </c>
      <c r="R17" s="116">
        <f>IFERROR(VLOOKUP($B17,'Stock Guide'!$B:$W,22,0),"")</f>
        <v>9.3649124868999997E-2</v>
      </c>
    </row>
    <row r="18" spans="2:18" s="26" customFormat="1" ht="18.75" customHeight="1" x14ac:dyDescent="0.25">
      <c r="B18" s="178" t="s">
        <v>22</v>
      </c>
      <c r="C18" s="177">
        <f t="shared" si="1"/>
        <v>4.4999999999999998E-2</v>
      </c>
      <c r="D18" s="117">
        <v>45000</v>
      </c>
      <c r="E18" s="165">
        <f t="shared" si="0"/>
        <v>1148</v>
      </c>
      <c r="F18" s="166" t="str">
        <f>IFERROR(VLOOKUP($B18,'Stock Guide'!$B:$W,3,0),"")</f>
        <v>BTG Pactual Corporate Offices FII</v>
      </c>
      <c r="G18" s="166" t="str">
        <f>IFERROR(VLOOKUP($B18,'Stock Guide'!$B:$W,6,0),"")</f>
        <v>Laje Corporativa</v>
      </c>
      <c r="H18" s="167">
        <f>IFERROR(VLOOKUP($B18,'Stock Guide'!$B:$W,9,0),"")</f>
        <v>39.19</v>
      </c>
      <c r="I18" s="115">
        <f>IFERROR(VLOOKUP($B18,'Stock Guide'!$B:$W,8,0)/1000,"")</f>
        <v>1254.8978038</v>
      </c>
      <c r="J18" s="168">
        <f>IFERROR(VLOOKUP($B18,'Stock Guide'!$B:$W,14,0),"")</f>
        <v>0.48377810701772034</v>
      </c>
      <c r="K18" s="116">
        <f t="shared" si="2"/>
        <v>1.0461852513396274E-2</v>
      </c>
      <c r="L18" s="116">
        <f>IFERROR(VLOOKUP($B18,'Stock Guide'!$B:$W,16,0),"")</f>
        <v>0.12554223015999999</v>
      </c>
      <c r="M18" s="116">
        <f t="shared" si="3"/>
        <v>0.12554223016075527</v>
      </c>
      <c r="N18" s="169">
        <f>IFERROR(VLOOKUP($B18,'Stock Guide'!$B:$W,19,0),"")</f>
        <v>0.41</v>
      </c>
      <c r="O18" s="167">
        <f t="shared" si="4"/>
        <v>470.67999999999995</v>
      </c>
      <c r="P18" s="116">
        <f>IFERROR(VLOOKUP($B18,'Stock Guide'!$B:$W,20,0),"")</f>
        <v>-1.8103262876999999E-2</v>
      </c>
      <c r="Q18" s="116">
        <f>IFERROR(VLOOKUP($B18,'Stock Guide'!$B:$W,21,0),"")</f>
        <v>-8.2991444748000007E-2</v>
      </c>
      <c r="R18" s="116">
        <f>IFERROR(VLOOKUP($B18,'Stock Guide'!$B:$W,22,0),"")</f>
        <v>8.4784476302999998E-2</v>
      </c>
    </row>
    <row r="19" spans="2:18" s="26" customFormat="1" ht="18.75" customHeight="1" x14ac:dyDescent="0.25">
      <c r="B19" s="178" t="s">
        <v>94</v>
      </c>
      <c r="C19" s="177">
        <f t="shared" si="1"/>
        <v>0.05</v>
      </c>
      <c r="D19" s="117">
        <v>50000</v>
      </c>
      <c r="E19" s="165">
        <f t="shared" si="0"/>
        <v>750</v>
      </c>
      <c r="F19" s="166" t="str">
        <f>IFERROR(VLOOKUP($B19,'Stock Guide'!$B:$W,3,0),"")</f>
        <v>VBI Prime Properties</v>
      </c>
      <c r="G19" s="166" t="str">
        <f>IFERROR(VLOOKUP($B19,'Stock Guide'!$B:$W,6,0),"")</f>
        <v>Laje Corporativa</v>
      </c>
      <c r="H19" s="167">
        <f>IFERROR(VLOOKUP($B19,'Stock Guide'!$B:$W,9,0),"")</f>
        <v>66.66</v>
      </c>
      <c r="I19" s="115">
        <f>IFERROR(VLOOKUP($B19,'Stock Guide'!$B:$W,8,0)/1000,"")</f>
        <v>3815.4921964999999</v>
      </c>
      <c r="J19" s="168">
        <f>IFERROR(VLOOKUP($B19,'Stock Guide'!$B:$W,14,0),"")</f>
        <v>0.63782682413865333</v>
      </c>
      <c r="K19" s="116">
        <f t="shared" si="2"/>
        <v>6.0006000600060011E-3</v>
      </c>
      <c r="L19" s="116">
        <f>IFERROR(VLOOKUP($B19,'Stock Guide'!$B:$W,16,0),"")</f>
        <v>7.7257725772999997E-2</v>
      </c>
      <c r="M19" s="116">
        <f t="shared" si="3"/>
        <v>7.2007200720072009E-2</v>
      </c>
      <c r="N19" s="169">
        <f>IFERROR(VLOOKUP($B19,'Stock Guide'!$B:$W,19,0),"")</f>
        <v>0.4</v>
      </c>
      <c r="O19" s="167">
        <f t="shared" si="4"/>
        <v>300</v>
      </c>
      <c r="P19" s="116">
        <f>IFERROR(VLOOKUP($B19,'Stock Guide'!$B:$W,20,0),"")</f>
        <v>-3.8372763992E-2</v>
      </c>
      <c r="Q19" s="116">
        <f>IFERROR(VLOOKUP($B19,'Stock Guide'!$B:$W,21,0),"")</f>
        <v>-0.15062473000000001</v>
      </c>
      <c r="R19" s="116">
        <f>IFERROR(VLOOKUP($B19,'Stock Guide'!$B:$W,22,0),"")</f>
        <v>-4.2919194649E-2</v>
      </c>
    </row>
    <row r="20" spans="2:18" s="26" customFormat="1" ht="18.75" customHeight="1" x14ac:dyDescent="0.25">
      <c r="B20" s="178" t="s">
        <v>27</v>
      </c>
      <c r="C20" s="177">
        <f t="shared" si="1"/>
        <v>0.03</v>
      </c>
      <c r="D20" s="117">
        <v>30000</v>
      </c>
      <c r="E20" s="165">
        <f t="shared" si="0"/>
        <v>1612</v>
      </c>
      <c r="F20" s="166" t="str">
        <f>IFERROR(VLOOKUP($B20,'Stock Guide'!$B:$W,3,0),"")</f>
        <v>Hedge Brasil Shopping FII</v>
      </c>
      <c r="G20" s="166" t="str">
        <f>IFERROR(VLOOKUP($B20,'Stock Guide'!$B:$W,6,0),"")</f>
        <v>Shopping Center</v>
      </c>
      <c r="H20" s="167">
        <f>IFERROR(VLOOKUP($B20,'Stock Guide'!$B:$W,9,0),"")</f>
        <v>18.600000000000001</v>
      </c>
      <c r="I20" s="115">
        <f>IFERROR(VLOOKUP($B20,'Stock Guide'!$B:$W,8,0)/1000,"")</f>
        <v>4435.5008686000001</v>
      </c>
      <c r="J20" s="168">
        <f>IFERROR(VLOOKUP($B20,'Stock Guide'!$B:$W,14,0),"")</f>
        <v>0.91869993448196707</v>
      </c>
      <c r="K20" s="116">
        <f t="shared" si="2"/>
        <v>9.1397849462365593E-3</v>
      </c>
      <c r="L20" s="116">
        <f>IFERROR(VLOOKUP($B20,'Stock Guide'!$B:$W,16,0),"")</f>
        <v>0.10376344086</v>
      </c>
      <c r="M20" s="116">
        <f t="shared" si="3"/>
        <v>0.10967741935483871</v>
      </c>
      <c r="N20" s="169">
        <f>IFERROR(VLOOKUP($B20,'Stock Guide'!$B:$W,19,0),"")</f>
        <v>0.17</v>
      </c>
      <c r="O20" s="167">
        <f t="shared" si="4"/>
        <v>274.04000000000002</v>
      </c>
      <c r="P20" s="116">
        <f>IFERROR(VLOOKUP($B20,'Stock Guide'!$B:$W,20,0),"")</f>
        <v>-1.9504480761E-2</v>
      </c>
      <c r="Q20" s="116">
        <f>IFERROR(VLOOKUP($B20,'Stock Guide'!$B:$W,21,0),"")</f>
        <v>-5.9386744851999997E-3</v>
      </c>
      <c r="R20" s="116">
        <f>IFERROR(VLOOKUP($B20,'Stock Guide'!$B:$W,22,0),"")</f>
        <v>8.8335596847E-2</v>
      </c>
    </row>
    <row r="21" spans="2:18" s="26" customFormat="1" ht="18.75" customHeight="1" x14ac:dyDescent="0.25">
      <c r="B21" s="178" t="s">
        <v>182</v>
      </c>
      <c r="C21" s="177">
        <f t="shared" si="1"/>
        <v>2.5000000000000001E-2</v>
      </c>
      <c r="D21" s="117">
        <v>25000</v>
      </c>
      <c r="E21" s="165">
        <f t="shared" si="0"/>
        <v>675</v>
      </c>
      <c r="F21" s="166" t="str">
        <f>IFERROR(VLOOKUP($B21,'Stock Guide'!$B:$W,3,0),"")</f>
        <v>Gazit Malls FII</v>
      </c>
      <c r="G21" s="166" t="str">
        <f>IFERROR(VLOOKUP($B21,'Stock Guide'!$B:$W,6,0),"")</f>
        <v>Shopping Center</v>
      </c>
      <c r="H21" s="167">
        <f>IFERROR(VLOOKUP($B21,'Stock Guide'!$B:$W,9,0),"")</f>
        <v>37.03</v>
      </c>
      <c r="I21" s="115">
        <f>IFERROR(VLOOKUP($B21,'Stock Guide'!$B:$W,8,0)/1000,"")</f>
        <v>408.06676753999994</v>
      </c>
      <c r="J21" s="168">
        <f>IFERROR(VLOOKUP($B21,'Stock Guide'!$B:$W,14,0),"")</f>
        <v>0.42614957060185815</v>
      </c>
      <c r="K21" s="116">
        <f t="shared" si="2"/>
        <v>1.1342155009451795E-2</v>
      </c>
      <c r="L21" s="116">
        <f>IFERROR(VLOOKUP($B21,'Stock Guide'!$B:$W,16,0),"")</f>
        <v>0.19443694302</v>
      </c>
      <c r="M21" s="116">
        <f t="shared" si="3"/>
        <v>0.13610586011342155</v>
      </c>
      <c r="N21" s="169">
        <f>IFERROR(VLOOKUP($B21,'Stock Guide'!$B:$W,19,0),"")</f>
        <v>0.42</v>
      </c>
      <c r="O21" s="167">
        <f t="shared" si="4"/>
        <v>283.5</v>
      </c>
      <c r="P21" s="116">
        <f>IFERROR(VLOOKUP($B21,'Stock Guide'!$B:$W,20,0),"")</f>
        <v>-8.6581154413999994E-2</v>
      </c>
      <c r="Q21" s="116">
        <f>IFERROR(VLOOKUP($B21,'Stock Guide'!$B:$W,21,0),"")</f>
        <v>-0.14218842612999999</v>
      </c>
      <c r="R21" s="116">
        <f>IFERROR(VLOOKUP($B21,'Stock Guide'!$B:$W,22,0),"")</f>
        <v>-2.0717713223000001E-3</v>
      </c>
    </row>
    <row r="22" spans="2:18" s="26" customFormat="1" ht="18.75" customHeight="1" x14ac:dyDescent="0.25">
      <c r="B22" s="178" t="s">
        <v>250</v>
      </c>
      <c r="C22" s="177">
        <f t="shared" si="1"/>
        <v>0.02</v>
      </c>
      <c r="D22" s="117">
        <v>20000</v>
      </c>
      <c r="E22" s="165">
        <f t="shared" si="0"/>
        <v>239</v>
      </c>
      <c r="F22" s="166" t="str">
        <f>IFERROR(VLOOKUP($B22,'Stock Guide'!$B:$W,3,0),"")</f>
        <v>HSI Malls FII</v>
      </c>
      <c r="G22" s="166" t="str">
        <f>IFERROR(VLOOKUP($B22,'Stock Guide'!$B:$W,6,0),"")</f>
        <v>Shopping Center</v>
      </c>
      <c r="H22" s="167">
        <f>IFERROR(VLOOKUP($B22,'Stock Guide'!$B:$W,9,0),"")</f>
        <v>83.52</v>
      </c>
      <c r="I22" s="115">
        <f>IFERROR(VLOOKUP($B22,'Stock Guide'!$B:$W,8,0)/1000,"")</f>
        <v>4261.6109919</v>
      </c>
      <c r="J22" s="168">
        <f>IFERROR(VLOOKUP($B22,'Stock Guide'!$B:$W,14,0),"")</f>
        <v>0.83794418617935607</v>
      </c>
      <c r="K22" s="116">
        <f t="shared" si="2"/>
        <v>8.9798850574712655E-3</v>
      </c>
      <c r="L22" s="116">
        <f>IFERROR(VLOOKUP($B22,'Stock Guide'!$B:$W,16,0),"")</f>
        <v>0.10189176245000001</v>
      </c>
      <c r="M22" s="116">
        <f t="shared" si="3"/>
        <v>0.10775862068965519</v>
      </c>
      <c r="N22" s="169">
        <f>IFERROR(VLOOKUP($B22,'Stock Guide'!$B:$W,19,0),"")</f>
        <v>0.75</v>
      </c>
      <c r="O22" s="167">
        <f t="shared" si="4"/>
        <v>179.25</v>
      </c>
      <c r="P22" s="116">
        <f>IFERROR(VLOOKUP($B22,'Stock Guide'!$B:$W,20,0),"")</f>
        <v>-3.4785623483000003E-2</v>
      </c>
      <c r="Q22" s="116">
        <f>IFERROR(VLOOKUP($B22,'Stock Guide'!$B:$W,21,0),"")</f>
        <v>-3.8807953702999998E-2</v>
      </c>
      <c r="R22" s="116">
        <f>IFERROR(VLOOKUP($B22,'Stock Guide'!$B:$W,22,0),"")</f>
        <v>0.14833052346</v>
      </c>
    </row>
    <row r="23" spans="2:18" s="26" customFormat="1" ht="18.75" customHeight="1" x14ac:dyDescent="0.25">
      <c r="B23" s="178" t="s">
        <v>720</v>
      </c>
      <c r="C23" s="177">
        <f t="shared" si="1"/>
        <v>0.02</v>
      </c>
      <c r="D23" s="117">
        <v>20000</v>
      </c>
      <c r="E23" s="165">
        <f t="shared" si="0"/>
        <v>196</v>
      </c>
      <c r="F23" s="166" t="str">
        <f>IFERROR(VLOOKUP($B23,'Stock Guide'!$B:$W,3,0),"")</f>
        <v>Vinci Shopping Centers FII</v>
      </c>
      <c r="G23" s="166" t="str">
        <f>IFERROR(VLOOKUP($B23,'Stock Guide'!$B:$W,6,0),"")</f>
        <v>Shopping Center</v>
      </c>
      <c r="H23" s="167">
        <f>IFERROR(VLOOKUP($B23,'Stock Guide'!$B:$W,9,0),"")</f>
        <v>101.7</v>
      </c>
      <c r="I23" s="115">
        <f>IFERROR(VLOOKUP($B23,'Stock Guide'!$B:$W,8,0)/1000,"")</f>
        <v>6047.3139791000003</v>
      </c>
      <c r="J23" s="168">
        <f>IFERROR(VLOOKUP($B23,'Stock Guide'!$B:$W,14,0),"")</f>
        <v>0.88098643706618218</v>
      </c>
      <c r="K23" s="116">
        <f t="shared" si="2"/>
        <v>8.2595870206489674E-3</v>
      </c>
      <c r="L23" s="116">
        <f>IFERROR(VLOOKUP($B23,'Stock Guide'!$B:$W,16,0),"")</f>
        <v>9.7640117994000006E-2</v>
      </c>
      <c r="M23" s="116">
        <f t="shared" si="3"/>
        <v>9.9115044247787609E-2</v>
      </c>
      <c r="N23" s="169">
        <f>IFERROR(VLOOKUP($B23,'Stock Guide'!$B:$W,19,0),"")</f>
        <v>0.84</v>
      </c>
      <c r="O23" s="167">
        <f t="shared" si="4"/>
        <v>164.64</v>
      </c>
      <c r="P23" s="116">
        <f>IFERROR(VLOOKUP($B23,'Stock Guide'!$B:$W,20,0),"")</f>
        <v>-2.2585295530999999E-2</v>
      </c>
      <c r="Q23" s="116">
        <f>IFERROR(VLOOKUP($B23,'Stock Guide'!$B:$W,21,0),"")</f>
        <v>-7.7786218062000003E-3</v>
      </c>
      <c r="R23" s="116">
        <f>IFERROR(VLOOKUP($B23,'Stock Guide'!$B:$W,22,0),"")</f>
        <v>8.3744613048000002E-2</v>
      </c>
    </row>
    <row r="24" spans="2:18" s="26" customFormat="1" ht="18.75" customHeight="1" x14ac:dyDescent="0.25">
      <c r="B24" s="178" t="s">
        <v>164</v>
      </c>
      <c r="C24" s="177">
        <f t="shared" si="1"/>
        <v>7.0000000000000007E-2</v>
      </c>
      <c r="D24" s="115">
        <v>70000</v>
      </c>
      <c r="E24" s="165">
        <f t="shared" si="0"/>
        <v>974</v>
      </c>
      <c r="F24" s="166" t="str">
        <f>IFERROR(VLOOKUP($B24,'Stock Guide'!$B:$W,3,0),"")</f>
        <v>TRX Real Estate FII</v>
      </c>
      <c r="G24" s="166" t="str">
        <f>IFERROR(VLOOKUP($B24,'Stock Guide'!$B:$W,6,0),"")</f>
        <v>Renda Urbana</v>
      </c>
      <c r="H24" s="167">
        <f>IFERROR(VLOOKUP($B24,'Stock Guide'!$B:$W,9,0),"")</f>
        <v>71.8</v>
      </c>
      <c r="I24" s="115">
        <f>IFERROR(VLOOKUP($B24,'Stock Guide'!$B:$W,8,0)/1000,"")</f>
        <v>23831.970943</v>
      </c>
      <c r="J24" s="168">
        <f>IFERROR(VLOOKUP($B24,'Stock Guide'!$B:$W,14,0),"")</f>
        <v>0.73970400570666728</v>
      </c>
      <c r="K24" s="116">
        <f t="shared" si="2"/>
        <v>1.2952646239554319E-2</v>
      </c>
      <c r="L24" s="116">
        <f>IFERROR(VLOOKUP($B24,'Stock Guide'!$B:$W,16,0),"")</f>
        <v>0.16434540389999999</v>
      </c>
      <c r="M24" s="116">
        <f t="shared" si="3"/>
        <v>0.15543175487465183</v>
      </c>
      <c r="N24" s="169">
        <f>IFERROR(VLOOKUP($B24,'Stock Guide'!$B:$W,19,0),"")</f>
        <v>0.93</v>
      </c>
      <c r="O24" s="167">
        <f t="shared" si="4"/>
        <v>905.82</v>
      </c>
      <c r="P24" s="116">
        <f>IFERROR(VLOOKUP($B24,'Stock Guide'!$B:$W,20,0),"")</f>
        <v>-0.20372629478000001</v>
      </c>
      <c r="Q24" s="116">
        <f>IFERROR(VLOOKUP($B24,'Stock Guide'!$B:$W,21,0),"")</f>
        <v>-0.20018374333</v>
      </c>
      <c r="R24" s="116">
        <f>IFERROR(VLOOKUP($B24,'Stock Guide'!$B:$W,22,0),"")</f>
        <v>-0.1619183609</v>
      </c>
    </row>
    <row r="25" spans="2:18" s="26" customFormat="1" ht="18.75" customHeight="1" x14ac:dyDescent="0.25">
      <c r="B25" s="178"/>
      <c r="C25" s="177" t="str">
        <f t="shared" si="1"/>
        <v/>
      </c>
      <c r="D25" s="117"/>
      <c r="E25" s="165" t="str">
        <f t="shared" si="0"/>
        <v/>
      </c>
      <c r="F25" s="166" t="str">
        <f>IFERROR(VLOOKUP($B25,'Stock Guide'!$B:$W,3,0),"")</f>
        <v/>
      </c>
      <c r="G25" s="166" t="str">
        <f>IFERROR(VLOOKUP($B25,'Stock Guide'!$B:$W,6,0),"")</f>
        <v/>
      </c>
      <c r="H25" s="167" t="str">
        <f>IFERROR(VLOOKUP($B25,'Stock Guide'!$B:$W,9,0),"")</f>
        <v/>
      </c>
      <c r="I25" s="115" t="str">
        <f>IFERROR(VLOOKUP($B25,'Stock Guide'!$B:$W,8,0)/1000,"")</f>
        <v/>
      </c>
      <c r="J25" s="168" t="str">
        <f>IFERROR(VLOOKUP($B25,'Stock Guide'!$B:$W,14,0),"")</f>
        <v/>
      </c>
      <c r="K25" s="116" t="str">
        <f t="shared" si="2"/>
        <v/>
      </c>
      <c r="L25" s="116" t="str">
        <f>IFERROR(VLOOKUP($B25,'Stock Guide'!$B:$W,16,0),"")</f>
        <v/>
      </c>
      <c r="M25" s="116" t="str">
        <f t="shared" si="3"/>
        <v/>
      </c>
      <c r="N25" s="169" t="str">
        <f>IFERROR(VLOOKUP($B25,'Stock Guide'!$B:$W,19,0),"")</f>
        <v/>
      </c>
      <c r="O25" s="167" t="str">
        <f t="shared" si="4"/>
        <v/>
      </c>
      <c r="P25" s="116" t="str">
        <f>IFERROR(VLOOKUP($B25,'Stock Guide'!$B:$W,20,0),"")</f>
        <v/>
      </c>
      <c r="Q25" s="116" t="str">
        <f>IFERROR(VLOOKUP($B25,'Stock Guide'!$B:$W,21,0),"")</f>
        <v/>
      </c>
      <c r="R25" s="116" t="str">
        <f>IFERROR(VLOOKUP($B25,'Stock Guide'!$B:$W,22,0),"")</f>
        <v/>
      </c>
    </row>
    <row r="26" spans="2:18" s="26" customFormat="1" ht="18.75" customHeight="1" x14ac:dyDescent="0.25">
      <c r="B26" s="178"/>
      <c r="C26" s="177" t="str">
        <f t="shared" si="1"/>
        <v/>
      </c>
      <c r="D26" s="117"/>
      <c r="E26" s="165" t="str">
        <f t="shared" si="0"/>
        <v/>
      </c>
      <c r="F26" s="166" t="str">
        <f>IFERROR(VLOOKUP($B26,'Stock Guide'!$B:$W,3,0),"")</f>
        <v/>
      </c>
      <c r="G26" s="166" t="str">
        <f>IFERROR(VLOOKUP($B26,'Stock Guide'!$B:$W,6,0),"")</f>
        <v/>
      </c>
      <c r="H26" s="167" t="str">
        <f>IFERROR(VLOOKUP($B26,'Stock Guide'!$B:$W,9,0),"")</f>
        <v/>
      </c>
      <c r="I26" s="115" t="str">
        <f>IFERROR(VLOOKUP($B26,'Stock Guide'!$B:$W,8,0)/1000,"")</f>
        <v/>
      </c>
      <c r="J26" s="168" t="str">
        <f>IFERROR(VLOOKUP($B26,'Stock Guide'!$B:$W,14,0),"")</f>
        <v/>
      </c>
      <c r="K26" s="116" t="str">
        <f t="shared" si="2"/>
        <v/>
      </c>
      <c r="L26" s="116" t="str">
        <f>IFERROR(VLOOKUP($B26,'Stock Guide'!$B:$W,16,0),"")</f>
        <v/>
      </c>
      <c r="M26" s="116" t="str">
        <f t="shared" si="3"/>
        <v/>
      </c>
      <c r="N26" s="169" t="str">
        <f>IFERROR(VLOOKUP($B26,'Stock Guide'!$B:$W,19,0),"")</f>
        <v/>
      </c>
      <c r="O26" s="167" t="str">
        <f t="shared" si="4"/>
        <v/>
      </c>
      <c r="P26" s="116" t="str">
        <f>IFERROR(VLOOKUP($B26,'Stock Guide'!$B:$W,20,0),"")</f>
        <v/>
      </c>
      <c r="Q26" s="116" t="str">
        <f>IFERROR(VLOOKUP($B26,'Stock Guide'!$B:$W,21,0),"")</f>
        <v/>
      </c>
      <c r="R26" s="116" t="str">
        <f>IFERROR(VLOOKUP($B26,'Stock Guide'!$B:$W,22,0),"")</f>
        <v/>
      </c>
    </row>
    <row r="27" spans="2:18" s="26" customFormat="1" ht="18.75" customHeight="1" x14ac:dyDescent="0.25">
      <c r="B27" s="178"/>
      <c r="C27" s="177" t="str">
        <f t="shared" si="1"/>
        <v/>
      </c>
      <c r="D27" s="117"/>
      <c r="E27" s="165" t="str">
        <f t="shared" si="0"/>
        <v/>
      </c>
      <c r="F27" s="166" t="str">
        <f>IFERROR(VLOOKUP($B27,'Stock Guide'!$B:$W,3,0),"")</f>
        <v/>
      </c>
      <c r="G27" s="166" t="str">
        <f>IFERROR(VLOOKUP($B27,'Stock Guide'!$B:$W,6,0),"")</f>
        <v/>
      </c>
      <c r="H27" s="167" t="str">
        <f>IFERROR(VLOOKUP($B27,'Stock Guide'!$B:$W,9,0),"")</f>
        <v/>
      </c>
      <c r="I27" s="115" t="str">
        <f>IFERROR(VLOOKUP($B27,'Stock Guide'!$B:$W,8,0)/1000,"")</f>
        <v/>
      </c>
      <c r="J27" s="168" t="str">
        <f>IFERROR(VLOOKUP($B27,'Stock Guide'!$B:$W,14,0),"")</f>
        <v/>
      </c>
      <c r="K27" s="116" t="str">
        <f t="shared" si="2"/>
        <v/>
      </c>
      <c r="L27" s="116" t="str">
        <f>IFERROR(VLOOKUP($B27,'Stock Guide'!$B:$W,16,0),"")</f>
        <v/>
      </c>
      <c r="M27" s="116" t="str">
        <f t="shared" si="3"/>
        <v/>
      </c>
      <c r="N27" s="169" t="str">
        <f>IFERROR(VLOOKUP($B27,'Stock Guide'!$B:$W,19,0),"")</f>
        <v/>
      </c>
      <c r="O27" s="167" t="str">
        <f t="shared" si="4"/>
        <v/>
      </c>
      <c r="P27" s="116" t="str">
        <f>IFERROR(VLOOKUP($B27,'Stock Guide'!$B:$W,20,0),"")</f>
        <v/>
      </c>
      <c r="Q27" s="116" t="str">
        <f>IFERROR(VLOOKUP($B27,'Stock Guide'!$B:$W,21,0),"")</f>
        <v/>
      </c>
      <c r="R27" s="116" t="str">
        <f>IFERROR(VLOOKUP($B27,'Stock Guide'!$B:$W,22,0),"")</f>
        <v/>
      </c>
    </row>
    <row r="28" spans="2:18" s="26" customFormat="1" ht="18.75" customHeight="1" x14ac:dyDescent="0.25">
      <c r="B28" s="178"/>
      <c r="C28" s="177" t="str">
        <f t="shared" si="1"/>
        <v/>
      </c>
      <c r="D28" s="117"/>
      <c r="E28" s="165" t="str">
        <f t="shared" si="0"/>
        <v/>
      </c>
      <c r="F28" s="166" t="str">
        <f>IFERROR(VLOOKUP($B28,'Stock Guide'!$B:$W,3,0),"")</f>
        <v/>
      </c>
      <c r="G28" s="166" t="str">
        <f>IFERROR(VLOOKUP($B28,'Stock Guide'!$B:$W,6,0),"")</f>
        <v/>
      </c>
      <c r="H28" s="167" t="str">
        <f>IFERROR(VLOOKUP($B28,'Stock Guide'!$B:$W,9,0),"")</f>
        <v/>
      </c>
      <c r="I28" s="115" t="str">
        <f>IFERROR(VLOOKUP($B28,'Stock Guide'!$B:$W,8,0)/1000,"")</f>
        <v/>
      </c>
      <c r="J28" s="168" t="str">
        <f>IFERROR(VLOOKUP($B28,'Stock Guide'!$B:$W,14,0),"")</f>
        <v/>
      </c>
      <c r="K28" s="116" t="str">
        <f t="shared" si="2"/>
        <v/>
      </c>
      <c r="L28" s="116" t="str">
        <f>IFERROR(VLOOKUP($B28,'Stock Guide'!$B:$W,16,0),"")</f>
        <v/>
      </c>
      <c r="M28" s="116" t="str">
        <f t="shared" si="3"/>
        <v/>
      </c>
      <c r="N28" s="169" t="str">
        <f>IFERROR(VLOOKUP($B28,'Stock Guide'!$B:$W,19,0),"")</f>
        <v/>
      </c>
      <c r="O28" s="167" t="str">
        <f t="shared" si="4"/>
        <v/>
      </c>
      <c r="P28" s="116" t="str">
        <f>IFERROR(VLOOKUP($B28,'Stock Guide'!$B:$W,20,0),"")</f>
        <v/>
      </c>
      <c r="Q28" s="116" t="str">
        <f>IFERROR(VLOOKUP($B28,'Stock Guide'!$B:$W,21,0),"")</f>
        <v/>
      </c>
      <c r="R28" s="116" t="str">
        <f>IFERROR(VLOOKUP($B28,'Stock Guide'!$B:$W,22,0),"")</f>
        <v/>
      </c>
    </row>
    <row r="29" spans="2:18" s="26" customFormat="1" ht="18.75" customHeight="1" x14ac:dyDescent="0.25">
      <c r="B29" s="178"/>
      <c r="C29" s="177" t="str">
        <f t="shared" si="1"/>
        <v/>
      </c>
      <c r="D29" s="117"/>
      <c r="E29" s="165" t="str">
        <f t="shared" si="0"/>
        <v/>
      </c>
      <c r="F29" s="166" t="str">
        <f>IFERROR(VLOOKUP($B29,'Stock Guide'!$B:$W,3,0),"")</f>
        <v/>
      </c>
      <c r="G29" s="166" t="str">
        <f>IFERROR(VLOOKUP($B29,'Stock Guide'!$B:$W,6,0),"")</f>
        <v/>
      </c>
      <c r="H29" s="167" t="str">
        <f>IFERROR(VLOOKUP($B29,'Stock Guide'!$B:$W,9,0),"")</f>
        <v/>
      </c>
      <c r="I29" s="115" t="str">
        <f>IFERROR(VLOOKUP($B29,'Stock Guide'!$B:$W,8,0)/1000,"")</f>
        <v/>
      </c>
      <c r="J29" s="168" t="str">
        <f>IFERROR(VLOOKUP($B29,'Stock Guide'!$B:$W,14,0),"")</f>
        <v/>
      </c>
      <c r="K29" s="116" t="str">
        <f t="shared" si="2"/>
        <v/>
      </c>
      <c r="L29" s="116" t="str">
        <f>IFERROR(VLOOKUP($B29,'Stock Guide'!$B:$W,16,0),"")</f>
        <v/>
      </c>
      <c r="M29" s="116" t="str">
        <f t="shared" si="3"/>
        <v/>
      </c>
      <c r="N29" s="169" t="str">
        <f>IFERROR(VLOOKUP($B29,'Stock Guide'!$B:$W,19,0),"")</f>
        <v/>
      </c>
      <c r="O29" s="167" t="str">
        <f t="shared" si="4"/>
        <v/>
      </c>
      <c r="P29" s="116" t="str">
        <f>IFERROR(VLOOKUP($B29,'Stock Guide'!$B:$W,20,0),"")</f>
        <v/>
      </c>
      <c r="Q29" s="116" t="str">
        <f>IFERROR(VLOOKUP($B29,'Stock Guide'!$B:$W,21,0),"")</f>
        <v/>
      </c>
      <c r="R29" s="116" t="str">
        <f>IFERROR(VLOOKUP($B29,'Stock Guide'!$B:$W,22,0),"")</f>
        <v/>
      </c>
    </row>
    <row r="30" spans="2:18" s="26" customFormat="1" ht="18.75" customHeight="1" x14ac:dyDescent="0.25">
      <c r="B30" s="178"/>
      <c r="C30" s="177" t="str">
        <f t="shared" si="1"/>
        <v/>
      </c>
      <c r="D30" s="117"/>
      <c r="E30" s="165" t="str">
        <f t="shared" si="0"/>
        <v/>
      </c>
      <c r="F30" s="166" t="str">
        <f>IFERROR(VLOOKUP($B30,'Stock Guide'!$B:$W,3,0),"")</f>
        <v/>
      </c>
      <c r="G30" s="166" t="str">
        <f>IFERROR(VLOOKUP($B30,'Stock Guide'!$B:$W,6,0),"")</f>
        <v/>
      </c>
      <c r="H30" s="167" t="str">
        <f>IFERROR(VLOOKUP($B30,'Stock Guide'!$B:$W,9,0),"")</f>
        <v/>
      </c>
      <c r="I30" s="115" t="str">
        <f>IFERROR(VLOOKUP($B30,'Stock Guide'!$B:$W,8,0)/1000,"")</f>
        <v/>
      </c>
      <c r="J30" s="168" t="str">
        <f>IFERROR(VLOOKUP($B30,'Stock Guide'!$B:$W,14,0),"")</f>
        <v/>
      </c>
      <c r="K30" s="116" t="str">
        <f t="shared" si="2"/>
        <v/>
      </c>
      <c r="L30" s="116" t="str">
        <f>IFERROR(VLOOKUP($B30,'Stock Guide'!$B:$W,16,0),"")</f>
        <v/>
      </c>
      <c r="M30" s="116" t="str">
        <f t="shared" si="3"/>
        <v/>
      </c>
      <c r="N30" s="169" t="str">
        <f>IFERROR(VLOOKUP($B30,'Stock Guide'!$B:$W,19,0),"")</f>
        <v/>
      </c>
      <c r="O30" s="167" t="str">
        <f t="shared" si="4"/>
        <v/>
      </c>
      <c r="P30" s="116" t="str">
        <f>IFERROR(VLOOKUP($B30,'Stock Guide'!$B:$W,20,0),"")</f>
        <v/>
      </c>
      <c r="Q30" s="116" t="str">
        <f>IFERROR(VLOOKUP($B30,'Stock Guide'!$B:$W,21,0),"")</f>
        <v/>
      </c>
      <c r="R30" s="116" t="str">
        <f>IFERROR(VLOOKUP($B30,'Stock Guide'!$B:$W,22,0),"")</f>
        <v/>
      </c>
    </row>
    <row r="31" spans="2:18" s="26" customFormat="1" ht="18.75" customHeight="1" x14ac:dyDescent="0.25">
      <c r="B31" s="178"/>
      <c r="C31" s="177" t="str">
        <f t="shared" si="1"/>
        <v/>
      </c>
      <c r="D31" s="117"/>
      <c r="E31" s="165" t="str">
        <f t="shared" si="0"/>
        <v/>
      </c>
      <c r="F31" s="166" t="str">
        <f>IFERROR(VLOOKUP($B31,'Stock Guide'!$B:$W,3,0),"")</f>
        <v/>
      </c>
      <c r="G31" s="166" t="str">
        <f>IFERROR(VLOOKUP($B31,'Stock Guide'!$B:$W,6,0),"")</f>
        <v/>
      </c>
      <c r="H31" s="167" t="str">
        <f>IFERROR(VLOOKUP($B31,'Stock Guide'!$B:$W,9,0),"")</f>
        <v/>
      </c>
      <c r="I31" s="115" t="str">
        <f>IFERROR(VLOOKUP($B31,'Stock Guide'!$B:$W,8,0)/1000,"")</f>
        <v/>
      </c>
      <c r="J31" s="168" t="str">
        <f>IFERROR(VLOOKUP($B31,'Stock Guide'!$B:$W,14,0),"")</f>
        <v/>
      </c>
      <c r="K31" s="116" t="str">
        <f t="shared" si="2"/>
        <v/>
      </c>
      <c r="L31" s="116" t="str">
        <f>IFERROR(VLOOKUP($B31,'Stock Guide'!$B:$W,16,0),"")</f>
        <v/>
      </c>
      <c r="M31" s="116" t="str">
        <f t="shared" si="3"/>
        <v/>
      </c>
      <c r="N31" s="169" t="str">
        <f>IFERROR(VLOOKUP($B31,'Stock Guide'!$B:$W,19,0),"")</f>
        <v/>
      </c>
      <c r="O31" s="167" t="str">
        <f t="shared" si="4"/>
        <v/>
      </c>
      <c r="P31" s="116" t="str">
        <f>IFERROR(VLOOKUP($B31,'Stock Guide'!$B:$W,20,0),"")</f>
        <v/>
      </c>
      <c r="Q31" s="116" t="str">
        <f>IFERROR(VLOOKUP($B31,'Stock Guide'!$B:$W,21,0),"")</f>
        <v/>
      </c>
      <c r="R31" s="116" t="str">
        <f>IFERROR(VLOOKUP($B31,'Stock Guide'!$B:$W,22,0),"")</f>
        <v/>
      </c>
    </row>
    <row r="32" spans="2:18" s="26" customFormat="1" ht="18.75" customHeight="1" x14ac:dyDescent="0.25">
      <c r="B32" s="178"/>
      <c r="C32" s="177" t="str">
        <f t="shared" si="1"/>
        <v/>
      </c>
      <c r="D32" s="117"/>
      <c r="E32" s="165" t="str">
        <f t="shared" si="0"/>
        <v/>
      </c>
      <c r="F32" s="166" t="str">
        <f>IFERROR(VLOOKUP($B32,'Stock Guide'!$B:$W,3,0),"")</f>
        <v/>
      </c>
      <c r="G32" s="166" t="str">
        <f>IFERROR(VLOOKUP($B32,'Stock Guide'!$B:$W,6,0),"")</f>
        <v/>
      </c>
      <c r="H32" s="167" t="str">
        <f>IFERROR(VLOOKUP($B32,'Stock Guide'!$B:$W,9,0),"")</f>
        <v/>
      </c>
      <c r="I32" s="115" t="str">
        <f>IFERROR(VLOOKUP($B32,'Stock Guide'!$B:$W,8,0)/1000,"")</f>
        <v/>
      </c>
      <c r="J32" s="168" t="str">
        <f>IFERROR(VLOOKUP($B32,'Stock Guide'!$B:$W,14,0),"")</f>
        <v/>
      </c>
      <c r="K32" s="116" t="str">
        <f t="shared" si="2"/>
        <v/>
      </c>
      <c r="L32" s="116" t="str">
        <f>IFERROR(VLOOKUP($B32,'Stock Guide'!$B:$W,16,0),"")</f>
        <v/>
      </c>
      <c r="M32" s="116" t="str">
        <f t="shared" si="3"/>
        <v/>
      </c>
      <c r="N32" s="169" t="str">
        <f>IFERROR(VLOOKUP($B32,'Stock Guide'!$B:$W,19,0),"")</f>
        <v/>
      </c>
      <c r="O32" s="167" t="str">
        <f t="shared" si="4"/>
        <v/>
      </c>
      <c r="P32" s="116" t="str">
        <f>IFERROR(VLOOKUP($B32,'Stock Guide'!$B:$W,20,0),"")</f>
        <v/>
      </c>
      <c r="Q32" s="116" t="str">
        <f>IFERROR(VLOOKUP($B32,'Stock Guide'!$B:$W,21,0),"")</f>
        <v/>
      </c>
      <c r="R32" s="116" t="str">
        <f>IFERROR(VLOOKUP($B32,'Stock Guide'!$B:$W,22,0),"")</f>
        <v/>
      </c>
    </row>
    <row r="33" spans="2:23" s="26" customFormat="1" ht="18.75" customHeight="1" x14ac:dyDescent="0.25">
      <c r="B33" s="178"/>
      <c r="C33" s="177" t="str">
        <f t="shared" si="1"/>
        <v/>
      </c>
      <c r="D33" s="117"/>
      <c r="E33" s="165" t="str">
        <f t="shared" si="0"/>
        <v/>
      </c>
      <c r="F33" s="166" t="str">
        <f>IFERROR(VLOOKUP($B33,'Stock Guide'!$B:$W,3,0),"")</f>
        <v/>
      </c>
      <c r="G33" s="166" t="str">
        <f>IFERROR(VLOOKUP($B33,'Stock Guide'!$B:$W,6,0),"")</f>
        <v/>
      </c>
      <c r="H33" s="167" t="str">
        <f>IFERROR(VLOOKUP($B33,'Stock Guide'!$B:$W,9,0),"")</f>
        <v/>
      </c>
      <c r="I33" s="115" t="str">
        <f>IFERROR(VLOOKUP($B33,'Stock Guide'!$B:$W,8,0)/1000,"")</f>
        <v/>
      </c>
      <c r="J33" s="168" t="str">
        <f>IFERROR(VLOOKUP($B33,'Stock Guide'!$B:$W,14,0),"")</f>
        <v/>
      </c>
      <c r="K33" s="116" t="str">
        <f t="shared" si="2"/>
        <v/>
      </c>
      <c r="L33" s="116" t="str">
        <f>IFERROR(VLOOKUP($B33,'Stock Guide'!$B:$W,16,0),"")</f>
        <v/>
      </c>
      <c r="M33" s="116" t="str">
        <f t="shared" si="3"/>
        <v/>
      </c>
      <c r="N33" s="169" t="str">
        <f>IFERROR(VLOOKUP($B33,'Stock Guide'!$B:$W,19,0),"")</f>
        <v/>
      </c>
      <c r="O33" s="167" t="str">
        <f t="shared" si="4"/>
        <v/>
      </c>
      <c r="P33" s="116" t="str">
        <f>IFERROR(VLOOKUP($B33,'Stock Guide'!$B:$W,20,0),"")</f>
        <v/>
      </c>
      <c r="Q33" s="116" t="str">
        <f>IFERROR(VLOOKUP($B33,'Stock Guide'!$B:$W,21,0),"")</f>
        <v/>
      </c>
      <c r="R33" s="116" t="str">
        <f>IFERROR(VLOOKUP($B33,'Stock Guide'!$B:$W,22,0),"")</f>
        <v/>
      </c>
    </row>
    <row r="34" spans="2:23" s="33" customFormat="1" ht="18.75" customHeight="1" x14ac:dyDescent="0.25">
      <c r="B34" s="118" t="s">
        <v>51</v>
      </c>
      <c r="C34" s="192">
        <f>SUM(C9:C33)</f>
        <v>1.0000000000000002</v>
      </c>
      <c r="D34" s="175">
        <f>SUM(D9:D33)</f>
        <v>1000000</v>
      </c>
      <c r="E34" s="155"/>
      <c r="F34" s="155"/>
      <c r="G34" s="155"/>
      <c r="H34" s="155"/>
      <c r="I34" s="119">
        <f>SUMPRODUCT($I$9:$I$33,$C$9:$C$33)</f>
        <v>9436.8488872209982</v>
      </c>
      <c r="J34" s="120">
        <f>SUMPRODUCT(J$9:J$33,$C$9:$C$33)</f>
        <v>0.86543222831543354</v>
      </c>
      <c r="K34" s="121">
        <f>SUMPRODUCT(K$9:K$33,$C$9:$C$33)</f>
        <v>1.0400808493363754E-2</v>
      </c>
      <c r="L34" s="121">
        <f>SUMPRODUCT(L$9:L$33,$C$9:$C$33)</f>
        <v>0.12485617780427001</v>
      </c>
      <c r="M34" s="121">
        <f>SUMPRODUCT(M$9:M$33,$C$9:$C$33)</f>
        <v>0.12480970192036504</v>
      </c>
      <c r="N34" s="155" t="s">
        <v>44</v>
      </c>
      <c r="O34" s="175">
        <f>SUM(O9:O33)</f>
        <v>10394.157999999999</v>
      </c>
      <c r="P34" s="121">
        <f>SUMPRODUCT(P$9:P$33,$C$9:$C$33)</f>
        <v>-3.3717951738978305E-2</v>
      </c>
      <c r="Q34" s="121">
        <f>SUMPRODUCT(Q$9:Q$33,$C$9:$C$33)</f>
        <v>-1.0252859543789997E-2</v>
      </c>
      <c r="R34" s="121">
        <f>SUMPRODUCT(R$9:R$33,$C$9:$C$33)</f>
        <v>9.4273721440047503E-2</v>
      </c>
      <c r="W34"/>
    </row>
    <row r="35" spans="2:23" s="66" customFormat="1" ht="5.25" customHeight="1" x14ac:dyDescent="0.25">
      <c r="B35" s="67"/>
      <c r="C35" s="28"/>
      <c r="D35" s="68"/>
      <c r="E35" s="68"/>
      <c r="F35" s="27"/>
      <c r="G35" s="27"/>
      <c r="H35" s="67"/>
      <c r="I35" s="68"/>
      <c r="J35" s="69"/>
      <c r="K35" s="70"/>
      <c r="L35" s="70"/>
      <c r="M35" s="70"/>
      <c r="N35" s="70"/>
      <c r="O35" s="70"/>
      <c r="P35" s="70"/>
      <c r="Q35" s="70"/>
      <c r="R35" s="70"/>
      <c r="W35"/>
    </row>
    <row r="36" spans="2:23" s="33" customFormat="1" ht="14.25" customHeight="1" x14ac:dyDescent="0.25">
      <c r="B36" s="157" t="s">
        <v>135</v>
      </c>
      <c r="C36" s="27"/>
      <c r="D36" s="27"/>
      <c r="E36" s="27"/>
      <c r="F36" s="27"/>
      <c r="G36" s="27"/>
      <c r="H36" s="27"/>
      <c r="I36" s="27"/>
      <c r="J36" s="27"/>
      <c r="K36" s="27"/>
      <c r="L36" s="27"/>
      <c r="M36" s="27"/>
      <c r="N36" s="27"/>
      <c r="O36" s="27"/>
      <c r="P36" s="27"/>
      <c r="Q36" s="27"/>
      <c r="R36" s="27"/>
      <c r="W36"/>
    </row>
    <row r="37" spans="2:23" s="33" customFormat="1" ht="14.25" customHeight="1" x14ac:dyDescent="0.25">
      <c r="B37" s="158" t="s">
        <v>138</v>
      </c>
      <c r="C37" s="27"/>
      <c r="D37" s="27"/>
      <c r="E37" s="27"/>
      <c r="F37" s="27"/>
      <c r="G37" s="27"/>
      <c r="H37" s="27"/>
      <c r="I37" s="27"/>
      <c r="J37" s="27"/>
      <c r="K37" s="27"/>
      <c r="L37" s="27"/>
      <c r="M37" s="27"/>
      <c r="N37" s="27"/>
      <c r="O37" s="27"/>
      <c r="P37" s="27"/>
      <c r="Q37" s="27"/>
      <c r="R37" s="27"/>
      <c r="W37"/>
    </row>
    <row r="38" spans="2:23" s="33" customFormat="1" ht="14.25" customHeight="1" x14ac:dyDescent="0.25">
      <c r="B38" s="27"/>
      <c r="C38" s="27"/>
      <c r="D38" s="27"/>
      <c r="E38" s="27"/>
      <c r="F38" s="27"/>
      <c r="G38" s="27"/>
      <c r="H38" s="27"/>
      <c r="I38" s="27"/>
      <c r="J38" s="27"/>
      <c r="K38" s="27"/>
      <c r="L38" s="27"/>
      <c r="M38" s="27"/>
      <c r="N38" s="27"/>
      <c r="O38" s="27"/>
      <c r="P38" s="27"/>
      <c r="Q38" s="27"/>
      <c r="R38" s="27"/>
      <c r="W38"/>
    </row>
    <row r="39" spans="2:23" ht="12.75" customHeight="1" x14ac:dyDescent="0.25">
      <c r="B39" s="36"/>
      <c r="C39" s="28"/>
      <c r="D39" s="29"/>
      <c r="E39" s="29"/>
      <c r="F39" s="29"/>
      <c r="G39" s="30"/>
      <c r="H39" s="31"/>
      <c r="I39" s="32"/>
      <c r="J39" s="32"/>
      <c r="K39" s="58"/>
      <c r="L39" s="58"/>
      <c r="M39" s="58"/>
      <c r="N39" s="58"/>
      <c r="O39" s="58"/>
      <c r="P39" s="58"/>
      <c r="Q39" s="58"/>
      <c r="W39"/>
    </row>
    <row r="40" spans="2:23" ht="12.75" customHeight="1" x14ac:dyDescent="0.25">
      <c r="B40" s="36"/>
      <c r="C40" s="28"/>
      <c r="D40" s="29"/>
      <c r="E40" s="29"/>
      <c r="F40" s="29"/>
      <c r="G40" s="30"/>
      <c r="H40" s="31"/>
      <c r="I40" s="32"/>
      <c r="J40" s="32"/>
      <c r="K40" s="58"/>
      <c r="L40" s="58"/>
      <c r="M40" s="58"/>
      <c r="N40" s="58"/>
      <c r="O40" s="58"/>
      <c r="P40" s="58"/>
      <c r="Q40" s="58"/>
      <c r="W40"/>
    </row>
    <row r="41" spans="2:23" ht="12.75" customHeight="1" x14ac:dyDescent="0.25">
      <c r="B41" s="52" t="s">
        <v>132</v>
      </c>
      <c r="C41" s="60"/>
      <c r="D41" s="61"/>
      <c r="E41" s="61"/>
      <c r="F41" s="61"/>
      <c r="G41" s="30"/>
      <c r="H41" s="52" t="s">
        <v>100</v>
      </c>
      <c r="I41" s="64"/>
      <c r="J41" s="64"/>
      <c r="K41" s="65"/>
      <c r="L41" s="65"/>
      <c r="M41" s="65"/>
      <c r="N41" s="65"/>
      <c r="O41" s="65"/>
      <c r="P41" s="65"/>
      <c r="Q41" s="65"/>
      <c r="R41" s="59"/>
      <c r="W41"/>
    </row>
    <row r="42" spans="2:23" ht="12.75" customHeight="1" x14ac:dyDescent="0.25">
      <c r="B42" s="36"/>
      <c r="C42" s="28"/>
      <c r="D42" s="29"/>
      <c r="E42" s="29"/>
      <c r="F42" s="29"/>
      <c r="G42" s="30"/>
      <c r="H42" s="31"/>
      <c r="I42" s="32"/>
      <c r="J42" s="32"/>
      <c r="K42" s="58"/>
      <c r="L42" s="58"/>
      <c r="M42" s="58"/>
      <c r="N42" s="58"/>
      <c r="O42" s="58"/>
      <c r="P42" s="58"/>
      <c r="Q42" s="58"/>
      <c r="W42"/>
    </row>
    <row r="43" spans="2:23" ht="12.75" customHeight="1" x14ac:dyDescent="0.25">
      <c r="B43" s="36"/>
      <c r="C43" s="28"/>
      <c r="D43" s="29"/>
      <c r="E43" s="29"/>
      <c r="F43" s="29"/>
      <c r="G43" s="30"/>
      <c r="H43" s="31"/>
      <c r="I43" s="32"/>
      <c r="J43" s="32"/>
      <c r="K43" s="58"/>
      <c r="L43" s="58"/>
      <c r="M43" s="58"/>
      <c r="N43" s="58"/>
      <c r="O43" s="58"/>
      <c r="P43" s="58"/>
      <c r="Q43" s="58"/>
      <c r="W43"/>
    </row>
    <row r="44" spans="2:23" ht="12.75" customHeight="1" x14ac:dyDescent="0.25">
      <c r="B44" s="36"/>
      <c r="C44" s="28"/>
      <c r="D44" s="29"/>
      <c r="E44" s="29"/>
      <c r="F44" s="29"/>
      <c r="G44" s="30"/>
      <c r="H44" s="31"/>
      <c r="I44" s="32"/>
      <c r="J44" s="32"/>
      <c r="K44" s="58"/>
      <c r="L44" s="58"/>
      <c r="M44" s="58"/>
      <c r="N44" s="58"/>
      <c r="O44" s="58"/>
      <c r="P44" s="58"/>
      <c r="Q44" s="58"/>
      <c r="W44"/>
    </row>
    <row r="45" spans="2:23" ht="12.75" customHeight="1" x14ac:dyDescent="0.25">
      <c r="B45" s="36"/>
      <c r="C45" s="28"/>
      <c r="D45" s="29"/>
      <c r="E45" s="29"/>
      <c r="F45" s="29"/>
      <c r="G45" s="30"/>
      <c r="H45" s="31"/>
      <c r="I45" s="32"/>
      <c r="J45" s="32"/>
      <c r="K45" s="58"/>
      <c r="L45" s="58"/>
      <c r="M45" s="58"/>
      <c r="N45" s="58"/>
      <c r="O45" s="58"/>
      <c r="P45" s="58"/>
      <c r="Q45" s="58"/>
      <c r="W45"/>
    </row>
    <row r="46" spans="2:23" ht="12.75" customHeight="1" x14ac:dyDescent="0.25">
      <c r="B46" s="36"/>
      <c r="C46" s="28"/>
      <c r="D46" s="29"/>
      <c r="E46" s="29"/>
      <c r="F46" s="29"/>
      <c r="G46" s="30"/>
      <c r="H46" s="31"/>
      <c r="I46" s="32"/>
      <c r="J46" s="32"/>
      <c r="K46" s="58"/>
      <c r="L46" s="58"/>
      <c r="M46" s="58"/>
      <c r="N46" s="58"/>
      <c r="O46" s="58"/>
      <c r="P46" s="58"/>
      <c r="Q46" s="58"/>
      <c r="W46"/>
    </row>
    <row r="47" spans="2:23" ht="12.75" customHeight="1" x14ac:dyDescent="0.25">
      <c r="B47" s="36"/>
      <c r="C47" s="28"/>
      <c r="D47" s="29"/>
      <c r="E47" s="29"/>
      <c r="F47" s="29"/>
      <c r="G47" s="30"/>
      <c r="H47" s="31"/>
      <c r="I47" s="32"/>
      <c r="J47" s="32"/>
      <c r="K47" s="58"/>
      <c r="L47" s="58"/>
      <c r="M47" s="58"/>
      <c r="N47" s="58"/>
      <c r="O47" s="58"/>
      <c r="P47" s="58"/>
      <c r="Q47" s="58"/>
      <c r="W47"/>
    </row>
    <row r="48" spans="2:23" ht="12.75" customHeight="1" x14ac:dyDescent="0.25">
      <c r="B48" s="36"/>
      <c r="C48" s="28"/>
      <c r="D48" s="29"/>
      <c r="E48" s="29"/>
      <c r="F48" s="29"/>
      <c r="G48" s="30"/>
      <c r="H48" s="31"/>
      <c r="I48" s="32"/>
      <c r="J48" s="32"/>
      <c r="K48" s="58"/>
      <c r="L48" s="58"/>
      <c r="M48" s="58"/>
      <c r="N48" s="58"/>
      <c r="O48" s="58"/>
      <c r="P48" s="58"/>
      <c r="Q48" s="58"/>
      <c r="W48"/>
    </row>
    <row r="49" spans="2:26" ht="12.75" customHeight="1" x14ac:dyDescent="0.25">
      <c r="B49" s="36"/>
      <c r="C49" s="28"/>
      <c r="D49" s="29"/>
      <c r="E49" s="29"/>
      <c r="F49" s="29"/>
      <c r="G49" s="30"/>
      <c r="H49" s="31"/>
      <c r="I49" s="32"/>
      <c r="J49" s="32"/>
      <c r="K49" s="58"/>
      <c r="L49" s="58"/>
      <c r="M49" s="58"/>
      <c r="N49" s="58"/>
      <c r="O49" s="58"/>
      <c r="P49" s="58"/>
      <c r="Q49" s="58"/>
      <c r="W49"/>
    </row>
    <row r="50" spans="2:26" ht="12.75" customHeight="1" x14ac:dyDescent="0.25">
      <c r="B50" s="36"/>
      <c r="C50" s="28"/>
      <c r="D50" s="29"/>
      <c r="E50" s="29"/>
      <c r="F50" s="29"/>
      <c r="G50" s="30"/>
      <c r="H50" s="31"/>
      <c r="I50" s="32"/>
      <c r="J50" s="32"/>
      <c r="K50" s="58"/>
      <c r="L50" s="58"/>
      <c r="M50" s="58"/>
      <c r="N50" s="58"/>
      <c r="O50" s="58"/>
      <c r="P50" s="58"/>
      <c r="Q50" s="58"/>
      <c r="W50"/>
    </row>
    <row r="51" spans="2:26" ht="12.75" customHeight="1" x14ac:dyDescent="0.25">
      <c r="B51" s="36"/>
      <c r="C51" s="28"/>
      <c r="D51" s="29"/>
      <c r="E51" s="29"/>
      <c r="F51" s="29"/>
      <c r="G51" s="30"/>
      <c r="H51" s="31"/>
      <c r="I51" s="32"/>
      <c r="J51" s="32"/>
      <c r="K51" s="58"/>
      <c r="L51" s="58"/>
      <c r="M51" s="58"/>
      <c r="N51" s="58"/>
      <c r="O51" s="58"/>
      <c r="P51" s="58"/>
      <c r="Q51" s="58"/>
      <c r="W51"/>
    </row>
    <row r="52" spans="2:26" ht="12.75" customHeight="1" x14ac:dyDescent="0.25">
      <c r="B52" s="36"/>
      <c r="C52" s="28"/>
      <c r="D52" s="29"/>
      <c r="E52" s="29"/>
      <c r="F52" s="29"/>
      <c r="G52" s="30"/>
      <c r="H52" s="31"/>
      <c r="I52" s="32"/>
      <c r="J52" s="32"/>
      <c r="K52" s="58"/>
      <c r="L52" s="58"/>
      <c r="M52" s="58"/>
      <c r="N52" s="58"/>
      <c r="O52" s="58"/>
      <c r="P52" s="58"/>
      <c r="Q52" s="58"/>
      <c r="W52"/>
    </row>
    <row r="53" spans="2:26" ht="12.75" customHeight="1" x14ac:dyDescent="0.25">
      <c r="B53" s="36"/>
      <c r="C53" s="28"/>
      <c r="D53" s="29"/>
      <c r="E53" s="29"/>
      <c r="F53" s="29"/>
      <c r="G53" s="30"/>
      <c r="H53" s="31"/>
      <c r="I53" s="32"/>
      <c r="J53" s="32"/>
      <c r="K53" s="58"/>
      <c r="L53" s="58"/>
      <c r="M53" s="58"/>
      <c r="N53" s="58"/>
      <c r="O53" s="58"/>
      <c r="P53" s="58"/>
      <c r="Q53" s="58"/>
      <c r="W53"/>
    </row>
    <row r="54" spans="2:26" ht="12.75" customHeight="1" x14ac:dyDescent="0.25">
      <c r="B54" s="36"/>
      <c r="C54" s="28"/>
      <c r="D54" s="29"/>
      <c r="E54" s="29"/>
      <c r="F54" s="29"/>
      <c r="G54" s="30"/>
      <c r="H54" s="31"/>
      <c r="I54" s="32"/>
      <c r="J54" s="32"/>
      <c r="K54" s="58"/>
      <c r="L54" s="58"/>
      <c r="M54" s="58"/>
      <c r="N54" s="58"/>
      <c r="O54" s="58"/>
      <c r="P54" s="58"/>
      <c r="Q54" s="58"/>
      <c r="W54"/>
    </row>
    <row r="55" spans="2:26" ht="12.75" customHeight="1" x14ac:dyDescent="0.25">
      <c r="B55" s="36"/>
      <c r="C55" s="28"/>
      <c r="D55" s="29"/>
      <c r="E55" s="29"/>
      <c r="F55" s="29"/>
      <c r="G55" s="30"/>
      <c r="H55" s="31"/>
      <c r="I55" s="32"/>
      <c r="J55" s="32"/>
      <c r="K55" s="58"/>
      <c r="L55" s="58"/>
      <c r="M55" s="58"/>
      <c r="N55" s="58"/>
      <c r="O55" s="58"/>
      <c r="P55" s="58"/>
      <c r="Q55" s="58"/>
      <c r="W55"/>
    </row>
    <row r="56" spans="2:26" ht="12.75" customHeight="1" x14ac:dyDescent="0.25">
      <c r="B56" s="36"/>
      <c r="C56" s="28"/>
      <c r="D56" s="29"/>
      <c r="E56" s="29"/>
      <c r="F56" s="29"/>
      <c r="G56" s="30"/>
      <c r="H56" s="31"/>
      <c r="I56" s="32"/>
      <c r="J56" s="32"/>
      <c r="K56" s="58"/>
      <c r="L56" s="58"/>
      <c r="M56" s="58"/>
      <c r="N56" s="58"/>
      <c r="O56" s="58"/>
      <c r="P56" s="58"/>
      <c r="Q56" s="58"/>
      <c r="W56"/>
    </row>
    <row r="57" spans="2:26" ht="12.75" customHeight="1" x14ac:dyDescent="0.25">
      <c r="B57" s="36"/>
      <c r="C57" s="28"/>
      <c r="D57" s="29"/>
      <c r="E57" s="29"/>
      <c r="F57" s="29"/>
      <c r="G57" s="30"/>
      <c r="H57" s="31"/>
      <c r="I57" s="32"/>
      <c r="J57" s="32"/>
      <c r="K57" s="58"/>
      <c r="L57" s="58"/>
      <c r="M57" s="58"/>
      <c r="N57" s="58"/>
      <c r="O57" s="58"/>
      <c r="P57" s="58"/>
      <c r="Q57" s="58"/>
      <c r="W57"/>
    </row>
    <row r="58" spans="2:26" ht="12.75" customHeight="1" x14ac:dyDescent="0.25">
      <c r="B58" s="36"/>
      <c r="C58" s="28"/>
      <c r="D58" s="29"/>
      <c r="E58" s="29"/>
      <c r="F58" s="29"/>
      <c r="G58" s="30"/>
      <c r="H58" s="31"/>
      <c r="I58" s="32"/>
      <c r="J58" s="32"/>
      <c r="K58" s="58"/>
      <c r="L58" s="58"/>
      <c r="M58" s="58"/>
      <c r="N58" s="58"/>
      <c r="O58" s="58"/>
      <c r="P58" s="58"/>
      <c r="Q58" s="58"/>
      <c r="W58"/>
    </row>
    <row r="59" spans="2:26" ht="12.75" customHeight="1" x14ac:dyDescent="0.25">
      <c r="B59" s="36"/>
      <c r="C59" s="28"/>
      <c r="D59" s="29"/>
      <c r="E59" s="29"/>
      <c r="F59" s="29"/>
      <c r="G59" s="30"/>
      <c r="H59" s="31"/>
      <c r="I59" s="32"/>
      <c r="J59" s="32"/>
      <c r="K59" s="58"/>
      <c r="L59" s="58"/>
      <c r="M59" s="58"/>
      <c r="N59" s="58"/>
      <c r="O59" s="58"/>
      <c r="P59" s="58"/>
      <c r="Q59" s="58"/>
      <c r="W59"/>
    </row>
    <row r="60" spans="2:26" ht="12.75" customHeight="1" x14ac:dyDescent="0.25">
      <c r="B60" s="52" t="s">
        <v>116</v>
      </c>
      <c r="C60" s="60"/>
      <c r="D60" s="61"/>
      <c r="E60" s="61"/>
      <c r="F60" s="61"/>
      <c r="G60" s="62"/>
      <c r="H60" s="63"/>
      <c r="I60" s="64"/>
      <c r="J60" s="64"/>
      <c r="K60" s="65"/>
      <c r="L60" s="65"/>
      <c r="M60" s="65"/>
      <c r="N60" s="65"/>
      <c r="O60" s="65"/>
      <c r="P60" s="65"/>
      <c r="Q60" s="65"/>
      <c r="R60" s="59"/>
      <c r="S60" s="31"/>
      <c r="T60" s="32"/>
      <c r="U60" s="32"/>
      <c r="V60" s="58"/>
      <c r="W60"/>
      <c r="X60" s="58"/>
      <c r="Y60" s="58"/>
      <c r="Z60" s="58"/>
    </row>
    <row r="61" spans="2:26" ht="12.75" customHeight="1" x14ac:dyDescent="0.25">
      <c r="B61" s="36"/>
      <c r="C61" s="28"/>
      <c r="D61" s="29"/>
      <c r="E61" s="29"/>
      <c r="F61" s="29"/>
      <c r="G61" s="30"/>
      <c r="H61" s="31"/>
      <c r="I61" s="32"/>
      <c r="J61" s="32"/>
      <c r="K61" s="58"/>
      <c r="L61" s="58"/>
      <c r="M61" s="58"/>
      <c r="N61" s="58"/>
      <c r="O61" s="58"/>
      <c r="P61" s="58"/>
      <c r="Q61" s="58"/>
      <c r="W61"/>
    </row>
    <row r="62" spans="2:26" ht="12.75" customHeight="1" x14ac:dyDescent="0.25">
      <c r="B62" s="36"/>
      <c r="C62" s="28"/>
      <c r="D62" s="29"/>
      <c r="E62" s="29"/>
      <c r="F62" s="29"/>
      <c r="G62" s="30"/>
      <c r="H62" s="31"/>
      <c r="I62" s="32"/>
      <c r="J62" s="32"/>
      <c r="K62" s="58"/>
      <c r="L62" s="58"/>
      <c r="M62" s="58"/>
      <c r="N62" s="58"/>
      <c r="O62" s="58"/>
      <c r="P62" s="58"/>
      <c r="Q62" s="58"/>
      <c r="W62"/>
    </row>
    <row r="63" spans="2:26" ht="12.75" customHeight="1" x14ac:dyDescent="0.25">
      <c r="B63" s="36"/>
      <c r="C63" s="28"/>
      <c r="D63" s="29"/>
      <c r="E63" s="29"/>
      <c r="F63" s="29"/>
      <c r="G63" s="30"/>
      <c r="H63" s="31"/>
      <c r="I63" s="32"/>
      <c r="J63" s="32"/>
      <c r="K63" s="58"/>
      <c r="L63" s="58"/>
      <c r="M63" s="58"/>
      <c r="N63" s="58"/>
      <c r="O63" s="58"/>
      <c r="P63" s="58"/>
      <c r="Q63" s="58"/>
      <c r="W63"/>
    </row>
    <row r="64" spans="2:26" ht="12.75" customHeight="1" x14ac:dyDescent="0.25">
      <c r="B64" s="36"/>
      <c r="C64" s="28"/>
      <c r="D64" s="29"/>
      <c r="E64" s="29"/>
      <c r="F64" s="29"/>
      <c r="G64" s="30"/>
      <c r="H64" s="31"/>
      <c r="I64" s="32"/>
      <c r="J64" s="32"/>
      <c r="K64" s="58"/>
      <c r="L64" s="58"/>
      <c r="M64" s="58"/>
      <c r="N64" s="58"/>
      <c r="O64" s="58"/>
      <c r="P64" s="58"/>
      <c r="Q64" s="58"/>
      <c r="W64"/>
    </row>
    <row r="65" spans="2:23" ht="12.75" customHeight="1" x14ac:dyDescent="0.25">
      <c r="B65" s="36"/>
      <c r="C65" s="28"/>
      <c r="D65" s="29"/>
      <c r="E65" s="29"/>
      <c r="F65" s="29"/>
      <c r="G65" s="30"/>
      <c r="H65" s="31"/>
      <c r="I65" s="32"/>
      <c r="J65" s="32"/>
      <c r="K65" s="58"/>
      <c r="L65" s="58"/>
      <c r="M65" s="58"/>
      <c r="N65" s="58"/>
      <c r="O65" s="58"/>
      <c r="P65" s="58"/>
      <c r="Q65" s="58"/>
      <c r="W65"/>
    </row>
    <row r="66" spans="2:23" ht="12.75" customHeight="1" x14ac:dyDescent="0.25">
      <c r="B66" s="36"/>
      <c r="C66" s="28"/>
      <c r="D66" s="29"/>
      <c r="E66" s="29"/>
      <c r="F66" s="29"/>
      <c r="G66" s="30"/>
      <c r="H66" s="31"/>
      <c r="I66" s="32"/>
      <c r="J66" s="32"/>
      <c r="K66" s="58"/>
      <c r="L66" s="58"/>
      <c r="M66" s="58"/>
      <c r="N66" s="58"/>
      <c r="O66" s="58"/>
      <c r="P66" s="58"/>
      <c r="Q66" s="58"/>
      <c r="W66"/>
    </row>
    <row r="67" spans="2:23" ht="12.75" customHeight="1" x14ac:dyDescent="0.25">
      <c r="B67" s="36"/>
      <c r="C67" s="28"/>
      <c r="D67" s="29"/>
      <c r="E67" s="29"/>
      <c r="F67" s="29"/>
      <c r="G67" s="30"/>
      <c r="H67" s="31"/>
      <c r="I67" s="32"/>
      <c r="J67" s="32"/>
      <c r="K67" s="58"/>
      <c r="L67" s="58"/>
      <c r="M67" s="58"/>
      <c r="N67" s="58"/>
      <c r="O67" s="58"/>
      <c r="P67" s="58"/>
      <c r="Q67" s="58"/>
      <c r="W67"/>
    </row>
    <row r="68" spans="2:23" ht="12.75" customHeight="1" x14ac:dyDescent="0.25">
      <c r="B68" s="36"/>
      <c r="C68" s="28"/>
      <c r="D68" s="29"/>
      <c r="E68" s="29"/>
      <c r="F68" s="29"/>
      <c r="G68" s="30"/>
      <c r="H68" s="31"/>
      <c r="I68" s="32"/>
      <c r="J68" s="32"/>
      <c r="K68" s="58"/>
      <c r="L68" s="58"/>
      <c r="M68" s="58"/>
      <c r="N68" s="58"/>
      <c r="O68" s="58"/>
      <c r="P68" s="58"/>
      <c r="Q68" s="58"/>
      <c r="W68"/>
    </row>
    <row r="69" spans="2:23" ht="12.75" customHeight="1" x14ac:dyDescent="0.25">
      <c r="B69" s="36"/>
      <c r="C69" s="28"/>
      <c r="D69" s="29"/>
      <c r="E69" s="29"/>
      <c r="F69" s="29"/>
      <c r="G69" s="30"/>
      <c r="H69" s="31"/>
      <c r="I69" s="32"/>
      <c r="J69" s="32"/>
      <c r="K69" s="58"/>
      <c r="L69" s="58"/>
      <c r="M69" s="58"/>
      <c r="N69" s="58"/>
      <c r="O69" s="58"/>
      <c r="P69" s="58"/>
      <c r="Q69" s="58"/>
      <c r="W69"/>
    </row>
    <row r="70" spans="2:23" ht="12.75" customHeight="1" x14ac:dyDescent="0.25">
      <c r="B70" s="36"/>
      <c r="C70" s="28"/>
      <c r="D70" s="29"/>
      <c r="E70" s="29"/>
      <c r="F70" s="29"/>
      <c r="G70" s="30"/>
      <c r="H70" s="31"/>
      <c r="I70" s="32"/>
      <c r="J70" s="32"/>
      <c r="K70" s="58"/>
      <c r="L70" s="58"/>
      <c r="M70" s="58"/>
      <c r="N70" s="58"/>
      <c r="O70" s="58"/>
      <c r="P70" s="58"/>
      <c r="Q70" s="58"/>
      <c r="W70"/>
    </row>
    <row r="71" spans="2:23" ht="12.75" customHeight="1" x14ac:dyDescent="0.25">
      <c r="B71" s="36"/>
      <c r="C71" s="28"/>
      <c r="D71" s="29"/>
      <c r="E71" s="29"/>
      <c r="F71" s="29"/>
      <c r="G71" s="30"/>
      <c r="H71" s="31"/>
      <c r="I71" s="32"/>
      <c r="J71" s="32"/>
      <c r="K71" s="58"/>
      <c r="L71" s="58"/>
      <c r="M71" s="58"/>
      <c r="N71" s="58"/>
      <c r="O71" s="58"/>
      <c r="P71" s="58"/>
      <c r="Q71" s="58"/>
      <c r="W71"/>
    </row>
    <row r="72" spans="2:23" ht="12.75" customHeight="1" x14ac:dyDescent="0.25">
      <c r="B72" s="36"/>
      <c r="C72" s="28"/>
      <c r="D72" s="29"/>
      <c r="E72" s="29"/>
      <c r="F72" s="29"/>
      <c r="G72" s="30"/>
      <c r="H72" s="31"/>
      <c r="I72" s="32"/>
      <c r="J72" s="32"/>
      <c r="K72" s="58"/>
      <c r="L72" s="58"/>
      <c r="M72" s="58"/>
      <c r="N72" s="58"/>
      <c r="O72" s="58"/>
      <c r="P72" s="58"/>
      <c r="Q72" s="58"/>
      <c r="W72"/>
    </row>
    <row r="73" spans="2:23" ht="12.75" customHeight="1" x14ac:dyDescent="0.25">
      <c r="B73" s="36"/>
      <c r="C73" s="28"/>
      <c r="D73" s="29"/>
      <c r="E73" s="29"/>
      <c r="F73" s="29"/>
      <c r="G73" s="30"/>
      <c r="H73" s="31"/>
      <c r="I73" s="32"/>
      <c r="J73" s="32"/>
      <c r="K73" s="58"/>
      <c r="L73" s="58"/>
      <c r="M73" s="58"/>
      <c r="N73" s="58"/>
      <c r="O73" s="58"/>
      <c r="P73" s="58"/>
      <c r="Q73" s="58"/>
      <c r="W73"/>
    </row>
    <row r="74" spans="2:23" ht="12.75" customHeight="1" x14ac:dyDescent="0.25">
      <c r="B74" s="36"/>
      <c r="C74" s="28"/>
      <c r="D74" s="29"/>
      <c r="E74" s="29"/>
      <c r="F74" s="29"/>
      <c r="G74" s="30"/>
      <c r="H74" s="31"/>
      <c r="I74" s="32"/>
      <c r="J74" s="32"/>
      <c r="K74" s="58"/>
      <c r="L74" s="58"/>
      <c r="M74" s="58"/>
      <c r="N74" s="58"/>
      <c r="O74" s="58"/>
      <c r="P74" s="58"/>
      <c r="Q74" s="58"/>
      <c r="W74"/>
    </row>
    <row r="75" spans="2:23" ht="12.75" customHeight="1" x14ac:dyDescent="0.25">
      <c r="B75" s="36"/>
      <c r="C75" s="28"/>
      <c r="D75" s="29"/>
      <c r="E75" s="29"/>
      <c r="F75" s="29"/>
      <c r="G75" s="30"/>
      <c r="H75" s="31"/>
      <c r="I75" s="32"/>
      <c r="J75" s="32"/>
      <c r="K75" s="58"/>
      <c r="L75" s="58"/>
      <c r="M75" s="58"/>
      <c r="N75" s="58"/>
      <c r="O75" s="58"/>
      <c r="P75" s="58"/>
      <c r="Q75" s="58"/>
      <c r="W75"/>
    </row>
    <row r="76" spans="2:23" ht="12.75" customHeight="1" x14ac:dyDescent="0.25">
      <c r="B76" s="36"/>
      <c r="C76" s="28"/>
      <c r="D76" s="29"/>
      <c r="E76" s="29"/>
      <c r="F76" s="29"/>
      <c r="G76" s="30"/>
      <c r="H76" s="31"/>
      <c r="I76" s="32"/>
      <c r="J76" s="32"/>
      <c r="K76" s="58"/>
      <c r="L76" s="58"/>
      <c r="M76" s="58"/>
      <c r="N76" s="58"/>
      <c r="O76" s="58"/>
      <c r="P76" s="58"/>
      <c r="Q76" s="58"/>
      <c r="W76"/>
    </row>
    <row r="77" spans="2:23" ht="12.75" customHeight="1" x14ac:dyDescent="0.25">
      <c r="B77" s="36"/>
      <c r="C77" s="28"/>
      <c r="D77" s="29"/>
      <c r="E77" s="29"/>
      <c r="F77" s="29"/>
      <c r="G77" s="30"/>
      <c r="H77" s="31"/>
      <c r="I77" s="32"/>
      <c r="J77" s="32"/>
      <c r="K77" s="58"/>
      <c r="L77" s="58"/>
      <c r="M77" s="58"/>
      <c r="N77" s="58"/>
      <c r="O77" s="58"/>
      <c r="P77" s="58"/>
      <c r="Q77" s="58"/>
      <c r="W77"/>
    </row>
    <row r="78" spans="2:23" ht="12.75" customHeight="1" x14ac:dyDescent="0.25">
      <c r="B78" s="36"/>
      <c r="C78" s="28"/>
      <c r="D78" s="29"/>
      <c r="E78" s="29"/>
      <c r="F78" s="29"/>
      <c r="G78" s="30"/>
      <c r="H78" s="31"/>
      <c r="I78" s="32"/>
      <c r="J78" s="32"/>
      <c r="K78" s="58"/>
      <c r="L78" s="58"/>
      <c r="M78" s="58"/>
      <c r="N78" s="58"/>
      <c r="O78" s="58"/>
      <c r="P78" s="58"/>
      <c r="Q78" s="58"/>
      <c r="W78"/>
    </row>
    <row r="79" spans="2:23" ht="12.75" customHeight="1" x14ac:dyDescent="0.25">
      <c r="B79" s="36"/>
      <c r="C79" s="28"/>
      <c r="D79" s="29"/>
      <c r="E79" s="29"/>
      <c r="F79" s="29"/>
      <c r="G79" s="30"/>
      <c r="H79" s="31"/>
      <c r="I79" s="32"/>
      <c r="J79" s="32"/>
      <c r="K79" s="58"/>
      <c r="L79" s="58"/>
      <c r="M79" s="58"/>
      <c r="N79" s="58"/>
      <c r="O79" s="58"/>
      <c r="P79" s="58"/>
      <c r="Q79" s="58"/>
      <c r="W79"/>
    </row>
    <row r="80" spans="2:23" ht="5.25" customHeight="1" x14ac:dyDescent="0.25">
      <c r="B80" s="35"/>
      <c r="C80" s="28"/>
      <c r="D80" s="29"/>
      <c r="E80" s="29"/>
      <c r="F80" s="29"/>
      <c r="G80" s="30"/>
      <c r="H80" s="31"/>
      <c r="I80" s="32"/>
      <c r="J80" s="32"/>
      <c r="W80"/>
    </row>
    <row r="81" spans="2:23" s="34" customFormat="1" ht="12.75" customHeight="1" x14ac:dyDescent="0.25">
      <c r="B81" s="265" t="s">
        <v>133</v>
      </c>
      <c r="C81" s="265"/>
      <c r="D81" s="265"/>
      <c r="E81" s="265"/>
      <c r="F81" s="265"/>
      <c r="G81" s="265"/>
      <c r="H81" s="265"/>
      <c r="I81" s="265"/>
      <c r="J81" s="265"/>
      <c r="K81" s="265"/>
      <c r="L81" s="265"/>
      <c r="M81" s="265"/>
      <c r="N81" s="265"/>
      <c r="O81" s="265"/>
      <c r="P81" s="265"/>
      <c r="Q81" s="265"/>
      <c r="R81" s="265"/>
      <c r="W81"/>
    </row>
    <row r="82" spans="2:23" ht="18" customHeight="1" x14ac:dyDescent="0.25">
      <c r="B82" s="36"/>
      <c r="W82"/>
    </row>
    <row r="83" spans="2:23" ht="18" customHeight="1" x14ac:dyDescent="0.25">
      <c r="B83" s="36"/>
      <c r="W83"/>
    </row>
    <row r="84" spans="2:23" ht="18" customHeight="1" x14ac:dyDescent="0.25">
      <c r="B84" s="36"/>
      <c r="W84"/>
    </row>
    <row r="85" spans="2:23" ht="18" customHeight="1" x14ac:dyDescent="0.25">
      <c r="B85" s="36"/>
      <c r="W85"/>
    </row>
    <row r="86" spans="2:23" ht="18" customHeight="1" x14ac:dyDescent="0.25">
      <c r="B86" s="36"/>
      <c r="W86"/>
    </row>
    <row r="87" spans="2:23" ht="18" customHeight="1" x14ac:dyDescent="0.25">
      <c r="B87" s="36"/>
      <c r="W87"/>
    </row>
    <row r="88" spans="2:23" ht="18" customHeight="1" x14ac:dyDescent="0.25">
      <c r="B88" s="36"/>
      <c r="W88"/>
    </row>
    <row r="89" spans="2:23" ht="18" customHeight="1" x14ac:dyDescent="0.25">
      <c r="B89" s="36"/>
      <c r="W89"/>
    </row>
    <row r="90" spans="2:23" ht="18" customHeight="1" x14ac:dyDescent="0.25">
      <c r="B90" s="36"/>
      <c r="W90"/>
    </row>
    <row r="91" spans="2:23" ht="18" customHeight="1" x14ac:dyDescent="0.25">
      <c r="B91" s="36"/>
      <c r="W91"/>
    </row>
    <row r="92" spans="2:23" ht="18" customHeight="1" x14ac:dyDescent="0.25">
      <c r="B92" s="36"/>
      <c r="W92"/>
    </row>
    <row r="93" spans="2:23" ht="18" customHeight="1" x14ac:dyDescent="0.25">
      <c r="B93" s="36"/>
      <c r="W93"/>
    </row>
    <row r="94" spans="2:23" ht="18" customHeight="1" x14ac:dyDescent="0.25">
      <c r="B94" s="36"/>
      <c r="W94"/>
    </row>
    <row r="95" spans="2:23" ht="18" customHeight="1" x14ac:dyDescent="0.25">
      <c r="B95" s="36"/>
      <c r="W95"/>
    </row>
    <row r="96" spans="2:23" ht="18" customHeight="1" x14ac:dyDescent="0.25">
      <c r="B96" s="36"/>
      <c r="W96"/>
    </row>
    <row r="97" spans="2:23" ht="18" customHeight="1" x14ac:dyDescent="0.25">
      <c r="B97" s="36"/>
      <c r="W97"/>
    </row>
    <row r="98" spans="2:23" ht="18" customHeight="1" x14ac:dyDescent="0.25">
      <c r="B98" s="36"/>
      <c r="W98"/>
    </row>
    <row r="99" spans="2:23" ht="18" customHeight="1" x14ac:dyDescent="0.25">
      <c r="B99" s="36"/>
      <c r="W99"/>
    </row>
    <row r="100" spans="2:23" ht="18" customHeight="1" x14ac:dyDescent="0.25">
      <c r="B100" s="36"/>
      <c r="W100"/>
    </row>
    <row r="101" spans="2:23" ht="18" customHeight="1" x14ac:dyDescent="0.25">
      <c r="B101" s="36"/>
      <c r="W101"/>
    </row>
    <row r="102" spans="2:23" ht="18" customHeight="1" x14ac:dyDescent="0.25">
      <c r="B102" s="36"/>
      <c r="W102"/>
    </row>
    <row r="103" spans="2:23" ht="18" customHeight="1" x14ac:dyDescent="0.25">
      <c r="B103" s="36"/>
      <c r="W103"/>
    </row>
    <row r="104" spans="2:23" ht="18" customHeight="1" x14ac:dyDescent="0.25">
      <c r="B104" s="36"/>
      <c r="W104"/>
    </row>
    <row r="105" spans="2:23" ht="18" customHeight="1" x14ac:dyDescent="0.25">
      <c r="B105" s="36"/>
      <c r="W105"/>
    </row>
    <row r="106" spans="2:23" ht="18" customHeight="1" x14ac:dyDescent="0.25">
      <c r="B106" s="36"/>
      <c r="W106"/>
    </row>
    <row r="107" spans="2:23" ht="18" customHeight="1" x14ac:dyDescent="0.25">
      <c r="B107" s="36"/>
      <c r="W107"/>
    </row>
    <row r="108" spans="2:23" ht="18" customHeight="1" x14ac:dyDescent="0.25">
      <c r="B108" s="36"/>
      <c r="W108"/>
    </row>
    <row r="109" spans="2:23" ht="18" customHeight="1" x14ac:dyDescent="0.25">
      <c r="B109" s="36"/>
      <c r="W109"/>
    </row>
    <row r="110" spans="2:23" ht="18" customHeight="1" x14ac:dyDescent="0.25">
      <c r="B110" s="36"/>
      <c r="W110"/>
    </row>
    <row r="111" spans="2:23" ht="18" customHeight="1" x14ac:dyDescent="0.25">
      <c r="B111" s="36"/>
      <c r="W111"/>
    </row>
    <row r="112" spans="2:23" ht="18" customHeight="1" x14ac:dyDescent="0.25">
      <c r="B112" s="36"/>
      <c r="W112"/>
    </row>
    <row r="113" spans="2:23" ht="18" customHeight="1" x14ac:dyDescent="0.25">
      <c r="B113" s="36"/>
      <c r="W113"/>
    </row>
    <row r="114" spans="2:23" ht="18" customHeight="1" x14ac:dyDescent="0.25">
      <c r="B114" s="36"/>
      <c r="W114"/>
    </row>
    <row r="115" spans="2:23" ht="18" customHeight="1" x14ac:dyDescent="0.25">
      <c r="B115" s="36"/>
      <c r="W115"/>
    </row>
    <row r="116" spans="2:23" ht="18" customHeight="1" x14ac:dyDescent="0.25">
      <c r="W116"/>
    </row>
    <row r="117" spans="2:23" ht="18" customHeight="1" x14ac:dyDescent="0.25">
      <c r="W117"/>
    </row>
    <row r="118" spans="2:23" ht="18" customHeight="1" x14ac:dyDescent="0.25">
      <c r="W118"/>
    </row>
    <row r="119" spans="2:23" ht="18" customHeight="1" x14ac:dyDescent="0.25">
      <c r="W119"/>
    </row>
    <row r="120" spans="2:23" ht="18" customHeight="1" x14ac:dyDescent="0.25">
      <c r="W120"/>
    </row>
    <row r="121" spans="2:23" ht="18" customHeight="1" x14ac:dyDescent="0.25">
      <c r="W121"/>
    </row>
    <row r="122" spans="2:23" ht="18" customHeight="1" x14ac:dyDescent="0.25">
      <c r="W122"/>
    </row>
    <row r="123" spans="2:23" ht="18" customHeight="1" x14ac:dyDescent="0.25">
      <c r="W123"/>
    </row>
    <row r="124" spans="2:23" ht="18" customHeight="1" x14ac:dyDescent="0.25">
      <c r="W124"/>
    </row>
    <row r="125" spans="2:23" ht="18" customHeight="1" x14ac:dyDescent="0.25">
      <c r="W125"/>
    </row>
    <row r="126" spans="2:23" ht="18" customHeight="1" x14ac:dyDescent="0.25">
      <c r="W126"/>
    </row>
    <row r="127" spans="2:23" ht="18" customHeight="1" x14ac:dyDescent="0.25">
      <c r="W127"/>
    </row>
    <row r="128" spans="2:23" ht="18" customHeight="1" x14ac:dyDescent="0.25">
      <c r="W128"/>
    </row>
    <row r="129" spans="23:23" ht="18" customHeight="1" x14ac:dyDescent="0.25">
      <c r="W129"/>
    </row>
    <row r="130" spans="23:23" ht="18" customHeight="1" x14ac:dyDescent="0.25">
      <c r="W130"/>
    </row>
    <row r="131" spans="23:23" ht="18" customHeight="1" x14ac:dyDescent="0.25">
      <c r="W131"/>
    </row>
    <row r="132" spans="23:23" ht="18" customHeight="1" x14ac:dyDescent="0.25">
      <c r="W132"/>
    </row>
    <row r="133" spans="23:23" ht="18" customHeight="1" x14ac:dyDescent="0.25">
      <c r="W133"/>
    </row>
    <row r="134" spans="23:23" ht="18" customHeight="1" x14ac:dyDescent="0.25">
      <c r="W134"/>
    </row>
    <row r="135" spans="23:23" ht="18" customHeight="1" x14ac:dyDescent="0.25">
      <c r="W135"/>
    </row>
    <row r="136" spans="23:23" ht="18" customHeight="1" x14ac:dyDescent="0.25">
      <c r="W136"/>
    </row>
    <row r="137" spans="23:23" ht="18" customHeight="1" x14ac:dyDescent="0.25">
      <c r="W137"/>
    </row>
    <row r="138" spans="23:23" ht="18" customHeight="1" x14ac:dyDescent="0.25">
      <c r="W138"/>
    </row>
    <row r="139" spans="23:23" ht="18" customHeight="1" x14ac:dyDescent="0.25">
      <c r="W139"/>
    </row>
    <row r="140" spans="23:23" ht="18" customHeight="1" x14ac:dyDescent="0.25">
      <c r="W140"/>
    </row>
    <row r="141" spans="23:23" ht="18" customHeight="1" x14ac:dyDescent="0.25">
      <c r="W141"/>
    </row>
    <row r="142" spans="23:23" ht="18" customHeight="1" x14ac:dyDescent="0.25">
      <c r="W142"/>
    </row>
    <row r="143" spans="23:23" ht="18" customHeight="1" x14ac:dyDescent="0.25">
      <c r="W143"/>
    </row>
    <row r="144" spans="23:23" ht="18" customHeight="1" x14ac:dyDescent="0.25">
      <c r="W144"/>
    </row>
    <row r="145" spans="23:23" ht="18" customHeight="1" x14ac:dyDescent="0.25">
      <c r="W145"/>
    </row>
    <row r="146" spans="23:23" ht="18" customHeight="1" x14ac:dyDescent="0.25">
      <c r="W146"/>
    </row>
    <row r="147" spans="23:23" ht="18" customHeight="1" x14ac:dyDescent="0.25">
      <c r="W147"/>
    </row>
    <row r="148" spans="23:23" ht="18" customHeight="1" x14ac:dyDescent="0.25">
      <c r="W148"/>
    </row>
    <row r="149" spans="23:23" ht="18" customHeight="1" x14ac:dyDescent="0.25">
      <c r="W149"/>
    </row>
    <row r="150" spans="23:23" ht="18" customHeight="1" x14ac:dyDescent="0.25">
      <c r="W150"/>
    </row>
    <row r="151" spans="23:23" ht="18" customHeight="1" x14ac:dyDescent="0.25">
      <c r="W151"/>
    </row>
    <row r="152" spans="23:23" ht="18" customHeight="1" x14ac:dyDescent="0.25">
      <c r="W152"/>
    </row>
    <row r="153" spans="23:23" ht="18" customHeight="1" x14ac:dyDescent="0.25">
      <c r="W153"/>
    </row>
    <row r="154" spans="23:23" ht="18" customHeight="1" x14ac:dyDescent="0.25">
      <c r="W154"/>
    </row>
    <row r="155" spans="23:23" ht="18" customHeight="1" x14ac:dyDescent="0.25">
      <c r="W155"/>
    </row>
    <row r="156" spans="23:23" ht="18" customHeight="1" x14ac:dyDescent="0.25">
      <c r="W156"/>
    </row>
    <row r="157" spans="23:23" ht="18" customHeight="1" x14ac:dyDescent="0.25">
      <c r="W157"/>
    </row>
    <row r="158" spans="23:23" ht="18" customHeight="1" x14ac:dyDescent="0.25">
      <c r="W158"/>
    </row>
    <row r="159" spans="23:23" ht="18" customHeight="1" x14ac:dyDescent="0.25">
      <c r="W159"/>
    </row>
    <row r="160" spans="23:23" ht="18" customHeight="1" x14ac:dyDescent="0.25">
      <c r="W160"/>
    </row>
    <row r="161" spans="2:23" ht="18" customHeight="1" x14ac:dyDescent="0.25">
      <c r="W161"/>
    </row>
    <row r="162" spans="2:23" ht="18" customHeight="1" x14ac:dyDescent="0.25">
      <c r="W162"/>
    </row>
    <row r="163" spans="2:23" ht="18" customHeight="1" x14ac:dyDescent="0.25">
      <c r="W163"/>
    </row>
    <row r="164" spans="2:23" ht="18" customHeight="1" x14ac:dyDescent="0.25">
      <c r="W164"/>
    </row>
    <row r="165" spans="2:23" ht="18" customHeight="1" x14ac:dyDescent="0.25">
      <c r="W165"/>
    </row>
    <row r="166" spans="2:23" ht="18" customHeight="1" x14ac:dyDescent="0.25">
      <c r="W166"/>
    </row>
    <row r="167" spans="2:23" ht="18" customHeight="1" x14ac:dyDescent="0.25">
      <c r="W167"/>
    </row>
    <row r="168" spans="2:23" ht="18" customHeight="1" x14ac:dyDescent="0.25">
      <c r="B168" s="112" t="s">
        <v>14</v>
      </c>
      <c r="C168" s="112" t="s">
        <v>15</v>
      </c>
      <c r="D168" s="26" t="s">
        <v>12</v>
      </c>
      <c r="W168"/>
    </row>
    <row r="169" spans="2:23" ht="18" customHeight="1" x14ac:dyDescent="0.25">
      <c r="B169" s="33" t="s">
        <v>64</v>
      </c>
      <c r="C169" s="150">
        <f t="shared" ref="C169:C179" si="5">SUMIFS($C$9:$C$33,$G$9:$G$33,B169)</f>
        <v>0.51999999999999991</v>
      </c>
      <c r="D169" s="26" t="str">
        <f t="shared" ref="D169:D180" si="6">B169&amp;" ("&amp;TEXT(C169,"0,00%")&amp;")"</f>
        <v>Recebível (52,00%)</v>
      </c>
      <c r="W169"/>
    </row>
    <row r="170" spans="2:23" ht="18" customHeight="1" x14ac:dyDescent="0.25">
      <c r="B170" s="33" t="s">
        <v>63</v>
      </c>
      <c r="C170" s="150">
        <f t="shared" si="5"/>
        <v>9.5000000000000001E-2</v>
      </c>
      <c r="D170" s="26" t="str">
        <f t="shared" si="6"/>
        <v>Laje Corporativa (9,50%)</v>
      </c>
      <c r="W170"/>
    </row>
    <row r="171" spans="2:23" ht="18" customHeight="1" x14ac:dyDescent="0.25">
      <c r="B171" s="33" t="s">
        <v>65</v>
      </c>
      <c r="C171" s="150">
        <f t="shared" si="5"/>
        <v>0.22</v>
      </c>
      <c r="D171" s="26" t="str">
        <f t="shared" si="6"/>
        <v>Galpão Logístico (22,00%)</v>
      </c>
      <c r="W171"/>
    </row>
    <row r="172" spans="2:23" ht="18" customHeight="1" x14ac:dyDescent="0.25">
      <c r="B172" s="33" t="s">
        <v>61</v>
      </c>
      <c r="C172" s="150">
        <f t="shared" si="5"/>
        <v>9.5000000000000001E-2</v>
      </c>
      <c r="D172" s="26" t="str">
        <f t="shared" si="6"/>
        <v>Shopping Center (9,50%)</v>
      </c>
      <c r="W172"/>
    </row>
    <row r="173" spans="2:23" ht="18" customHeight="1" x14ac:dyDescent="0.25">
      <c r="B173" s="33" t="s">
        <v>19</v>
      </c>
      <c r="C173" s="150">
        <f t="shared" si="5"/>
        <v>0</v>
      </c>
      <c r="D173" s="26" t="str">
        <f t="shared" si="6"/>
        <v>Híbrido (0,00%)</v>
      </c>
      <c r="W173"/>
    </row>
    <row r="174" spans="2:23" ht="18" customHeight="1" x14ac:dyDescent="0.25">
      <c r="B174" s="33" t="s">
        <v>180</v>
      </c>
      <c r="C174" s="150">
        <f t="shared" si="5"/>
        <v>7.0000000000000007E-2</v>
      </c>
      <c r="D174" s="26" t="str">
        <f t="shared" si="6"/>
        <v>Renda Urbana (7,00%)</v>
      </c>
      <c r="W174"/>
    </row>
    <row r="175" spans="2:23" ht="18" customHeight="1" x14ac:dyDescent="0.25">
      <c r="B175" s="33" t="s">
        <v>43</v>
      </c>
      <c r="C175" s="150">
        <f t="shared" si="5"/>
        <v>0</v>
      </c>
      <c r="D175" s="26" t="str">
        <f t="shared" si="6"/>
        <v>Fundo de Fundos (0,00%)</v>
      </c>
      <c r="W175"/>
    </row>
    <row r="176" spans="2:23" ht="18" customHeight="1" x14ac:dyDescent="0.25">
      <c r="B176" s="33" t="s">
        <v>179</v>
      </c>
      <c r="C176" s="150">
        <f t="shared" si="5"/>
        <v>0</v>
      </c>
      <c r="D176" s="26" t="str">
        <f t="shared" si="6"/>
        <v>Hedge Fund (0,00%)</v>
      </c>
      <c r="W176"/>
    </row>
    <row r="177" spans="2:23" ht="18" customHeight="1" x14ac:dyDescent="0.25">
      <c r="B177" s="33" t="s">
        <v>126</v>
      </c>
      <c r="C177" s="150">
        <f t="shared" si="5"/>
        <v>0</v>
      </c>
      <c r="D177" s="26" t="str">
        <f t="shared" si="6"/>
        <v>FIAgro - FII (0,00%)</v>
      </c>
      <c r="W177"/>
    </row>
    <row r="178" spans="2:23" ht="18" customHeight="1" x14ac:dyDescent="0.25">
      <c r="B178" s="33" t="s">
        <v>118</v>
      </c>
      <c r="C178" s="150">
        <f t="shared" si="5"/>
        <v>0</v>
      </c>
      <c r="D178" s="26" t="str">
        <f t="shared" si="6"/>
        <v>FI-Infra (0,00%)</v>
      </c>
      <c r="W178"/>
    </row>
    <row r="179" spans="2:23" ht="18" customHeight="1" x14ac:dyDescent="0.25">
      <c r="B179" s="66" t="s">
        <v>127</v>
      </c>
      <c r="C179" s="150">
        <f t="shared" si="5"/>
        <v>0</v>
      </c>
      <c r="D179" s="26" t="str">
        <f t="shared" si="6"/>
        <v>FIAgro - FIDC (0,00%)</v>
      </c>
      <c r="W179"/>
    </row>
    <row r="180" spans="2:23" ht="18" customHeight="1" x14ac:dyDescent="0.25">
      <c r="B180" s="33" t="s">
        <v>21</v>
      </c>
      <c r="C180" s="206">
        <f>SUM(C182:C191)</f>
        <v>0</v>
      </c>
      <c r="D180" s="26" t="str">
        <f t="shared" si="6"/>
        <v>Outros (0,00%)</v>
      </c>
      <c r="W180"/>
    </row>
    <row r="181" spans="2:23" ht="18" customHeight="1" x14ac:dyDescent="0.25">
      <c r="B181" s="26"/>
      <c r="C181" s="26"/>
      <c r="D181" s="26"/>
      <c r="W181"/>
    </row>
    <row r="182" spans="2:23" ht="18" customHeight="1" x14ac:dyDescent="0.25">
      <c r="B182" s="26" t="s">
        <v>30</v>
      </c>
      <c r="C182" s="150">
        <f t="shared" ref="C182:C190" si="7">SUMIFS($C$9:$C$33,$G$9:$G$33,B182)</f>
        <v>0</v>
      </c>
      <c r="D182" s="26"/>
      <c r="W182"/>
    </row>
    <row r="183" spans="2:23" ht="18" customHeight="1" x14ac:dyDescent="0.25">
      <c r="B183" s="26" t="s">
        <v>62</v>
      </c>
      <c r="C183" s="150">
        <f t="shared" si="7"/>
        <v>0</v>
      </c>
      <c r="D183" s="26"/>
      <c r="W183"/>
    </row>
    <row r="184" spans="2:23" ht="18" customHeight="1" x14ac:dyDescent="0.25">
      <c r="B184" s="26" t="s">
        <v>113</v>
      </c>
      <c r="C184" s="150">
        <f t="shared" si="7"/>
        <v>0</v>
      </c>
      <c r="D184" s="26"/>
      <c r="W184"/>
    </row>
    <row r="185" spans="2:23" ht="18" customHeight="1" x14ac:dyDescent="0.25">
      <c r="B185" s="23" t="s">
        <v>20</v>
      </c>
      <c r="C185" s="150">
        <f t="shared" si="7"/>
        <v>0</v>
      </c>
      <c r="D185" s="26"/>
      <c r="W185"/>
    </row>
    <row r="186" spans="2:23" ht="18" customHeight="1" x14ac:dyDescent="0.25">
      <c r="B186" s="23" t="s">
        <v>67</v>
      </c>
      <c r="C186" s="150">
        <f t="shared" si="7"/>
        <v>0</v>
      </c>
      <c r="D186" s="26"/>
      <c r="W186"/>
    </row>
    <row r="187" spans="2:23" ht="18" customHeight="1" x14ac:dyDescent="0.25">
      <c r="B187" s="23" t="s">
        <v>28</v>
      </c>
      <c r="C187" s="150">
        <f t="shared" si="7"/>
        <v>0</v>
      </c>
      <c r="D187" s="26"/>
      <c r="W187"/>
    </row>
    <row r="188" spans="2:23" ht="18" customHeight="1" x14ac:dyDescent="0.25">
      <c r="B188" s="23" t="s">
        <v>21</v>
      </c>
      <c r="C188" s="150">
        <f t="shared" si="7"/>
        <v>0</v>
      </c>
      <c r="D188" s="26"/>
      <c r="W188"/>
    </row>
    <row r="189" spans="2:23" ht="18" customHeight="1" x14ac:dyDescent="0.25">
      <c r="B189" s="23" t="s">
        <v>66</v>
      </c>
      <c r="C189" s="150">
        <f t="shared" si="7"/>
        <v>0</v>
      </c>
      <c r="D189" s="26"/>
      <c r="W189"/>
    </row>
    <row r="190" spans="2:23" ht="18" customHeight="1" x14ac:dyDescent="0.25">
      <c r="B190" s="23" t="s">
        <v>25</v>
      </c>
      <c r="C190" s="150">
        <f t="shared" si="7"/>
        <v>0</v>
      </c>
      <c r="D190" s="26"/>
      <c r="W190"/>
    </row>
    <row r="191" spans="2:23" ht="18" customHeight="1" x14ac:dyDescent="0.25">
      <c r="C191" s="150"/>
      <c r="W191"/>
    </row>
    <row r="192" spans="2:23" ht="18" customHeight="1" x14ac:dyDescent="0.25">
      <c r="W192"/>
    </row>
    <row r="193" spans="23:23" ht="18" customHeight="1" x14ac:dyDescent="0.25">
      <c r="W193"/>
    </row>
    <row r="194" spans="23:23" ht="18" customHeight="1" x14ac:dyDescent="0.25">
      <c r="W194"/>
    </row>
    <row r="195" spans="23:23" ht="18" customHeight="1" x14ac:dyDescent="0.25">
      <c r="W195"/>
    </row>
    <row r="196" spans="23:23" ht="18" customHeight="1" x14ac:dyDescent="0.25">
      <c r="W196"/>
    </row>
    <row r="197" spans="23:23" ht="18" customHeight="1" x14ac:dyDescent="0.25">
      <c r="W197"/>
    </row>
    <row r="198" spans="23:23" ht="18" customHeight="1" x14ac:dyDescent="0.25">
      <c r="W198"/>
    </row>
    <row r="199" spans="23:23" ht="0" hidden="1" customHeight="1" x14ac:dyDescent="0.25">
      <c r="W199"/>
    </row>
    <row r="200" spans="23:23" ht="0" hidden="1" customHeight="1" x14ac:dyDescent="0.25">
      <c r="W200"/>
    </row>
    <row r="201" spans="23:23" ht="0" hidden="1" customHeight="1" x14ac:dyDescent="0.25">
      <c r="W201"/>
    </row>
    <row r="202" spans="23:23" ht="0" hidden="1" customHeight="1" x14ac:dyDescent="0.25">
      <c r="W202"/>
    </row>
    <row r="203" spans="23:23" ht="0" hidden="1" customHeight="1" x14ac:dyDescent="0.25">
      <c r="W203"/>
    </row>
    <row r="204" spans="23:23" ht="0" hidden="1" customHeight="1" x14ac:dyDescent="0.25">
      <c r="W204"/>
    </row>
    <row r="205" spans="23:23" ht="0" hidden="1" customHeight="1" x14ac:dyDescent="0.25">
      <c r="W205"/>
    </row>
    <row r="206" spans="23:23" ht="0" hidden="1" customHeight="1" x14ac:dyDescent="0.25">
      <c r="W206"/>
    </row>
    <row r="207" spans="23:23" ht="0" hidden="1" customHeight="1" x14ac:dyDescent="0.25">
      <c r="W207"/>
    </row>
    <row r="208" spans="23:23" ht="0" hidden="1" customHeight="1" x14ac:dyDescent="0.25">
      <c r="W208"/>
    </row>
    <row r="209" spans="23:23" ht="0" hidden="1" customHeight="1" x14ac:dyDescent="0.25">
      <c r="W209"/>
    </row>
    <row r="210" spans="23:23" ht="0" hidden="1" customHeight="1" x14ac:dyDescent="0.25">
      <c r="W210"/>
    </row>
    <row r="211" spans="23:23" ht="0" hidden="1" customHeight="1" x14ac:dyDescent="0.25">
      <c r="W211"/>
    </row>
    <row r="212" spans="23:23" ht="0" hidden="1" customHeight="1" x14ac:dyDescent="0.25">
      <c r="W212"/>
    </row>
    <row r="213" spans="23:23" ht="0" hidden="1" customHeight="1" x14ac:dyDescent="0.25">
      <c r="W213"/>
    </row>
  </sheetData>
  <mergeCells count="4">
    <mergeCell ref="F7:G7"/>
    <mergeCell ref="K7:M7"/>
    <mergeCell ref="P7:R7"/>
    <mergeCell ref="B81:R81"/>
  </mergeCells>
  <conditionalFormatting sqref="Q3:R3">
    <cfRule type="cellIs" dxfId="205" priority="1" operator="lessThan">
      <formula>0</formula>
    </cfRule>
    <cfRule type="cellIs" dxfId="204" priority="2" operator="greaterThan">
      <formula>0</formula>
    </cfRule>
  </conditionalFormatting>
  <hyperlinks>
    <hyperlink ref="R2" location="'Stock Guide'!A1" display="Stock Guide" xr:uid="{DE5C527C-42A9-4E7A-A61D-F7C67A91C59D}"/>
    <hyperlink ref="Q2" location="Menu!A1" display="Menu" xr:uid="{EE53E66D-A443-44F1-8F93-34BA4B40E4F7}"/>
  </hyperlinks>
  <printOptions horizontalCentered="1" verticalCentered="1"/>
  <pageMargins left="0.05" right="0.05" top="0.05" bottom="0" header="0.05" footer="0.05"/>
  <pageSetup scale="55" fitToWidth="0"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8146-CC9D-4CCC-9D0A-368B2E27D1E2}">
  <sheetPr codeName="Sheet22">
    <tabColor rgb="FF2C5AAD"/>
    <pageSetUpPr fitToPage="1"/>
  </sheetPr>
  <dimension ref="A1:AB218"/>
  <sheetViews>
    <sheetView showGridLines="0" zoomScale="85" zoomScaleNormal="85" workbookViewId="0">
      <pane ySplit="9" topLeftCell="A10" activePane="bottomLeft" state="frozen"/>
      <selection activeCell="A28" sqref="A28:XFD33"/>
      <selection pane="bottomLeft" activeCell="T2" sqref="T2"/>
    </sheetView>
  </sheetViews>
  <sheetFormatPr defaultColWidth="0" defaultRowHeight="0" customHeight="1" zeroHeight="1" x14ac:dyDescent="0.25"/>
  <cols>
    <col min="1" max="1" width="0.5703125" style="23" customWidth="1"/>
    <col min="2" max="2" width="14" style="23" customWidth="1"/>
    <col min="3" max="3" width="11" style="23" bestFit="1" customWidth="1"/>
    <col min="4" max="4" width="16.85546875" style="23" customWidth="1"/>
    <col min="5" max="5" width="12.85546875" style="23" customWidth="1"/>
    <col min="6" max="8" width="13.85546875" style="23" customWidth="1"/>
    <col min="9" max="9" width="11.5703125" style="23" bestFit="1" customWidth="1"/>
    <col min="10" max="10" width="34" style="23" customWidth="1"/>
    <col min="11" max="11" width="15.5703125" style="23" bestFit="1" customWidth="1"/>
    <col min="12" max="12" width="10.85546875" style="23" customWidth="1"/>
    <col min="13" max="13" width="17.85546875" style="23" customWidth="1"/>
    <col min="14" max="14" width="8.85546875" style="23" customWidth="1"/>
    <col min="15" max="15" width="9.42578125" style="23" customWidth="1"/>
    <col min="16" max="16" width="10.28515625" style="23" customWidth="1"/>
    <col min="17" max="17" width="11.85546875" style="23" customWidth="1"/>
    <col min="18" max="18" width="11.42578125" style="23" bestFit="1" customWidth="1"/>
    <col min="19" max="19" width="8.140625" style="23" customWidth="1"/>
    <col min="20" max="20" width="9" style="23" customWidth="1"/>
    <col min="21" max="21" width="11.28515625" style="23" customWidth="1"/>
    <col min="22" max="22" width="2.140625" style="23" customWidth="1"/>
    <col min="23" max="25" width="9.140625" style="23" hidden="1" customWidth="1"/>
    <col min="26" max="26" width="17.28515625" style="23" hidden="1" customWidth="1"/>
    <col min="27" max="27" width="9.28515625" style="23" hidden="1" customWidth="1"/>
    <col min="28" max="28" width="12.28515625" style="23" hidden="1" customWidth="1"/>
    <col min="29" max="16384" width="9.140625" style="23" hidden="1"/>
  </cols>
  <sheetData>
    <row r="1" spans="1:21" s="10" customFormat="1" ht="3" customHeight="1" x14ac:dyDescent="0.2">
      <c r="C1" s="180"/>
      <c r="D1" s="180"/>
      <c r="E1" s="180"/>
      <c r="F1" s="180"/>
      <c r="G1" s="180"/>
      <c r="H1" s="180"/>
      <c r="I1" s="180"/>
      <c r="J1" s="180"/>
      <c r="K1" s="180"/>
      <c r="L1" s="180"/>
      <c r="M1" s="180"/>
      <c r="N1" s="180"/>
      <c r="O1" s="180"/>
      <c r="P1" s="180"/>
      <c r="Q1" s="180"/>
      <c r="R1" s="180"/>
      <c r="S1" s="180"/>
    </row>
    <row r="2" spans="1:21" s="10" customFormat="1" ht="14.25" customHeight="1" x14ac:dyDescent="0.2">
      <c r="C2" s="180"/>
      <c r="D2" s="180"/>
      <c r="G2" s="180"/>
      <c r="H2" s="180"/>
      <c r="I2" s="180"/>
      <c r="J2" s="180"/>
      <c r="K2" s="180"/>
      <c r="L2" s="180"/>
      <c r="M2" s="180"/>
      <c r="N2" s="180"/>
      <c r="O2" s="180"/>
      <c r="P2" s="180"/>
      <c r="Q2" s="180"/>
      <c r="R2" s="180"/>
      <c r="S2" s="180"/>
      <c r="T2" s="154" t="s">
        <v>57</v>
      </c>
      <c r="U2" s="153" t="s">
        <v>68</v>
      </c>
    </row>
    <row r="3" spans="1:21" s="10" customFormat="1" ht="12.75" customHeight="1" thickBot="1" x14ac:dyDescent="0.25">
      <c r="C3" s="180"/>
      <c r="D3" s="180"/>
      <c r="E3" s="180"/>
      <c r="F3" s="180"/>
      <c r="G3" s="180"/>
      <c r="H3" s="180"/>
      <c r="I3" s="180"/>
      <c r="J3" s="180"/>
      <c r="K3" s="180"/>
      <c r="L3" s="180"/>
      <c r="M3" s="180"/>
      <c r="N3" s="180"/>
      <c r="O3" s="180"/>
      <c r="P3" s="180"/>
      <c r="Q3" s="180"/>
      <c r="R3" s="180"/>
      <c r="S3" s="180"/>
      <c r="T3" s="152"/>
      <c r="U3" s="152"/>
    </row>
    <row r="4" spans="1:21" s="10" customFormat="1" ht="12.75" customHeight="1" thickTop="1" x14ac:dyDescent="0.2">
      <c r="B4" s="180"/>
      <c r="C4" s="180"/>
      <c r="D4" s="180"/>
      <c r="E4" s="180"/>
      <c r="F4" s="180"/>
      <c r="G4" s="180"/>
      <c r="H4" s="180"/>
      <c r="I4" s="180"/>
      <c r="J4" s="180"/>
      <c r="K4" s="180"/>
      <c r="L4" s="180"/>
      <c r="M4" s="180"/>
      <c r="N4" s="180"/>
      <c r="O4" s="180"/>
      <c r="P4" s="180"/>
      <c r="Q4" s="180"/>
      <c r="R4" s="180"/>
      <c r="S4" s="180"/>
      <c r="T4" s="180"/>
      <c r="U4" s="180"/>
    </row>
    <row r="5" spans="1:21" s="10" customFormat="1" ht="22.5" customHeight="1" x14ac:dyDescent="0.2">
      <c r="B5" s="180" t="s">
        <v>185</v>
      </c>
      <c r="C5" s="180"/>
      <c r="D5" s="180"/>
      <c r="E5" s="180"/>
      <c r="F5" s="180"/>
      <c r="G5" s="180"/>
      <c r="H5" s="180"/>
      <c r="I5" s="180"/>
      <c r="J5" s="180"/>
      <c r="K5" s="180"/>
      <c r="L5" s="180"/>
      <c r="M5" s="180"/>
      <c r="N5" s="180"/>
      <c r="O5" s="180"/>
      <c r="P5" s="180"/>
      <c r="Q5" s="180"/>
      <c r="R5" s="180"/>
      <c r="S5" s="180"/>
      <c r="T5" s="180"/>
      <c r="U5" s="180"/>
    </row>
    <row r="6" spans="1:21" s="26" customFormat="1" ht="3.75" customHeight="1" x14ac:dyDescent="0.25">
      <c r="A6" s="180"/>
      <c r="B6" s="180"/>
      <c r="C6" s="180"/>
      <c r="D6" s="180"/>
      <c r="E6" s="180"/>
      <c r="F6" s="180"/>
      <c r="G6" s="180"/>
      <c r="H6" s="180"/>
      <c r="I6" s="180"/>
      <c r="J6" s="180"/>
      <c r="K6" s="180"/>
      <c r="L6" s="180"/>
      <c r="M6" s="180"/>
      <c r="N6" s="180"/>
      <c r="O6" s="180"/>
      <c r="P6" s="180"/>
      <c r="Q6" s="180"/>
      <c r="R6" s="180"/>
      <c r="S6" s="180"/>
      <c r="T6" s="180"/>
      <c r="U6" s="180"/>
    </row>
    <row r="7" spans="1:21" s="26" customFormat="1" ht="18.75" customHeight="1" x14ac:dyDescent="0.25">
      <c r="A7" s="180"/>
      <c r="B7" s="180"/>
      <c r="C7" s="190" t="s">
        <v>183</v>
      </c>
      <c r="D7" s="190"/>
      <c r="E7" s="190"/>
      <c r="F7" s="191" t="s">
        <v>184</v>
      </c>
      <c r="G7" s="191"/>
      <c r="H7" s="191"/>
      <c r="I7" s="191"/>
      <c r="J7" s="180"/>
      <c r="K7" s="180"/>
      <c r="L7" s="180"/>
      <c r="M7" s="180"/>
      <c r="N7" s="180"/>
      <c r="O7" s="180"/>
      <c r="P7" s="180"/>
      <c r="Q7" s="180"/>
      <c r="R7" s="180"/>
      <c r="S7" s="180"/>
      <c r="T7" s="180"/>
      <c r="U7" s="180"/>
    </row>
    <row r="8" spans="1:21" s="26" customFormat="1" ht="21" customHeight="1" x14ac:dyDescent="0.25">
      <c r="B8" s="112" t="s">
        <v>54</v>
      </c>
      <c r="C8" s="112" t="s">
        <v>97</v>
      </c>
      <c r="D8" s="113" t="s">
        <v>142</v>
      </c>
      <c r="E8" s="113" t="s">
        <v>131</v>
      </c>
      <c r="F8" s="113" t="s">
        <v>184</v>
      </c>
      <c r="G8" s="113" t="s">
        <v>215</v>
      </c>
      <c r="H8" s="113" t="s">
        <v>97</v>
      </c>
      <c r="I8" s="113" t="s">
        <v>131</v>
      </c>
      <c r="J8" s="268" t="s">
        <v>98</v>
      </c>
      <c r="K8" s="270"/>
      <c r="L8" s="112" t="s">
        <v>99</v>
      </c>
      <c r="M8" s="112" t="s">
        <v>100</v>
      </c>
      <c r="N8" s="112" t="s">
        <v>7</v>
      </c>
      <c r="O8" s="268" t="s">
        <v>89</v>
      </c>
      <c r="P8" s="269"/>
      <c r="Q8" s="270"/>
      <c r="R8" s="156" t="s">
        <v>187</v>
      </c>
      <c r="S8" s="268" t="s">
        <v>101</v>
      </c>
      <c r="T8" s="269"/>
      <c r="U8" s="270"/>
    </row>
    <row r="9" spans="1:21" s="26" customFormat="1" ht="32.25" customHeight="1" x14ac:dyDescent="0.25">
      <c r="B9" s="114" t="s">
        <v>102</v>
      </c>
      <c r="C9" s="114" t="s">
        <v>192</v>
      </c>
      <c r="D9" s="114" t="s">
        <v>193</v>
      </c>
      <c r="E9" s="114" t="s">
        <v>194</v>
      </c>
      <c r="F9" s="114" t="s">
        <v>17</v>
      </c>
      <c r="G9" s="114" t="s">
        <v>195</v>
      </c>
      <c r="H9" s="114" t="s">
        <v>196</v>
      </c>
      <c r="I9" s="114" t="s">
        <v>196</v>
      </c>
      <c r="J9" s="114" t="s">
        <v>169</v>
      </c>
      <c r="K9" s="114" t="s">
        <v>14</v>
      </c>
      <c r="L9" s="114" t="s">
        <v>103</v>
      </c>
      <c r="M9" s="114" t="s">
        <v>144</v>
      </c>
      <c r="N9" s="114" t="s">
        <v>44</v>
      </c>
      <c r="O9" s="114" t="s">
        <v>145</v>
      </c>
      <c r="P9" s="114" t="s">
        <v>146</v>
      </c>
      <c r="Q9" s="114" t="s">
        <v>147</v>
      </c>
      <c r="R9" s="114" t="s">
        <v>214</v>
      </c>
      <c r="S9" s="114" t="s">
        <v>141</v>
      </c>
      <c r="T9" s="114" t="s">
        <v>139</v>
      </c>
      <c r="U9" s="114" t="s">
        <v>140</v>
      </c>
    </row>
    <row r="10" spans="1:21" s="26" customFormat="1" ht="18.75" customHeight="1" x14ac:dyDescent="0.25">
      <c r="B10" s="176" t="s">
        <v>117</v>
      </c>
      <c r="C10" s="177">
        <f>IF(D10=0,"",IFERROR(D10/$D$35,""))</f>
        <v>0.06</v>
      </c>
      <c r="D10" s="194">
        <v>60000</v>
      </c>
      <c r="E10" s="165">
        <f t="shared" ref="E10:E34" si="0">IFERROR(ROUNDDOWN(D10/L10,0),"")</f>
        <v>6666</v>
      </c>
      <c r="F10" s="194">
        <v>85000</v>
      </c>
      <c r="G10" s="193">
        <f>IFERROR(D10+F10,"")</f>
        <v>145000</v>
      </c>
      <c r="H10" s="177">
        <f>IF(G10=0,"",IFERROR(G10/$G$36,""))</f>
        <v>9.5709570957095716E-2</v>
      </c>
      <c r="I10" s="165">
        <f>IFERROR(ROUNDDOWN(G10/L10,0),"")</f>
        <v>16111</v>
      </c>
      <c r="J10" s="189" t="str">
        <f>IFERROR(VLOOKUP($B10,'Stock Guide'!$B:$W,3,0),"")</f>
        <v>BTG Pactual Crédito Imobiliário FII</v>
      </c>
      <c r="K10" s="189" t="str">
        <f>IFERROR(VLOOKUP($B10,'Stock Guide'!$B:$W,6,0),"")</f>
        <v>Recebível</v>
      </c>
      <c r="L10" s="167">
        <f>IFERROR(VLOOKUP($B10,'Stock Guide'!$B:$W,9,0),"")</f>
        <v>9</v>
      </c>
      <c r="M10" s="115">
        <f>IFERROR(VLOOKUP($B10,'Stock Guide'!$B:$W,8,0)/1000,"")</f>
        <v>3504.8616468</v>
      </c>
      <c r="N10" s="168">
        <f>IFERROR(VLOOKUP($B10,'Stock Guide'!$B:$W,14,0),"")</f>
        <v>0.8921572436346602</v>
      </c>
      <c r="O10" s="116">
        <f>IFERROR(R10/L10,"")</f>
        <v>1.1444444444444445E-2</v>
      </c>
      <c r="P10" s="116">
        <f>IFERROR(VLOOKUP($B10,'Stock Guide'!$B:$W,16,0),"")</f>
        <v>0.13055555556000001</v>
      </c>
      <c r="Q10" s="116">
        <f>IFERROR((R10/L10)*12,"")</f>
        <v>0.13733333333333334</v>
      </c>
      <c r="R10" s="169">
        <f>IFERROR(VLOOKUP($B10,'Stock Guide'!$B:$W,19,0),"")</f>
        <v>0.10299999999999999</v>
      </c>
      <c r="S10" s="116">
        <f>IFERROR(VLOOKUP($B10,'Stock Guide'!$B:$W,20,0),"")</f>
        <v>-4.0443824091000004E-3</v>
      </c>
      <c r="T10" s="116">
        <f>IFERROR(VLOOKUP($B10,'Stock Guide'!$B:$W,21,0),"")</f>
        <v>4.8974723013000002E-2</v>
      </c>
      <c r="U10" s="116">
        <f>IFERROR(VLOOKUP($B10,'Stock Guide'!$B:$W,22,0),"")</f>
        <v>0.12285467526</v>
      </c>
    </row>
    <row r="11" spans="1:21" s="26" customFormat="1" ht="18.75" customHeight="1" x14ac:dyDescent="0.25">
      <c r="B11" s="178" t="s">
        <v>31</v>
      </c>
      <c r="C11" s="177">
        <f t="shared" ref="C11:C34" si="1">IF(D11=0,"",IFERROR(D11/$D$35,""))</f>
        <v>0.13</v>
      </c>
      <c r="D11" s="195">
        <v>130000</v>
      </c>
      <c r="E11" s="165">
        <f t="shared" si="0"/>
        <v>1219</v>
      </c>
      <c r="F11" s="195"/>
      <c r="G11" s="193">
        <f t="shared" ref="G11:G34" si="2">IFERROR(D11+F11,"")</f>
        <v>130000</v>
      </c>
      <c r="H11" s="177">
        <f t="shared" ref="H11:H34" si="3">IF(G11=0,"",IFERROR(G11/$G$36,""))</f>
        <v>8.5808580858085806E-2</v>
      </c>
      <c r="I11" s="165">
        <f t="shared" ref="I11:I34" si="4">IFERROR(ROUNDDOWN(G11/L11,0),"")</f>
        <v>1219</v>
      </c>
      <c r="J11" s="189" t="str">
        <f>IFERROR(VLOOKUP($B11,'Stock Guide'!$B:$W,3,0),"")</f>
        <v>Kinea Rendimentos Imobiliários FII</v>
      </c>
      <c r="K11" s="189" t="str">
        <f>IFERROR(VLOOKUP($B11,'Stock Guide'!$B:$W,6,0),"")</f>
        <v>Recebível</v>
      </c>
      <c r="L11" s="167">
        <f>IFERROR(VLOOKUP($B11,'Stock Guide'!$B:$W,9,0),"")</f>
        <v>106.6</v>
      </c>
      <c r="M11" s="115">
        <f>IFERROR(VLOOKUP($B11,'Stock Guide'!$B:$W,8,0)/1000,"")</f>
        <v>21474.425813999998</v>
      </c>
      <c r="N11" s="168">
        <f>IFERROR(VLOOKUP($B11,'Stock Guide'!$B:$W,14,0),"")</f>
        <v>1.0398102039502524</v>
      </c>
      <c r="O11" s="116">
        <f t="shared" ref="O11:O34" si="5">IFERROR(R11/L11,"")</f>
        <v>1.1726078799249532E-2</v>
      </c>
      <c r="P11" s="116">
        <f>IFERROR(VLOOKUP($B11,'Stock Guide'!$B:$W,16,0),"")</f>
        <v>0.13452157599</v>
      </c>
      <c r="Q11" s="116">
        <f t="shared" ref="Q11:Q34" si="6">IFERROR((R11/L11)*12,"")</f>
        <v>0.1407129455909944</v>
      </c>
      <c r="R11" s="169">
        <f>IFERROR(VLOOKUP($B11,'Stock Guide'!$B:$W,19,0),"")</f>
        <v>1.25</v>
      </c>
      <c r="S11" s="116">
        <f>IFERROR(VLOOKUP($B11,'Stock Guide'!$B:$W,20,0),"")</f>
        <v>-2.0595394117E-3</v>
      </c>
      <c r="T11" s="116">
        <f>IFERROR(VLOOKUP($B11,'Stock Guide'!$B:$W,21,0),"")</f>
        <v>8.0907163892000006E-2</v>
      </c>
      <c r="U11" s="116">
        <f>IFERROR(VLOOKUP($B11,'Stock Guide'!$B:$W,22,0),"")</f>
        <v>0.18083758010000001</v>
      </c>
    </row>
    <row r="12" spans="1:21" s="26" customFormat="1" ht="18.75" customHeight="1" x14ac:dyDescent="0.25">
      <c r="B12" s="178" t="s">
        <v>29</v>
      </c>
      <c r="C12" s="177">
        <f t="shared" si="1"/>
        <v>0.13</v>
      </c>
      <c r="D12" s="195">
        <v>130000</v>
      </c>
      <c r="E12" s="165">
        <f t="shared" si="0"/>
        <v>1455</v>
      </c>
      <c r="F12" s="195">
        <v>50000</v>
      </c>
      <c r="G12" s="193">
        <f t="shared" si="2"/>
        <v>180000</v>
      </c>
      <c r="H12" s="177">
        <f t="shared" si="3"/>
        <v>0.11881188118811881</v>
      </c>
      <c r="I12" s="165">
        <f t="shared" si="4"/>
        <v>2015</v>
      </c>
      <c r="J12" s="189" t="str">
        <f>IFERROR(VLOOKUP($B12,'Stock Guide'!$B:$W,3,0),"")</f>
        <v>Kinea Indices de Preços FII</v>
      </c>
      <c r="K12" s="189" t="str">
        <f>IFERROR(VLOOKUP($B12,'Stock Guide'!$B:$W,6,0),"")</f>
        <v>Recebível</v>
      </c>
      <c r="L12" s="167">
        <f>IFERROR(VLOOKUP($B12,'Stock Guide'!$B:$W,9,0),"")</f>
        <v>89.3</v>
      </c>
      <c r="M12" s="115">
        <f>IFERROR(VLOOKUP($B12,'Stock Guide'!$B:$W,8,0)/1000,"")</f>
        <v>10206.473310000001</v>
      </c>
      <c r="N12" s="168">
        <f>IFERROR(VLOOKUP($B12,'Stock Guide'!$B:$W,14,0),"")</f>
        <v>0.96172850670618804</v>
      </c>
      <c r="O12" s="116">
        <f t="shared" si="5"/>
        <v>1.0638297872340425E-2</v>
      </c>
      <c r="P12" s="116">
        <f>IFERROR(VLOOKUP($B12,'Stock Guide'!$B:$W,16,0),"")</f>
        <v>0.11377379619</v>
      </c>
      <c r="Q12" s="116">
        <f t="shared" si="6"/>
        <v>0.1276595744680851</v>
      </c>
      <c r="R12" s="169">
        <f>IFERROR(VLOOKUP($B12,'Stock Guide'!$B:$W,19,0),"")</f>
        <v>0.95</v>
      </c>
      <c r="S12" s="116">
        <f>IFERROR(VLOOKUP($B12,'Stock Guide'!$B:$W,20,0),"")</f>
        <v>-1.4783759927E-2</v>
      </c>
      <c r="T12" s="116">
        <f>IFERROR(VLOOKUP($B12,'Stock Guide'!$B:$W,21,0),"")</f>
        <v>7.0350425191999993E-2</v>
      </c>
      <c r="U12" s="116">
        <f>IFERROR(VLOOKUP($B12,'Stock Guide'!$B:$W,22,0),"")</f>
        <v>0.15124008206</v>
      </c>
    </row>
    <row r="13" spans="1:21" s="26" customFormat="1" ht="18.75" customHeight="1" x14ac:dyDescent="0.25">
      <c r="B13" s="178" t="s">
        <v>32</v>
      </c>
      <c r="C13" s="177">
        <f t="shared" si="1"/>
        <v>0.03</v>
      </c>
      <c r="D13" s="195">
        <v>30000</v>
      </c>
      <c r="E13" s="165">
        <f t="shared" si="0"/>
        <v>400</v>
      </c>
      <c r="F13" s="195"/>
      <c r="G13" s="193">
        <f t="shared" si="2"/>
        <v>30000</v>
      </c>
      <c r="H13" s="177">
        <f t="shared" si="3"/>
        <v>1.9801980198019802E-2</v>
      </c>
      <c r="I13" s="165">
        <f t="shared" si="4"/>
        <v>400</v>
      </c>
      <c r="J13" s="189" t="str">
        <f>IFERROR(VLOOKUP($B13,'Stock Guide'!$B:$W,3,0),"")</f>
        <v>FII RBR Rendimento High</v>
      </c>
      <c r="K13" s="189" t="str">
        <f>IFERROR(VLOOKUP($B13,'Stock Guide'!$B:$W,6,0),"")</f>
        <v>Recebível</v>
      </c>
      <c r="L13" s="167">
        <f>IFERROR(VLOOKUP($B13,'Stock Guide'!$B:$W,9,0),"")</f>
        <v>75</v>
      </c>
      <c r="M13" s="115">
        <f>IFERROR(VLOOKUP($B13,'Stock Guide'!$B:$W,8,0)/1000,"")</f>
        <v>4149.1633065999995</v>
      </c>
      <c r="N13" s="168">
        <f>IFERROR(VLOOKUP($B13,'Stock Guide'!$B:$W,14,0),"")</f>
        <v>0.81605128097163937</v>
      </c>
      <c r="O13" s="116">
        <f t="shared" si="5"/>
        <v>1.2E-2</v>
      </c>
      <c r="P13" s="116">
        <f>IFERROR(VLOOKUP($B13,'Stock Guide'!$B:$W,16,0),"")</f>
        <v>0.13173333333000001</v>
      </c>
      <c r="Q13" s="116">
        <f t="shared" si="6"/>
        <v>0.14400000000000002</v>
      </c>
      <c r="R13" s="169">
        <f>IFERROR(VLOOKUP($B13,'Stock Guide'!$B:$W,19,0),"")</f>
        <v>0.9</v>
      </c>
      <c r="S13" s="116">
        <f>IFERROR(VLOOKUP($B13,'Stock Guide'!$B:$W,20,0),"")</f>
        <v>-4.5359408796E-4</v>
      </c>
      <c r="T13" s="116">
        <f>IFERROR(VLOOKUP($B13,'Stock Guide'!$B:$W,21,0),"")</f>
        <v>-7.0281296647000002E-2</v>
      </c>
      <c r="U13" s="116">
        <f>IFERROR(VLOOKUP($B13,'Stock Guide'!$B:$W,22,0),"")</f>
        <v>-2.3658732602E-2</v>
      </c>
    </row>
    <row r="14" spans="1:21" s="26" customFormat="1" ht="18.75" customHeight="1" x14ac:dyDescent="0.25">
      <c r="B14" s="178" t="s">
        <v>33</v>
      </c>
      <c r="C14" s="177">
        <f t="shared" si="1"/>
        <v>0.09</v>
      </c>
      <c r="D14" s="195">
        <v>90000</v>
      </c>
      <c r="E14" s="165">
        <f t="shared" si="0"/>
        <v>1170</v>
      </c>
      <c r="F14" s="194"/>
      <c r="G14" s="193">
        <f t="shared" si="2"/>
        <v>90000</v>
      </c>
      <c r="H14" s="177">
        <f t="shared" si="3"/>
        <v>5.9405940594059403E-2</v>
      </c>
      <c r="I14" s="165">
        <f t="shared" si="4"/>
        <v>1170</v>
      </c>
      <c r="J14" s="189" t="str">
        <f>IFERROR(VLOOKUP($B14,'Stock Guide'!$B:$W,3,0),"")</f>
        <v>RBR Crédito Imobiliário Estruturado FII</v>
      </c>
      <c r="K14" s="189" t="str">
        <f>IFERROR(VLOOKUP($B14,'Stock Guide'!$B:$W,6,0),"")</f>
        <v>Recebível</v>
      </c>
      <c r="L14" s="167">
        <f>IFERROR(VLOOKUP($B14,'Stock Guide'!$B:$W,9,0),"")</f>
        <v>76.87</v>
      </c>
      <c r="M14" s="115">
        <f>IFERROR(VLOOKUP($B14,'Stock Guide'!$B:$W,8,0)/1000,"")</f>
        <v>4305.7881322000003</v>
      </c>
      <c r="N14" s="168">
        <f>IFERROR(VLOOKUP($B14,'Stock Guide'!$B:$W,14,0),"")</f>
        <v>0.76119221991005481</v>
      </c>
      <c r="O14" s="116">
        <f t="shared" si="5"/>
        <v>1.3008976193573565E-2</v>
      </c>
      <c r="P14" s="116">
        <f>IFERROR(VLOOKUP($B14,'Stock Guide'!$B:$W,16,0),"")</f>
        <v>0.17627162741999999</v>
      </c>
      <c r="Q14" s="116">
        <f t="shared" si="6"/>
        <v>0.15610771432288278</v>
      </c>
      <c r="R14" s="169">
        <f>IFERROR(VLOOKUP($B14,'Stock Guide'!$B:$W,19,0),"")</f>
        <v>1</v>
      </c>
      <c r="S14" s="116">
        <f>IFERROR(VLOOKUP($B14,'Stock Guide'!$B:$W,20,0),"")</f>
        <v>-8.1375576946999997E-2</v>
      </c>
      <c r="T14" s="116">
        <f>IFERROR(VLOOKUP($B14,'Stock Guide'!$B:$W,21,0),"")</f>
        <v>-0.13772419495999999</v>
      </c>
      <c r="U14" s="116">
        <f>IFERROR(VLOOKUP($B14,'Stock Guide'!$B:$W,22,0),"")</f>
        <v>-3.8285444644000001E-2</v>
      </c>
    </row>
    <row r="15" spans="1:21" s="26" customFormat="1" ht="18.75" customHeight="1" x14ac:dyDescent="0.25">
      <c r="B15" s="178" t="s">
        <v>255</v>
      </c>
      <c r="C15" s="177">
        <f t="shared" si="1"/>
        <v>0.08</v>
      </c>
      <c r="D15" s="195">
        <v>80000</v>
      </c>
      <c r="E15" s="165">
        <f t="shared" si="0"/>
        <v>856</v>
      </c>
      <c r="F15" s="195"/>
      <c r="G15" s="193">
        <f t="shared" si="2"/>
        <v>80000</v>
      </c>
      <c r="H15" s="177">
        <f t="shared" si="3"/>
        <v>5.2805280528052806E-2</v>
      </c>
      <c r="I15" s="165">
        <f t="shared" si="4"/>
        <v>856</v>
      </c>
      <c r="J15" s="189" t="str">
        <f>IFERROR(VLOOKUP($B15,'Stock Guide'!$B:$W,3,0),"")</f>
        <v>Mauá Capital Recebíveis Imobiliários FII</v>
      </c>
      <c r="K15" s="189" t="str">
        <f>IFERROR(VLOOKUP($B15,'Stock Guide'!$B:$W,6,0),"")</f>
        <v>Recebível</v>
      </c>
      <c r="L15" s="167">
        <f>IFERROR(VLOOKUP($B15,'Stock Guide'!$B:$W,9,0),"")</f>
        <v>93.38</v>
      </c>
      <c r="M15" s="115">
        <f>IFERROR(VLOOKUP($B15,'Stock Guide'!$B:$W,8,0)/1000,"")</f>
        <v>4539.8289225999997</v>
      </c>
      <c r="N15" s="168">
        <f>IFERROR(VLOOKUP($B15,'Stock Guide'!$B:$W,14,0),"")</f>
        <v>0.99342629006675143</v>
      </c>
      <c r="O15" s="116">
        <f t="shared" si="5"/>
        <v>1.0708931248661385E-2</v>
      </c>
      <c r="P15" s="116">
        <f>IFERROR(VLOOKUP($B15,'Stock Guide'!$B:$W,16,0),"")</f>
        <v>0.12850717498</v>
      </c>
      <c r="Q15" s="116">
        <f t="shared" si="6"/>
        <v>0.1285071749839366</v>
      </c>
      <c r="R15" s="169">
        <f>IFERROR(VLOOKUP($B15,'Stock Guide'!$B:$W,19,0),"")</f>
        <v>1</v>
      </c>
      <c r="S15" s="116">
        <f>IFERROR(VLOOKUP($B15,'Stock Guide'!$B:$W,20,0),"")</f>
        <v>-4.2546667318999996E-3</v>
      </c>
      <c r="T15" s="116">
        <f>IFERROR(VLOOKUP($B15,'Stock Guide'!$B:$W,21,0),"")</f>
        <v>0.11080271396999999</v>
      </c>
      <c r="U15" s="116">
        <f>IFERROR(VLOOKUP($B15,'Stock Guide'!$B:$W,22,0),"")</f>
        <v>0.26147021172000001</v>
      </c>
    </row>
    <row r="16" spans="1:21" s="26" customFormat="1" ht="18.75" customHeight="1" x14ac:dyDescent="0.25">
      <c r="B16" s="178" t="s">
        <v>34</v>
      </c>
      <c r="C16" s="177">
        <f t="shared" si="1"/>
        <v>4.4999999999999998E-2</v>
      </c>
      <c r="D16" s="195">
        <v>45000</v>
      </c>
      <c r="E16" s="165">
        <f t="shared" si="0"/>
        <v>490</v>
      </c>
      <c r="F16" s="195"/>
      <c r="G16" s="193">
        <f t="shared" si="2"/>
        <v>45000</v>
      </c>
      <c r="H16" s="177">
        <f t="shared" si="3"/>
        <v>2.9702970297029702E-2</v>
      </c>
      <c r="I16" s="165">
        <f t="shared" si="4"/>
        <v>490</v>
      </c>
      <c r="J16" s="189" t="str">
        <f>IFERROR(VLOOKUP($B16,'Stock Guide'!$B:$W,3,0),"")</f>
        <v>Vinci Logística FII</v>
      </c>
      <c r="K16" s="189" t="str">
        <f>IFERROR(VLOOKUP($B16,'Stock Guide'!$B:$W,6,0),"")</f>
        <v>Galpão Logístico</v>
      </c>
      <c r="L16" s="167">
        <f>IFERROR(VLOOKUP($B16,'Stock Guide'!$B:$W,9,0),"")</f>
        <v>91.65</v>
      </c>
      <c r="M16" s="115">
        <f>IFERROR(VLOOKUP($B16,'Stock Guide'!$B:$W,8,0)/1000,"")</f>
        <v>2575.8593253999998</v>
      </c>
      <c r="N16" s="168">
        <f>IFERROR(VLOOKUP($B16,'Stock Guide'!$B:$W,14,0),"")</f>
        <v>0.83834886139434162</v>
      </c>
      <c r="O16" s="116">
        <f t="shared" si="5"/>
        <v>8.9470812875068178E-3</v>
      </c>
      <c r="P16" s="116">
        <f>IFERROR(VLOOKUP($B16,'Stock Guide'!$B:$W,16,0),"")</f>
        <v>0.10190943808</v>
      </c>
      <c r="Q16" s="116">
        <f t="shared" si="6"/>
        <v>0.10736497545008181</v>
      </c>
      <c r="R16" s="169">
        <f>IFERROR(VLOOKUP($B16,'Stock Guide'!$B:$W,19,0),"")</f>
        <v>0.82</v>
      </c>
      <c r="S16" s="116">
        <f>IFERROR(VLOOKUP($B16,'Stock Guide'!$B:$W,20,0),"")</f>
        <v>5.8165057070999997E-3</v>
      </c>
      <c r="T16" s="116">
        <f>IFERROR(VLOOKUP($B16,'Stock Guide'!$B:$W,21,0),"")</f>
        <v>-1.6190667618999999E-2</v>
      </c>
      <c r="U16" s="116">
        <f>IFERROR(VLOOKUP($B16,'Stock Guide'!$B:$W,22,0),"")</f>
        <v>0.25374251109000001</v>
      </c>
    </row>
    <row r="17" spans="2:21" s="26" customFormat="1" ht="18.75" customHeight="1" x14ac:dyDescent="0.25">
      <c r="B17" s="178" t="s">
        <v>23</v>
      </c>
      <c r="C17" s="177">
        <f t="shared" si="1"/>
        <v>4.4999999999999998E-2</v>
      </c>
      <c r="D17" s="195">
        <v>45000</v>
      </c>
      <c r="E17" s="165">
        <f t="shared" si="0"/>
        <v>402</v>
      </c>
      <c r="F17" s="194">
        <v>30000</v>
      </c>
      <c r="G17" s="193">
        <f t="shared" si="2"/>
        <v>75000</v>
      </c>
      <c r="H17" s="177">
        <f t="shared" si="3"/>
        <v>4.9504950495049507E-2</v>
      </c>
      <c r="I17" s="165">
        <f t="shared" si="4"/>
        <v>670</v>
      </c>
      <c r="J17" s="189" t="str">
        <f>IFERROR(VLOOKUP($B17,'Stock Guide'!$B:$W,3,0),"")</f>
        <v>Bresco Logística FII</v>
      </c>
      <c r="K17" s="189" t="str">
        <f>IFERROR(VLOOKUP($B17,'Stock Guide'!$B:$W,6,0),"")</f>
        <v>Galpão Logístico</v>
      </c>
      <c r="L17" s="167">
        <f>IFERROR(VLOOKUP($B17,'Stock Guide'!$B:$W,9,0),"")</f>
        <v>111.84</v>
      </c>
      <c r="M17" s="115">
        <f>IFERROR(VLOOKUP($B17,'Stock Guide'!$B:$W,8,0)/1000,"")</f>
        <v>5135.9863602999994</v>
      </c>
      <c r="N17" s="168">
        <f>IFERROR(VLOOKUP($B17,'Stock Guide'!$B:$W,14,0),"")</f>
        <v>0.97361058371226783</v>
      </c>
      <c r="O17" s="116">
        <f t="shared" si="5"/>
        <v>8.1366237482117312E-3</v>
      </c>
      <c r="P17" s="116">
        <f>IFERROR(VLOOKUP($B17,'Stock Guide'!$B:$W,16,0),"")</f>
        <v>9.7639484977999999E-2</v>
      </c>
      <c r="Q17" s="116">
        <f t="shared" si="6"/>
        <v>9.7639484978540775E-2</v>
      </c>
      <c r="R17" s="169">
        <f>IFERROR(VLOOKUP($B17,'Stock Guide'!$B:$W,19,0),"")</f>
        <v>0.91</v>
      </c>
      <c r="S17" s="116">
        <f>IFERROR(VLOOKUP($B17,'Stock Guide'!$B:$W,20,0),"")</f>
        <v>-1.9291476674999999E-2</v>
      </c>
      <c r="T17" s="116">
        <f>IFERROR(VLOOKUP($B17,'Stock Guide'!$B:$W,21,0),"")</f>
        <v>1.0814625611E-2</v>
      </c>
      <c r="U17" s="116">
        <f>IFERROR(VLOOKUP($B17,'Stock Guide'!$B:$W,22,0),"")</f>
        <v>0.12894550842999999</v>
      </c>
    </row>
    <row r="18" spans="2:21" s="26" customFormat="1" ht="18.75" customHeight="1" x14ac:dyDescent="0.25">
      <c r="B18" s="178" t="s">
        <v>24</v>
      </c>
      <c r="C18" s="177">
        <f t="shared" si="1"/>
        <v>0.13</v>
      </c>
      <c r="D18" s="195">
        <v>130000</v>
      </c>
      <c r="E18" s="165">
        <f t="shared" si="0"/>
        <v>1321</v>
      </c>
      <c r="F18" s="195"/>
      <c r="G18" s="193">
        <f t="shared" si="2"/>
        <v>130000</v>
      </c>
      <c r="H18" s="177">
        <f t="shared" si="3"/>
        <v>8.5808580858085806E-2</v>
      </c>
      <c r="I18" s="165">
        <f t="shared" si="4"/>
        <v>1321</v>
      </c>
      <c r="J18" s="189" t="str">
        <f>IFERROR(VLOOKUP($B18,'Stock Guide'!$B:$W,3,0),"")</f>
        <v>BTG Pactual Logística FII</v>
      </c>
      <c r="K18" s="189" t="str">
        <f>IFERROR(VLOOKUP($B18,'Stock Guide'!$B:$W,6,0),"")</f>
        <v>Galpão Logístico</v>
      </c>
      <c r="L18" s="167">
        <f>IFERROR(VLOOKUP($B18,'Stock Guide'!$B:$W,9,0),"")</f>
        <v>98.37</v>
      </c>
      <c r="M18" s="115">
        <f>IFERROR(VLOOKUP($B18,'Stock Guide'!$B:$W,8,0)/1000,"")</f>
        <v>12468.437922000001</v>
      </c>
      <c r="N18" s="168">
        <f>IFERROR(VLOOKUP($B18,'Stock Guide'!$B:$W,14,0),"")</f>
        <v>0.92052045130163107</v>
      </c>
      <c r="O18" s="116">
        <f t="shared" si="5"/>
        <v>8.2342177493138161E-3</v>
      </c>
      <c r="P18" s="116">
        <f>IFERROR(VLOOKUP($B18,'Stock Guide'!$B:$W,16,0),"")</f>
        <v>9.7590728880999997E-2</v>
      </c>
      <c r="Q18" s="116">
        <f t="shared" si="6"/>
        <v>9.88106129917658E-2</v>
      </c>
      <c r="R18" s="169">
        <f>IFERROR(VLOOKUP($B18,'Stock Guide'!$B:$W,19,0),"")</f>
        <v>0.81</v>
      </c>
      <c r="S18" s="116">
        <f>IFERROR(VLOOKUP($B18,'Stock Guide'!$B:$W,20,0),"")</f>
        <v>-1.6233044410000001E-2</v>
      </c>
      <c r="T18" s="116">
        <f>IFERROR(VLOOKUP($B18,'Stock Guide'!$B:$W,21,0),"")</f>
        <v>2.2844674291000001E-2</v>
      </c>
      <c r="U18" s="116">
        <f>IFERROR(VLOOKUP($B18,'Stock Guide'!$B:$W,22,0),"")</f>
        <v>9.3649124868999997E-2</v>
      </c>
    </row>
    <row r="19" spans="2:21" s="26" customFormat="1" ht="18.75" customHeight="1" x14ac:dyDescent="0.25">
      <c r="B19" s="178" t="s">
        <v>22</v>
      </c>
      <c r="C19" s="177">
        <f t="shared" si="1"/>
        <v>4.4999999999999998E-2</v>
      </c>
      <c r="D19" s="195">
        <v>45000</v>
      </c>
      <c r="E19" s="165">
        <f t="shared" si="0"/>
        <v>1148</v>
      </c>
      <c r="F19" s="194">
        <v>100000</v>
      </c>
      <c r="G19" s="193">
        <f t="shared" si="2"/>
        <v>145000</v>
      </c>
      <c r="H19" s="177">
        <f t="shared" si="3"/>
        <v>9.5709570957095716E-2</v>
      </c>
      <c r="I19" s="165">
        <f t="shared" si="4"/>
        <v>3699</v>
      </c>
      <c r="J19" s="189" t="str">
        <f>IFERROR(VLOOKUP($B19,'Stock Guide'!$B:$W,3,0),"")</f>
        <v>BTG Pactual Corporate Offices FII</v>
      </c>
      <c r="K19" s="189" t="str">
        <f>IFERROR(VLOOKUP($B19,'Stock Guide'!$B:$W,6,0),"")</f>
        <v>Laje Corporativa</v>
      </c>
      <c r="L19" s="167">
        <f>IFERROR(VLOOKUP($B19,'Stock Guide'!$B:$W,9,0),"")</f>
        <v>39.19</v>
      </c>
      <c r="M19" s="115">
        <f>IFERROR(VLOOKUP($B19,'Stock Guide'!$B:$W,8,0)/1000,"")</f>
        <v>1254.8978038</v>
      </c>
      <c r="N19" s="168">
        <f>IFERROR(VLOOKUP($B19,'Stock Guide'!$B:$W,14,0),"")</f>
        <v>0.48377810701772034</v>
      </c>
      <c r="O19" s="116">
        <f t="shared" si="5"/>
        <v>1.0461852513396274E-2</v>
      </c>
      <c r="P19" s="116">
        <f>IFERROR(VLOOKUP($B19,'Stock Guide'!$B:$W,16,0),"")</f>
        <v>0.12554223015999999</v>
      </c>
      <c r="Q19" s="116">
        <f t="shared" si="6"/>
        <v>0.12554223016075527</v>
      </c>
      <c r="R19" s="169">
        <f>IFERROR(VLOOKUP($B19,'Stock Guide'!$B:$W,19,0),"")</f>
        <v>0.41</v>
      </c>
      <c r="S19" s="116">
        <f>IFERROR(VLOOKUP($B19,'Stock Guide'!$B:$W,20,0),"")</f>
        <v>-1.8103262876999999E-2</v>
      </c>
      <c r="T19" s="116">
        <f>IFERROR(VLOOKUP($B19,'Stock Guide'!$B:$W,21,0),"")</f>
        <v>-8.2991444748000007E-2</v>
      </c>
      <c r="U19" s="116">
        <f>IFERROR(VLOOKUP($B19,'Stock Guide'!$B:$W,22,0),"")</f>
        <v>8.4784476302999998E-2</v>
      </c>
    </row>
    <row r="20" spans="2:21" s="26" customFormat="1" ht="18.75" customHeight="1" x14ac:dyDescent="0.25">
      <c r="B20" s="178" t="s">
        <v>94</v>
      </c>
      <c r="C20" s="177">
        <f t="shared" si="1"/>
        <v>0.05</v>
      </c>
      <c r="D20" s="195">
        <v>50000</v>
      </c>
      <c r="E20" s="165">
        <f t="shared" si="0"/>
        <v>750</v>
      </c>
      <c r="F20" s="195"/>
      <c r="G20" s="193">
        <f t="shared" si="2"/>
        <v>50000</v>
      </c>
      <c r="H20" s="177">
        <f t="shared" si="3"/>
        <v>3.3003300330033E-2</v>
      </c>
      <c r="I20" s="165">
        <f t="shared" si="4"/>
        <v>750</v>
      </c>
      <c r="J20" s="189" t="str">
        <f>IFERROR(VLOOKUP($B20,'Stock Guide'!$B:$W,3,0),"")</f>
        <v>VBI Prime Properties</v>
      </c>
      <c r="K20" s="189" t="str">
        <f>IFERROR(VLOOKUP($B20,'Stock Guide'!$B:$W,6,0),"")</f>
        <v>Laje Corporativa</v>
      </c>
      <c r="L20" s="167">
        <f>IFERROR(VLOOKUP($B20,'Stock Guide'!$B:$W,9,0),"")</f>
        <v>66.66</v>
      </c>
      <c r="M20" s="115">
        <f>IFERROR(VLOOKUP($B20,'Stock Guide'!$B:$W,8,0)/1000,"")</f>
        <v>3815.4921964999999</v>
      </c>
      <c r="N20" s="168">
        <f>IFERROR(VLOOKUP($B20,'Stock Guide'!$B:$W,14,0),"")</f>
        <v>0.63782682413865333</v>
      </c>
      <c r="O20" s="116">
        <f t="shared" si="5"/>
        <v>6.0006000600060011E-3</v>
      </c>
      <c r="P20" s="116">
        <f>IFERROR(VLOOKUP($B20,'Stock Guide'!$B:$W,16,0),"")</f>
        <v>7.7257725772999997E-2</v>
      </c>
      <c r="Q20" s="116">
        <f t="shared" si="6"/>
        <v>7.2007200720072009E-2</v>
      </c>
      <c r="R20" s="169">
        <f>IFERROR(VLOOKUP($B20,'Stock Guide'!$B:$W,19,0),"")</f>
        <v>0.4</v>
      </c>
      <c r="S20" s="116">
        <f>IFERROR(VLOOKUP($B20,'Stock Guide'!$B:$W,20,0),"")</f>
        <v>-3.8372763992E-2</v>
      </c>
      <c r="T20" s="116">
        <f>IFERROR(VLOOKUP($B20,'Stock Guide'!$B:$W,21,0),"")</f>
        <v>-0.15062473000000001</v>
      </c>
      <c r="U20" s="116">
        <f>IFERROR(VLOOKUP($B20,'Stock Guide'!$B:$W,22,0),"")</f>
        <v>-4.2919194649E-2</v>
      </c>
    </row>
    <row r="21" spans="2:21" s="26" customFormat="1" ht="18.75" customHeight="1" x14ac:dyDescent="0.25">
      <c r="B21" s="178" t="s">
        <v>27</v>
      </c>
      <c r="C21" s="177">
        <f t="shared" si="1"/>
        <v>0.03</v>
      </c>
      <c r="D21" s="195">
        <v>30000</v>
      </c>
      <c r="E21" s="165">
        <f t="shared" si="0"/>
        <v>1612</v>
      </c>
      <c r="F21" s="194">
        <v>150000</v>
      </c>
      <c r="G21" s="193">
        <f t="shared" si="2"/>
        <v>180000</v>
      </c>
      <c r="H21" s="177">
        <f t="shared" si="3"/>
        <v>0.11881188118811881</v>
      </c>
      <c r="I21" s="165">
        <f t="shared" si="4"/>
        <v>9677</v>
      </c>
      <c r="J21" s="189" t="str">
        <f>IFERROR(VLOOKUP($B21,'Stock Guide'!$B:$W,3,0),"")</f>
        <v>Hedge Brasil Shopping FII</v>
      </c>
      <c r="K21" s="189" t="str">
        <f>IFERROR(VLOOKUP($B21,'Stock Guide'!$B:$W,6,0),"")</f>
        <v>Shopping Center</v>
      </c>
      <c r="L21" s="167">
        <f>IFERROR(VLOOKUP($B21,'Stock Guide'!$B:$W,9,0),"")</f>
        <v>18.600000000000001</v>
      </c>
      <c r="M21" s="115">
        <f>IFERROR(VLOOKUP($B21,'Stock Guide'!$B:$W,8,0)/1000,"")</f>
        <v>4435.5008686000001</v>
      </c>
      <c r="N21" s="168">
        <f>IFERROR(VLOOKUP($B21,'Stock Guide'!$B:$W,14,0),"")</f>
        <v>0.91869993448196707</v>
      </c>
      <c r="O21" s="116">
        <f t="shared" si="5"/>
        <v>9.1397849462365593E-3</v>
      </c>
      <c r="P21" s="116">
        <f>IFERROR(VLOOKUP($B21,'Stock Guide'!$B:$W,16,0),"")</f>
        <v>0.10376344086</v>
      </c>
      <c r="Q21" s="116">
        <f t="shared" si="6"/>
        <v>0.10967741935483871</v>
      </c>
      <c r="R21" s="169">
        <f>IFERROR(VLOOKUP($B21,'Stock Guide'!$B:$W,19,0),"")</f>
        <v>0.17</v>
      </c>
      <c r="S21" s="116">
        <f>IFERROR(VLOOKUP($B21,'Stock Guide'!$B:$W,20,0),"")</f>
        <v>-1.9504480761E-2</v>
      </c>
      <c r="T21" s="116">
        <f>IFERROR(VLOOKUP($B21,'Stock Guide'!$B:$W,21,0),"")</f>
        <v>-5.9386744851999997E-3</v>
      </c>
      <c r="U21" s="116">
        <f>IFERROR(VLOOKUP($B21,'Stock Guide'!$B:$W,22,0),"")</f>
        <v>8.8335596847E-2</v>
      </c>
    </row>
    <row r="22" spans="2:21" s="26" customFormat="1" ht="18.75" customHeight="1" x14ac:dyDescent="0.25">
      <c r="B22" s="178" t="s">
        <v>182</v>
      </c>
      <c r="C22" s="177">
        <f t="shared" si="1"/>
        <v>2.5000000000000001E-2</v>
      </c>
      <c r="D22" s="195">
        <v>25000</v>
      </c>
      <c r="E22" s="165">
        <f t="shared" si="0"/>
        <v>675</v>
      </c>
      <c r="F22" s="195"/>
      <c r="G22" s="193">
        <f t="shared" si="2"/>
        <v>25000</v>
      </c>
      <c r="H22" s="177">
        <f t="shared" si="3"/>
        <v>1.65016501650165E-2</v>
      </c>
      <c r="I22" s="165">
        <f t="shared" si="4"/>
        <v>675</v>
      </c>
      <c r="J22" s="189" t="str">
        <f>IFERROR(VLOOKUP($B22,'Stock Guide'!$B:$W,3,0),"")</f>
        <v>Gazit Malls FII</v>
      </c>
      <c r="K22" s="189" t="str">
        <f>IFERROR(VLOOKUP($B22,'Stock Guide'!$B:$W,6,0),"")</f>
        <v>Shopping Center</v>
      </c>
      <c r="L22" s="167">
        <f>IFERROR(VLOOKUP($B22,'Stock Guide'!$B:$W,9,0),"")</f>
        <v>37.03</v>
      </c>
      <c r="M22" s="115">
        <f>IFERROR(VLOOKUP($B22,'Stock Guide'!$B:$W,8,0)/1000,"")</f>
        <v>408.06676753999994</v>
      </c>
      <c r="N22" s="168">
        <f>IFERROR(VLOOKUP($B22,'Stock Guide'!$B:$W,14,0),"")</f>
        <v>0.42614957060185815</v>
      </c>
      <c r="O22" s="116">
        <f t="shared" si="5"/>
        <v>1.1342155009451795E-2</v>
      </c>
      <c r="P22" s="116">
        <f>IFERROR(VLOOKUP($B22,'Stock Guide'!$B:$W,16,0),"")</f>
        <v>0.19443694302</v>
      </c>
      <c r="Q22" s="116">
        <f t="shared" si="6"/>
        <v>0.13610586011342155</v>
      </c>
      <c r="R22" s="169">
        <f>IFERROR(VLOOKUP($B22,'Stock Guide'!$B:$W,19,0),"")</f>
        <v>0.42</v>
      </c>
      <c r="S22" s="116">
        <f>IFERROR(VLOOKUP($B22,'Stock Guide'!$B:$W,20,0),"")</f>
        <v>-8.6581154413999994E-2</v>
      </c>
      <c r="T22" s="116">
        <f>IFERROR(VLOOKUP($B22,'Stock Guide'!$B:$W,21,0),"")</f>
        <v>-0.14218842612999999</v>
      </c>
      <c r="U22" s="116">
        <f>IFERROR(VLOOKUP($B22,'Stock Guide'!$B:$W,22,0),"")</f>
        <v>-2.0717713223000001E-3</v>
      </c>
    </row>
    <row r="23" spans="2:21" s="26" customFormat="1" ht="18.75" customHeight="1" x14ac:dyDescent="0.25">
      <c r="B23" s="178" t="s">
        <v>250</v>
      </c>
      <c r="C23" s="177">
        <f t="shared" si="1"/>
        <v>0.02</v>
      </c>
      <c r="D23" s="195">
        <v>20000</v>
      </c>
      <c r="E23" s="165">
        <f t="shared" si="0"/>
        <v>239</v>
      </c>
      <c r="F23" s="194"/>
      <c r="G23" s="193">
        <f t="shared" si="2"/>
        <v>20000</v>
      </c>
      <c r="H23" s="177">
        <f t="shared" si="3"/>
        <v>1.3201320132013201E-2</v>
      </c>
      <c r="I23" s="165">
        <f t="shared" si="4"/>
        <v>239</v>
      </c>
      <c r="J23" s="189" t="str">
        <f>IFERROR(VLOOKUP($B23,'Stock Guide'!$B:$W,3,0),"")</f>
        <v>HSI Malls FII</v>
      </c>
      <c r="K23" s="189" t="str">
        <f>IFERROR(VLOOKUP($B23,'Stock Guide'!$B:$W,6,0),"")</f>
        <v>Shopping Center</v>
      </c>
      <c r="L23" s="167">
        <f>IFERROR(VLOOKUP($B23,'Stock Guide'!$B:$W,9,0),"")</f>
        <v>83.52</v>
      </c>
      <c r="M23" s="115">
        <f>IFERROR(VLOOKUP($B23,'Stock Guide'!$B:$W,8,0)/1000,"")</f>
        <v>4261.6109919</v>
      </c>
      <c r="N23" s="168">
        <f>IFERROR(VLOOKUP($B23,'Stock Guide'!$B:$W,14,0),"")</f>
        <v>0.83794418617935607</v>
      </c>
      <c r="O23" s="116">
        <f t="shared" si="5"/>
        <v>8.9798850574712655E-3</v>
      </c>
      <c r="P23" s="116">
        <f>IFERROR(VLOOKUP($B23,'Stock Guide'!$B:$W,16,0),"")</f>
        <v>0.10189176245000001</v>
      </c>
      <c r="Q23" s="116">
        <f t="shared" si="6"/>
        <v>0.10775862068965519</v>
      </c>
      <c r="R23" s="169">
        <f>IFERROR(VLOOKUP($B23,'Stock Guide'!$B:$W,19,0),"")</f>
        <v>0.75</v>
      </c>
      <c r="S23" s="116">
        <f>IFERROR(VLOOKUP($B23,'Stock Guide'!$B:$W,20,0),"")</f>
        <v>-3.4785623483000003E-2</v>
      </c>
      <c r="T23" s="116">
        <f>IFERROR(VLOOKUP($B23,'Stock Guide'!$B:$W,21,0),"")</f>
        <v>-3.8807953702999998E-2</v>
      </c>
      <c r="U23" s="116">
        <f>IFERROR(VLOOKUP($B23,'Stock Guide'!$B:$W,22,0),"")</f>
        <v>0.14833052346</v>
      </c>
    </row>
    <row r="24" spans="2:21" s="26" customFormat="1" ht="18.75" customHeight="1" x14ac:dyDescent="0.25">
      <c r="B24" s="178" t="s">
        <v>720</v>
      </c>
      <c r="C24" s="177">
        <f t="shared" si="1"/>
        <v>0.02</v>
      </c>
      <c r="D24" s="195">
        <v>20000</v>
      </c>
      <c r="E24" s="165">
        <f t="shared" si="0"/>
        <v>196</v>
      </c>
      <c r="F24" s="195"/>
      <c r="G24" s="193">
        <f t="shared" si="2"/>
        <v>20000</v>
      </c>
      <c r="H24" s="177">
        <f t="shared" si="3"/>
        <v>1.3201320132013201E-2</v>
      </c>
      <c r="I24" s="165">
        <f t="shared" si="4"/>
        <v>196</v>
      </c>
      <c r="J24" s="189" t="str">
        <f>IFERROR(VLOOKUP($B24,'Stock Guide'!$B:$W,3,0),"")</f>
        <v>Vinci Shopping Centers FII</v>
      </c>
      <c r="K24" s="189" t="str">
        <f>IFERROR(VLOOKUP($B24,'Stock Guide'!$B:$W,6,0),"")</f>
        <v>Shopping Center</v>
      </c>
      <c r="L24" s="167">
        <f>IFERROR(VLOOKUP($B24,'Stock Guide'!$B:$W,9,0),"")</f>
        <v>101.7</v>
      </c>
      <c r="M24" s="115">
        <f>IFERROR(VLOOKUP($B24,'Stock Guide'!$B:$W,8,0)/1000,"")</f>
        <v>6047.3139791000003</v>
      </c>
      <c r="N24" s="168">
        <f>IFERROR(VLOOKUP($B24,'Stock Guide'!$B:$W,14,0),"")</f>
        <v>0.88098643706618218</v>
      </c>
      <c r="O24" s="116">
        <f t="shared" si="5"/>
        <v>8.2595870206489674E-3</v>
      </c>
      <c r="P24" s="116">
        <f>IFERROR(VLOOKUP($B24,'Stock Guide'!$B:$W,16,0),"")</f>
        <v>9.7640117994000006E-2</v>
      </c>
      <c r="Q24" s="116">
        <f t="shared" si="6"/>
        <v>9.9115044247787609E-2</v>
      </c>
      <c r="R24" s="169">
        <f>IFERROR(VLOOKUP($B24,'Stock Guide'!$B:$W,19,0),"")</f>
        <v>0.84</v>
      </c>
      <c r="S24" s="116">
        <f>IFERROR(VLOOKUP($B24,'Stock Guide'!$B:$W,20,0),"")</f>
        <v>-2.2585295530999999E-2</v>
      </c>
      <c r="T24" s="116">
        <f>IFERROR(VLOOKUP($B24,'Stock Guide'!$B:$W,21,0),"")</f>
        <v>-7.7786218062000003E-3</v>
      </c>
      <c r="U24" s="116">
        <f>IFERROR(VLOOKUP($B24,'Stock Guide'!$B:$W,22,0),"")</f>
        <v>8.3744613048000002E-2</v>
      </c>
    </row>
    <row r="25" spans="2:21" s="26" customFormat="1" ht="18.75" customHeight="1" x14ac:dyDescent="0.25">
      <c r="B25" s="178" t="s">
        <v>164</v>
      </c>
      <c r="C25" s="177">
        <f t="shared" si="1"/>
        <v>7.0000000000000007E-2</v>
      </c>
      <c r="D25" s="194">
        <v>70000</v>
      </c>
      <c r="E25" s="165">
        <f t="shared" si="0"/>
        <v>974</v>
      </c>
      <c r="F25" s="194">
        <v>100000</v>
      </c>
      <c r="G25" s="193">
        <f t="shared" si="2"/>
        <v>170000</v>
      </c>
      <c r="H25" s="177">
        <f t="shared" si="3"/>
        <v>0.11221122112211221</v>
      </c>
      <c r="I25" s="165">
        <f t="shared" si="4"/>
        <v>2367</v>
      </c>
      <c r="J25" s="189" t="str">
        <f>IFERROR(VLOOKUP($B25,'Stock Guide'!$B:$W,3,0),"")</f>
        <v>TRX Real Estate FII</v>
      </c>
      <c r="K25" s="189" t="str">
        <f>IFERROR(VLOOKUP($B25,'Stock Guide'!$B:$W,6,0),"")</f>
        <v>Renda Urbana</v>
      </c>
      <c r="L25" s="167">
        <f>IFERROR(VLOOKUP($B25,'Stock Guide'!$B:$W,9,0),"")</f>
        <v>71.8</v>
      </c>
      <c r="M25" s="115">
        <f>IFERROR(VLOOKUP($B25,'Stock Guide'!$B:$W,8,0)/1000,"")</f>
        <v>23831.970943</v>
      </c>
      <c r="N25" s="168">
        <f>IFERROR(VLOOKUP($B25,'Stock Guide'!$B:$W,14,0),"")</f>
        <v>0.73970400570666728</v>
      </c>
      <c r="O25" s="116">
        <f t="shared" si="5"/>
        <v>1.2952646239554319E-2</v>
      </c>
      <c r="P25" s="116">
        <f>IFERROR(VLOOKUP($B25,'Stock Guide'!$B:$W,16,0),"")</f>
        <v>0.16434540389999999</v>
      </c>
      <c r="Q25" s="116">
        <f t="shared" si="6"/>
        <v>0.15543175487465183</v>
      </c>
      <c r="R25" s="169">
        <f>IFERROR(VLOOKUP($B25,'Stock Guide'!$B:$W,19,0),"")</f>
        <v>0.93</v>
      </c>
      <c r="S25" s="116">
        <f>IFERROR(VLOOKUP($B25,'Stock Guide'!$B:$W,20,0),"")</f>
        <v>-0.20372629478000001</v>
      </c>
      <c r="T25" s="116">
        <f>IFERROR(VLOOKUP($B25,'Stock Guide'!$B:$W,21,0),"")</f>
        <v>-0.20018374333</v>
      </c>
      <c r="U25" s="116">
        <f>IFERROR(VLOOKUP($B25,'Stock Guide'!$B:$W,22,0),"")</f>
        <v>-0.1619183609</v>
      </c>
    </row>
    <row r="26" spans="2:21" s="26" customFormat="1" ht="18.75" customHeight="1" x14ac:dyDescent="0.25">
      <c r="B26" s="178"/>
      <c r="C26" s="177" t="str">
        <f t="shared" si="1"/>
        <v/>
      </c>
      <c r="D26" s="195"/>
      <c r="E26" s="165" t="str">
        <f t="shared" si="0"/>
        <v/>
      </c>
      <c r="F26" s="194"/>
      <c r="G26" s="193">
        <f t="shared" si="2"/>
        <v>0</v>
      </c>
      <c r="H26" s="177" t="str">
        <f t="shared" si="3"/>
        <v/>
      </c>
      <c r="I26" s="165" t="str">
        <f t="shared" si="4"/>
        <v/>
      </c>
      <c r="J26" s="189" t="str">
        <f>IFERROR(VLOOKUP($B26,'Stock Guide'!$B:$W,3,0),"")</f>
        <v/>
      </c>
      <c r="K26" s="189" t="str">
        <f>IFERROR(VLOOKUP($B26,'Stock Guide'!$B:$W,6,0),"")</f>
        <v/>
      </c>
      <c r="L26" s="167" t="str">
        <f>IFERROR(VLOOKUP($B26,'Stock Guide'!$B:$W,9,0),"")</f>
        <v/>
      </c>
      <c r="M26" s="115" t="str">
        <f>IFERROR(VLOOKUP($B26,'Stock Guide'!$B:$W,8,0)/1000,"")</f>
        <v/>
      </c>
      <c r="N26" s="168" t="str">
        <f>IFERROR(VLOOKUP($B26,'Stock Guide'!$B:$W,14,0),"")</f>
        <v/>
      </c>
      <c r="O26" s="116" t="str">
        <f t="shared" si="5"/>
        <v/>
      </c>
      <c r="P26" s="116" t="str">
        <f>IFERROR(VLOOKUP($B26,'Stock Guide'!$B:$W,16,0),"")</f>
        <v/>
      </c>
      <c r="Q26" s="116" t="str">
        <f t="shared" si="6"/>
        <v/>
      </c>
      <c r="R26" s="169" t="str">
        <f>IFERROR(VLOOKUP($B26,'Stock Guide'!$B:$W,19,0),"")</f>
        <v/>
      </c>
      <c r="S26" s="116" t="str">
        <f>IFERROR(VLOOKUP($B26,'Stock Guide'!$B:$W,20,0),"")</f>
        <v/>
      </c>
      <c r="T26" s="116" t="str">
        <f>IFERROR(VLOOKUP($B26,'Stock Guide'!$B:$W,21,0),"")</f>
        <v/>
      </c>
      <c r="U26" s="116" t="str">
        <f>IFERROR(VLOOKUP($B26,'Stock Guide'!$B:$W,22,0),"")</f>
        <v/>
      </c>
    </row>
    <row r="27" spans="2:21" s="26" customFormat="1" ht="18.75" customHeight="1" x14ac:dyDescent="0.25">
      <c r="B27" s="178"/>
      <c r="C27" s="177" t="str">
        <f t="shared" si="1"/>
        <v/>
      </c>
      <c r="D27" s="195"/>
      <c r="E27" s="165" t="str">
        <f t="shared" si="0"/>
        <v/>
      </c>
      <c r="F27" s="195"/>
      <c r="G27" s="193">
        <f t="shared" si="2"/>
        <v>0</v>
      </c>
      <c r="H27" s="177" t="str">
        <f t="shared" si="3"/>
        <v/>
      </c>
      <c r="I27" s="165" t="str">
        <f t="shared" si="4"/>
        <v/>
      </c>
      <c r="J27" s="189" t="str">
        <f>IFERROR(VLOOKUP($B27,'Stock Guide'!$B:$W,3,0),"")</f>
        <v/>
      </c>
      <c r="K27" s="189" t="str">
        <f>IFERROR(VLOOKUP($B27,'Stock Guide'!$B:$W,6,0),"")</f>
        <v/>
      </c>
      <c r="L27" s="167" t="str">
        <f>IFERROR(VLOOKUP($B27,'Stock Guide'!$B:$W,9,0),"")</f>
        <v/>
      </c>
      <c r="M27" s="115" t="str">
        <f>IFERROR(VLOOKUP($B27,'Stock Guide'!$B:$W,8,0)/1000,"")</f>
        <v/>
      </c>
      <c r="N27" s="168" t="str">
        <f>IFERROR(VLOOKUP($B27,'Stock Guide'!$B:$W,14,0),"")</f>
        <v/>
      </c>
      <c r="O27" s="116" t="str">
        <f t="shared" si="5"/>
        <v/>
      </c>
      <c r="P27" s="116" t="str">
        <f>IFERROR(VLOOKUP($B27,'Stock Guide'!$B:$W,16,0),"")</f>
        <v/>
      </c>
      <c r="Q27" s="116" t="str">
        <f t="shared" si="6"/>
        <v/>
      </c>
      <c r="R27" s="169" t="str">
        <f>IFERROR(VLOOKUP($B27,'Stock Guide'!$B:$W,19,0),"")</f>
        <v/>
      </c>
      <c r="S27" s="116" t="str">
        <f>IFERROR(VLOOKUP($B27,'Stock Guide'!$B:$W,20,0),"")</f>
        <v/>
      </c>
      <c r="T27" s="116" t="str">
        <f>IFERROR(VLOOKUP($B27,'Stock Guide'!$B:$W,21,0),"")</f>
        <v/>
      </c>
      <c r="U27" s="116" t="str">
        <f>IFERROR(VLOOKUP($B27,'Stock Guide'!$B:$W,22,0),"")</f>
        <v/>
      </c>
    </row>
    <row r="28" spans="2:21" s="26" customFormat="1" ht="18.75" customHeight="1" x14ac:dyDescent="0.25">
      <c r="B28" s="178"/>
      <c r="C28" s="177" t="str">
        <f t="shared" si="1"/>
        <v/>
      </c>
      <c r="D28" s="195"/>
      <c r="E28" s="165" t="str">
        <f t="shared" si="0"/>
        <v/>
      </c>
      <c r="F28" s="195"/>
      <c r="G28" s="193">
        <f t="shared" si="2"/>
        <v>0</v>
      </c>
      <c r="H28" s="177" t="str">
        <f t="shared" si="3"/>
        <v/>
      </c>
      <c r="I28" s="165" t="str">
        <f t="shared" si="4"/>
        <v/>
      </c>
      <c r="J28" s="189" t="str">
        <f>IFERROR(VLOOKUP($B28,'Stock Guide'!$B:$W,3,0),"")</f>
        <v/>
      </c>
      <c r="K28" s="189" t="str">
        <f>IFERROR(VLOOKUP($B28,'Stock Guide'!$B:$W,6,0),"")</f>
        <v/>
      </c>
      <c r="L28" s="167" t="str">
        <f>IFERROR(VLOOKUP($B28,'Stock Guide'!$B:$W,9,0),"")</f>
        <v/>
      </c>
      <c r="M28" s="115" t="str">
        <f>IFERROR(VLOOKUP($B28,'Stock Guide'!$B:$W,8,0)/1000,"")</f>
        <v/>
      </c>
      <c r="N28" s="168" t="str">
        <f>IFERROR(VLOOKUP($B28,'Stock Guide'!$B:$W,14,0),"")</f>
        <v/>
      </c>
      <c r="O28" s="116" t="str">
        <f t="shared" si="5"/>
        <v/>
      </c>
      <c r="P28" s="116" t="str">
        <f>IFERROR(VLOOKUP($B28,'Stock Guide'!$B:$W,16,0),"")</f>
        <v/>
      </c>
      <c r="Q28" s="116" t="str">
        <f t="shared" si="6"/>
        <v/>
      </c>
      <c r="R28" s="169" t="str">
        <f>IFERROR(VLOOKUP($B28,'Stock Guide'!$B:$W,19,0),"")</f>
        <v/>
      </c>
      <c r="S28" s="116" t="str">
        <f>IFERROR(VLOOKUP($B28,'Stock Guide'!$B:$W,20,0),"")</f>
        <v/>
      </c>
      <c r="T28" s="116" t="str">
        <f>IFERROR(VLOOKUP($B28,'Stock Guide'!$B:$W,21,0),"")</f>
        <v/>
      </c>
      <c r="U28" s="116" t="str">
        <f>IFERROR(VLOOKUP($B28,'Stock Guide'!$B:$W,22,0),"")</f>
        <v/>
      </c>
    </row>
    <row r="29" spans="2:21" s="26" customFormat="1" ht="18.75" customHeight="1" x14ac:dyDescent="0.25">
      <c r="B29" s="178"/>
      <c r="C29" s="177" t="str">
        <f t="shared" si="1"/>
        <v/>
      </c>
      <c r="D29" s="195"/>
      <c r="E29" s="165" t="str">
        <f t="shared" si="0"/>
        <v/>
      </c>
      <c r="F29" s="195"/>
      <c r="G29" s="193">
        <f t="shared" si="2"/>
        <v>0</v>
      </c>
      <c r="H29" s="177" t="str">
        <f t="shared" si="3"/>
        <v/>
      </c>
      <c r="I29" s="165" t="str">
        <f t="shared" si="4"/>
        <v/>
      </c>
      <c r="J29" s="189" t="str">
        <f>IFERROR(VLOOKUP($B29,'Stock Guide'!$B:$W,3,0),"")</f>
        <v/>
      </c>
      <c r="K29" s="189" t="str">
        <f>IFERROR(VLOOKUP($B29,'Stock Guide'!$B:$W,6,0),"")</f>
        <v/>
      </c>
      <c r="L29" s="167" t="str">
        <f>IFERROR(VLOOKUP($B29,'Stock Guide'!$B:$W,9,0),"")</f>
        <v/>
      </c>
      <c r="M29" s="115" t="str">
        <f>IFERROR(VLOOKUP($B29,'Stock Guide'!$B:$W,8,0)/1000,"")</f>
        <v/>
      </c>
      <c r="N29" s="168" t="str">
        <f>IFERROR(VLOOKUP($B29,'Stock Guide'!$B:$W,14,0),"")</f>
        <v/>
      </c>
      <c r="O29" s="116" t="str">
        <f t="shared" si="5"/>
        <v/>
      </c>
      <c r="P29" s="116" t="str">
        <f>IFERROR(VLOOKUP($B29,'Stock Guide'!$B:$W,16,0),"")</f>
        <v/>
      </c>
      <c r="Q29" s="116" t="str">
        <f t="shared" si="6"/>
        <v/>
      </c>
      <c r="R29" s="169" t="str">
        <f>IFERROR(VLOOKUP($B29,'Stock Guide'!$B:$W,19,0),"")</f>
        <v/>
      </c>
      <c r="S29" s="116" t="str">
        <f>IFERROR(VLOOKUP($B29,'Stock Guide'!$B:$W,20,0),"")</f>
        <v/>
      </c>
      <c r="T29" s="116" t="str">
        <f>IFERROR(VLOOKUP($B29,'Stock Guide'!$B:$W,21,0),"")</f>
        <v/>
      </c>
      <c r="U29" s="116" t="str">
        <f>IFERROR(VLOOKUP($B29,'Stock Guide'!$B:$W,22,0),"")</f>
        <v/>
      </c>
    </row>
    <row r="30" spans="2:21" s="26" customFormat="1" ht="18.75" customHeight="1" x14ac:dyDescent="0.25">
      <c r="B30" s="178"/>
      <c r="C30" s="177" t="str">
        <f t="shared" si="1"/>
        <v/>
      </c>
      <c r="D30" s="195"/>
      <c r="E30" s="165" t="str">
        <f t="shared" si="0"/>
        <v/>
      </c>
      <c r="F30" s="195"/>
      <c r="G30" s="193">
        <f t="shared" si="2"/>
        <v>0</v>
      </c>
      <c r="H30" s="177" t="str">
        <f t="shared" si="3"/>
        <v/>
      </c>
      <c r="I30" s="165" t="str">
        <f t="shared" si="4"/>
        <v/>
      </c>
      <c r="J30" s="189" t="str">
        <f>IFERROR(VLOOKUP($B30,'Stock Guide'!$B:$W,3,0),"")</f>
        <v/>
      </c>
      <c r="K30" s="189" t="str">
        <f>IFERROR(VLOOKUP($B30,'Stock Guide'!$B:$W,6,0),"")</f>
        <v/>
      </c>
      <c r="L30" s="167" t="str">
        <f>IFERROR(VLOOKUP($B30,'Stock Guide'!$B:$W,9,0),"")</f>
        <v/>
      </c>
      <c r="M30" s="115" t="str">
        <f>IFERROR(VLOOKUP($B30,'Stock Guide'!$B:$W,8,0)/1000,"")</f>
        <v/>
      </c>
      <c r="N30" s="168" t="str">
        <f>IFERROR(VLOOKUP($B30,'Stock Guide'!$B:$W,14,0),"")</f>
        <v/>
      </c>
      <c r="O30" s="116" t="str">
        <f t="shared" si="5"/>
        <v/>
      </c>
      <c r="P30" s="116" t="str">
        <f>IFERROR(VLOOKUP($B30,'Stock Guide'!$B:$W,16,0),"")</f>
        <v/>
      </c>
      <c r="Q30" s="116" t="str">
        <f t="shared" si="6"/>
        <v/>
      </c>
      <c r="R30" s="169" t="str">
        <f>IFERROR(VLOOKUP($B30,'Stock Guide'!$B:$W,19,0),"")</f>
        <v/>
      </c>
      <c r="S30" s="116" t="str">
        <f>IFERROR(VLOOKUP($B30,'Stock Guide'!$B:$W,20,0),"")</f>
        <v/>
      </c>
      <c r="T30" s="116" t="str">
        <f>IFERROR(VLOOKUP($B30,'Stock Guide'!$B:$W,21,0),"")</f>
        <v/>
      </c>
      <c r="U30" s="116" t="str">
        <f>IFERROR(VLOOKUP($B30,'Stock Guide'!$B:$W,22,0),"")</f>
        <v/>
      </c>
    </row>
    <row r="31" spans="2:21" s="26" customFormat="1" ht="18.75" customHeight="1" x14ac:dyDescent="0.25">
      <c r="B31" s="178"/>
      <c r="C31" s="177" t="str">
        <f t="shared" si="1"/>
        <v/>
      </c>
      <c r="D31" s="195"/>
      <c r="E31" s="165" t="str">
        <f t="shared" si="0"/>
        <v/>
      </c>
      <c r="F31" s="195"/>
      <c r="G31" s="193">
        <f t="shared" si="2"/>
        <v>0</v>
      </c>
      <c r="H31" s="177" t="str">
        <f t="shared" si="3"/>
        <v/>
      </c>
      <c r="I31" s="165" t="str">
        <f t="shared" si="4"/>
        <v/>
      </c>
      <c r="J31" s="189" t="str">
        <f>IFERROR(VLOOKUP($B31,'Stock Guide'!$B:$W,3,0),"")</f>
        <v/>
      </c>
      <c r="K31" s="189" t="str">
        <f>IFERROR(VLOOKUP($B31,'Stock Guide'!$B:$W,6,0),"")</f>
        <v/>
      </c>
      <c r="L31" s="167" t="str">
        <f>IFERROR(VLOOKUP($B31,'Stock Guide'!$B:$W,9,0),"")</f>
        <v/>
      </c>
      <c r="M31" s="115" t="str">
        <f>IFERROR(VLOOKUP($B31,'Stock Guide'!$B:$W,8,0)/1000,"")</f>
        <v/>
      </c>
      <c r="N31" s="168" t="str">
        <f>IFERROR(VLOOKUP($B31,'Stock Guide'!$B:$W,14,0),"")</f>
        <v/>
      </c>
      <c r="O31" s="116" t="str">
        <f t="shared" si="5"/>
        <v/>
      </c>
      <c r="P31" s="116" t="str">
        <f>IFERROR(VLOOKUP($B31,'Stock Guide'!$B:$W,16,0),"")</f>
        <v/>
      </c>
      <c r="Q31" s="116" t="str">
        <f t="shared" si="6"/>
        <v/>
      </c>
      <c r="R31" s="169" t="str">
        <f>IFERROR(VLOOKUP($B31,'Stock Guide'!$B:$W,19,0),"")</f>
        <v/>
      </c>
      <c r="S31" s="116" t="str">
        <f>IFERROR(VLOOKUP($B31,'Stock Guide'!$B:$W,20,0),"")</f>
        <v/>
      </c>
      <c r="T31" s="116" t="str">
        <f>IFERROR(VLOOKUP($B31,'Stock Guide'!$B:$W,21,0),"")</f>
        <v/>
      </c>
      <c r="U31" s="116" t="str">
        <f>IFERROR(VLOOKUP($B31,'Stock Guide'!$B:$W,22,0),"")</f>
        <v/>
      </c>
    </row>
    <row r="32" spans="2:21" s="26" customFormat="1" ht="18.75" customHeight="1" x14ac:dyDescent="0.25">
      <c r="B32" s="178"/>
      <c r="C32" s="177" t="str">
        <f t="shared" si="1"/>
        <v/>
      </c>
      <c r="D32" s="195"/>
      <c r="E32" s="165" t="str">
        <f t="shared" si="0"/>
        <v/>
      </c>
      <c r="F32" s="195"/>
      <c r="G32" s="193">
        <f t="shared" si="2"/>
        <v>0</v>
      </c>
      <c r="H32" s="177" t="str">
        <f t="shared" si="3"/>
        <v/>
      </c>
      <c r="I32" s="165" t="str">
        <f t="shared" si="4"/>
        <v/>
      </c>
      <c r="J32" s="189" t="str">
        <f>IFERROR(VLOOKUP($B32,'Stock Guide'!$B:$W,3,0),"")</f>
        <v/>
      </c>
      <c r="K32" s="189" t="str">
        <f>IFERROR(VLOOKUP($B32,'Stock Guide'!$B:$W,6,0),"")</f>
        <v/>
      </c>
      <c r="L32" s="167" t="str">
        <f>IFERROR(VLOOKUP($B32,'Stock Guide'!$B:$W,9,0),"")</f>
        <v/>
      </c>
      <c r="M32" s="115" t="str">
        <f>IFERROR(VLOOKUP($B32,'Stock Guide'!$B:$W,8,0)/1000,"")</f>
        <v/>
      </c>
      <c r="N32" s="168" t="str">
        <f>IFERROR(VLOOKUP($B32,'Stock Guide'!$B:$W,14,0),"")</f>
        <v/>
      </c>
      <c r="O32" s="116" t="str">
        <f t="shared" si="5"/>
        <v/>
      </c>
      <c r="P32" s="116" t="str">
        <f>IFERROR(VLOOKUP($B32,'Stock Guide'!$B:$W,16,0),"")</f>
        <v/>
      </c>
      <c r="Q32" s="116" t="str">
        <f t="shared" si="6"/>
        <v/>
      </c>
      <c r="R32" s="169" t="str">
        <f>IFERROR(VLOOKUP($B32,'Stock Guide'!$B:$W,19,0),"")</f>
        <v/>
      </c>
      <c r="S32" s="116" t="str">
        <f>IFERROR(VLOOKUP($B32,'Stock Guide'!$B:$W,20,0),"")</f>
        <v/>
      </c>
      <c r="T32" s="116" t="str">
        <f>IFERROR(VLOOKUP($B32,'Stock Guide'!$B:$W,21,0),"")</f>
        <v/>
      </c>
      <c r="U32" s="116" t="str">
        <f>IFERROR(VLOOKUP($B32,'Stock Guide'!$B:$W,22,0),"")</f>
        <v/>
      </c>
    </row>
    <row r="33" spans="2:26" s="26" customFormat="1" ht="18.75" customHeight="1" x14ac:dyDescent="0.25">
      <c r="B33" s="178"/>
      <c r="C33" s="177" t="str">
        <f t="shared" si="1"/>
        <v/>
      </c>
      <c r="D33" s="195"/>
      <c r="E33" s="165" t="str">
        <f t="shared" si="0"/>
        <v/>
      </c>
      <c r="F33" s="195"/>
      <c r="G33" s="193">
        <f t="shared" si="2"/>
        <v>0</v>
      </c>
      <c r="H33" s="177" t="str">
        <f t="shared" si="3"/>
        <v/>
      </c>
      <c r="I33" s="165" t="str">
        <f t="shared" si="4"/>
        <v/>
      </c>
      <c r="J33" s="189" t="str">
        <f>IFERROR(VLOOKUP($B33,'Stock Guide'!$B:$W,3,0),"")</f>
        <v/>
      </c>
      <c r="K33" s="189" t="str">
        <f>IFERROR(VLOOKUP($B33,'Stock Guide'!$B:$W,6,0),"")</f>
        <v/>
      </c>
      <c r="L33" s="167" t="str">
        <f>IFERROR(VLOOKUP($B33,'Stock Guide'!$B:$W,9,0),"")</f>
        <v/>
      </c>
      <c r="M33" s="115" t="str">
        <f>IFERROR(VLOOKUP($B33,'Stock Guide'!$B:$W,8,0)/1000,"")</f>
        <v/>
      </c>
      <c r="N33" s="168" t="str">
        <f>IFERROR(VLOOKUP($B33,'Stock Guide'!$B:$W,14,0),"")</f>
        <v/>
      </c>
      <c r="O33" s="116" t="str">
        <f t="shared" si="5"/>
        <v/>
      </c>
      <c r="P33" s="116" t="str">
        <f>IFERROR(VLOOKUP($B33,'Stock Guide'!$B:$W,16,0),"")</f>
        <v/>
      </c>
      <c r="Q33" s="116" t="str">
        <f t="shared" si="6"/>
        <v/>
      </c>
      <c r="R33" s="169" t="str">
        <f>IFERROR(VLOOKUP($B33,'Stock Guide'!$B:$W,19,0),"")</f>
        <v/>
      </c>
      <c r="S33" s="116" t="str">
        <f>IFERROR(VLOOKUP($B33,'Stock Guide'!$B:$W,20,0),"")</f>
        <v/>
      </c>
      <c r="T33" s="116" t="str">
        <f>IFERROR(VLOOKUP($B33,'Stock Guide'!$B:$W,21,0),"")</f>
        <v/>
      </c>
      <c r="U33" s="116" t="str">
        <f>IFERROR(VLOOKUP($B33,'Stock Guide'!$B:$W,22,0),"")</f>
        <v/>
      </c>
    </row>
    <row r="34" spans="2:26" s="26" customFormat="1" ht="18.75" customHeight="1" x14ac:dyDescent="0.25">
      <c r="B34" s="178"/>
      <c r="C34" s="177" t="str">
        <f t="shared" si="1"/>
        <v/>
      </c>
      <c r="D34" s="195"/>
      <c r="E34" s="165" t="str">
        <f t="shared" si="0"/>
        <v/>
      </c>
      <c r="F34" s="195"/>
      <c r="G34" s="193">
        <f t="shared" si="2"/>
        <v>0</v>
      </c>
      <c r="H34" s="177" t="str">
        <f t="shared" si="3"/>
        <v/>
      </c>
      <c r="I34" s="165" t="str">
        <f t="shared" si="4"/>
        <v/>
      </c>
      <c r="J34" s="189" t="str">
        <f>IFERROR(VLOOKUP($B34,'Stock Guide'!$B:$W,3,0),"")</f>
        <v/>
      </c>
      <c r="K34" s="189" t="str">
        <f>IFERROR(VLOOKUP($B34,'Stock Guide'!$B:$W,6,0),"")</f>
        <v/>
      </c>
      <c r="L34" s="167" t="str">
        <f>IFERROR(VLOOKUP($B34,'Stock Guide'!$B:$W,9,0),"")</f>
        <v/>
      </c>
      <c r="M34" s="115" t="str">
        <f>IFERROR(VLOOKUP($B34,'Stock Guide'!$B:$W,8,0)/1000,"")</f>
        <v/>
      </c>
      <c r="N34" s="168" t="str">
        <f>IFERROR(VLOOKUP($B34,'Stock Guide'!$B:$W,14,0),"")</f>
        <v/>
      </c>
      <c r="O34" s="116" t="str">
        <f t="shared" si="5"/>
        <v/>
      </c>
      <c r="P34" s="116" t="str">
        <f>IFERROR(VLOOKUP($B34,'Stock Guide'!$B:$W,16,0),"")</f>
        <v/>
      </c>
      <c r="Q34" s="116" t="str">
        <f t="shared" si="6"/>
        <v/>
      </c>
      <c r="R34" s="169" t="str">
        <f>IFERROR(VLOOKUP($B34,'Stock Guide'!$B:$W,19,0),"")</f>
        <v/>
      </c>
      <c r="S34" s="116" t="str">
        <f>IFERROR(VLOOKUP($B34,'Stock Guide'!$B:$W,20,0),"")</f>
        <v/>
      </c>
      <c r="T34" s="116" t="str">
        <f>IFERROR(VLOOKUP($B34,'Stock Guide'!$B:$W,21,0),"")</f>
        <v/>
      </c>
      <c r="U34" s="116" t="str">
        <f>IFERROR(VLOOKUP($B34,'Stock Guide'!$B:$W,22,0),"")</f>
        <v/>
      </c>
    </row>
    <row r="35" spans="2:26" s="33" customFormat="1" ht="20.25" customHeight="1" x14ac:dyDescent="0.25">
      <c r="B35" s="219" t="s">
        <v>183</v>
      </c>
      <c r="C35" s="197">
        <f>SUM(C10:C34)</f>
        <v>1.0000000000000002</v>
      </c>
      <c r="D35" s="198">
        <f>SUM(D10:D34)</f>
        <v>1000000</v>
      </c>
      <c r="E35" s="199" t="s">
        <v>44</v>
      </c>
      <c r="F35" s="199" t="s">
        <v>44</v>
      </c>
      <c r="G35" s="199" t="s">
        <v>44</v>
      </c>
      <c r="H35" s="199" t="s">
        <v>44</v>
      </c>
      <c r="I35" s="199" t="s">
        <v>44</v>
      </c>
      <c r="J35" s="199" t="s">
        <v>44</v>
      </c>
      <c r="K35" s="199" t="s">
        <v>44</v>
      </c>
      <c r="L35" s="199" t="s">
        <v>44</v>
      </c>
      <c r="M35" s="200">
        <f>SUMPRODUCT($M$10:$M$34,$C$10:$C$34)</f>
        <v>9436.8488872209982</v>
      </c>
      <c r="N35" s="201">
        <f>SUMPRODUCT(N$10:N$34,$C$10:$C$34)</f>
        <v>0.86543222831543354</v>
      </c>
      <c r="O35" s="202">
        <f>SUMPRODUCT(O$10:O$34,$C$10:$C$34)</f>
        <v>1.0400808493363754E-2</v>
      </c>
      <c r="P35" s="202">
        <f>SUMPRODUCT(P$10:P$34,$C$10:$C$34)</f>
        <v>0.12485617780427001</v>
      </c>
      <c r="Q35" s="202">
        <f>SUMPRODUCT(Q$10:Q$34,$C$10:$C$34)</f>
        <v>0.12480970192036504</v>
      </c>
      <c r="R35" s="199">
        <f>SUMPRODUCT($R$10:$R$34,$E$10:$E$34)</f>
        <v>10394.157999999999</v>
      </c>
      <c r="S35" s="202">
        <f>SUMPRODUCT(S$10:S$34,$C$10:$C$34)</f>
        <v>-3.3717951738978305E-2</v>
      </c>
      <c r="T35" s="202">
        <f>SUMPRODUCT(T$10:T$34,$C$10:$C$34)</f>
        <v>-1.0252859543789997E-2</v>
      </c>
      <c r="U35" s="202">
        <f>SUMPRODUCT(U$10:U$34,$C$10:$C$34)</f>
        <v>9.4273721440047503E-2</v>
      </c>
      <c r="Z35"/>
    </row>
    <row r="36" spans="2:26" s="33" customFormat="1" ht="20.25" customHeight="1" x14ac:dyDescent="0.25">
      <c r="B36" s="118" t="s">
        <v>186</v>
      </c>
      <c r="C36" s="213">
        <f>SUM(H10:H34)</f>
        <v>1.0000000000000002</v>
      </c>
      <c r="D36" s="214">
        <f>SUM(D10:D34)</f>
        <v>1000000</v>
      </c>
      <c r="E36" s="215" t="s">
        <v>44</v>
      </c>
      <c r="F36" s="215">
        <f>SUM(F10:F34)</f>
        <v>515000</v>
      </c>
      <c r="G36" s="215">
        <f>SUM(G10:G34)</f>
        <v>1515000</v>
      </c>
      <c r="H36" s="215" t="s">
        <v>44</v>
      </c>
      <c r="I36" s="215" t="s">
        <v>44</v>
      </c>
      <c r="J36" s="215" t="s">
        <v>44</v>
      </c>
      <c r="K36" s="215" t="s">
        <v>44</v>
      </c>
      <c r="L36" s="215" t="s">
        <v>44</v>
      </c>
      <c r="M36" s="216">
        <f>SUMPRODUCT($M$10:$M$34,$H$10:$H$34)</f>
        <v>8959.1929956950498</v>
      </c>
      <c r="N36" s="217">
        <f>SUMPRODUCT(N$10:N$34,$H$10:$H$34)</f>
        <v>0.8440353388223043</v>
      </c>
      <c r="O36" s="218">
        <f>SUMPRODUCT(O$10:O$34,$H$10:$H$34)</f>
        <v>1.0469978544181814E-2</v>
      </c>
      <c r="P36" s="218">
        <f>SUMPRODUCT(P$10:P$34,$H$10:$H$34)</f>
        <v>0.12483468905657424</v>
      </c>
      <c r="Q36" s="218">
        <f>SUMPRODUCT(Q$10:Q$34,$H$10:$H$34)</f>
        <v>0.12563974253018176</v>
      </c>
      <c r="R36" s="215">
        <f>SUMPRODUCT($R$10:$R$34,$I$10:$I$34)</f>
        <v>15855.323</v>
      </c>
      <c r="S36" s="218">
        <f>SUMPRODUCT(S$10:S$34,$H$10:$H$34)</f>
        <v>-3.992626034336752E-2</v>
      </c>
      <c r="T36" s="218">
        <f>SUMPRODUCT(T$10:T$34,$H$10:$H$34)</f>
        <v>-2.0763279234544556E-2</v>
      </c>
      <c r="U36" s="218">
        <f>SUMPRODUCT(U$10:U$34,$H$10:$H$34)</f>
        <v>8.0319266838546205E-2</v>
      </c>
      <c r="Z36"/>
    </row>
    <row r="37" spans="2:26" s="66" customFormat="1" ht="5.25" customHeight="1" x14ac:dyDescent="0.25">
      <c r="B37" s="67"/>
      <c r="C37" s="28"/>
      <c r="D37" s="68"/>
      <c r="E37" s="68"/>
      <c r="F37" s="68"/>
      <c r="G37" s="68"/>
      <c r="H37" s="68"/>
      <c r="I37" s="68"/>
      <c r="J37" s="27"/>
      <c r="K37" s="27"/>
      <c r="L37" s="67"/>
      <c r="M37" s="68"/>
      <c r="N37" s="69"/>
      <c r="O37" s="70"/>
      <c r="P37" s="70"/>
      <c r="Q37" s="70"/>
      <c r="R37" s="70"/>
      <c r="S37" s="70"/>
      <c r="T37" s="70"/>
      <c r="U37" s="70"/>
      <c r="Z37"/>
    </row>
    <row r="38" spans="2:26" s="33" customFormat="1" ht="14.25" customHeight="1" x14ac:dyDescent="0.25">
      <c r="B38" s="157" t="s">
        <v>216</v>
      </c>
      <c r="C38" s="27"/>
      <c r="D38" s="27"/>
      <c r="E38" s="27"/>
      <c r="F38" s="27"/>
      <c r="G38" s="27"/>
      <c r="H38" s="27"/>
      <c r="I38" s="27"/>
      <c r="J38" s="27"/>
      <c r="K38" s="27"/>
      <c r="L38" s="27"/>
      <c r="M38" s="27"/>
      <c r="N38" s="27"/>
      <c r="O38" s="27"/>
      <c r="P38" s="27"/>
      <c r="Q38" s="27"/>
      <c r="R38" s="27"/>
      <c r="S38" s="27"/>
      <c r="T38" s="27"/>
      <c r="U38" s="27"/>
      <c r="Z38"/>
    </row>
    <row r="39" spans="2:26" s="33" customFormat="1" ht="14.25" customHeight="1" x14ac:dyDescent="0.25">
      <c r="B39" s="158" t="s">
        <v>138</v>
      </c>
      <c r="C39" s="27"/>
      <c r="D39" s="27"/>
      <c r="E39" s="27"/>
      <c r="F39" s="27"/>
      <c r="G39" s="27"/>
      <c r="H39" s="27"/>
      <c r="I39" s="27"/>
      <c r="J39" s="27"/>
      <c r="K39" s="27"/>
      <c r="L39" s="27"/>
      <c r="M39" s="27"/>
      <c r="N39" s="27"/>
      <c r="O39" s="27"/>
      <c r="P39" s="27"/>
      <c r="Q39" s="27"/>
      <c r="R39" s="27"/>
      <c r="S39" s="27"/>
      <c r="T39" s="27"/>
      <c r="U39" s="27"/>
      <c r="Z39"/>
    </row>
    <row r="40" spans="2:26" s="33" customFormat="1" ht="14.25" customHeight="1" x14ac:dyDescent="0.25">
      <c r="B40" s="27"/>
      <c r="C40" s="27"/>
      <c r="D40" s="27"/>
      <c r="E40" s="27"/>
      <c r="F40" s="27"/>
      <c r="G40" s="27"/>
      <c r="H40" s="27"/>
      <c r="I40" s="27"/>
      <c r="J40" s="27"/>
      <c r="K40" s="27"/>
      <c r="L40" s="27"/>
      <c r="M40" s="27"/>
      <c r="N40" s="27"/>
      <c r="O40" s="27"/>
      <c r="P40" s="27"/>
      <c r="Q40" s="27"/>
      <c r="R40" s="27"/>
      <c r="S40" s="27"/>
      <c r="T40" s="27"/>
      <c r="U40" s="27"/>
      <c r="Z40"/>
    </row>
    <row r="41" spans="2:26" s="33" customFormat="1" ht="14.25" customHeight="1" x14ac:dyDescent="0.25">
      <c r="B41" s="52" t="s">
        <v>183</v>
      </c>
      <c r="C41" s="60"/>
      <c r="D41" s="61"/>
      <c r="E41" s="61"/>
      <c r="F41" s="61"/>
      <c r="G41" s="61"/>
      <c r="H41" s="27"/>
      <c r="I41" s="52" t="s">
        <v>205</v>
      </c>
      <c r="J41" s="61"/>
      <c r="K41" s="61"/>
      <c r="L41" s="61"/>
      <c r="M41" s="27"/>
      <c r="N41" s="52" t="s">
        <v>206</v>
      </c>
      <c r="O41" s="61"/>
      <c r="P41" s="61"/>
      <c r="Q41" s="61"/>
      <c r="R41" s="61"/>
      <c r="S41" s="61"/>
      <c r="T41" s="61"/>
      <c r="U41" s="61"/>
      <c r="Z41"/>
    </row>
    <row r="42" spans="2:26" s="33" customFormat="1" ht="7.5" customHeight="1" x14ac:dyDescent="0.25">
      <c r="B42" s="27"/>
      <c r="C42" s="27"/>
      <c r="D42" s="27"/>
      <c r="E42" s="27"/>
      <c r="F42" s="27"/>
      <c r="G42" s="27"/>
      <c r="H42" s="27"/>
      <c r="I42" s="27"/>
      <c r="J42" s="27"/>
      <c r="K42" s="27"/>
      <c r="L42" s="27"/>
      <c r="M42" s="27"/>
      <c r="N42" s="27"/>
      <c r="O42" s="27"/>
      <c r="P42" s="27"/>
      <c r="Q42" s="27"/>
      <c r="R42" s="27"/>
      <c r="S42" s="27"/>
      <c r="T42" s="27"/>
      <c r="U42" s="27"/>
      <c r="Z42"/>
    </row>
    <row r="43" spans="2:26" s="33" customFormat="1" ht="14.25" customHeight="1" x14ac:dyDescent="0.25">
      <c r="B43" s="27"/>
      <c r="C43" s="27"/>
      <c r="D43" s="27"/>
      <c r="E43" s="27"/>
      <c r="F43" s="27"/>
      <c r="G43" s="27"/>
      <c r="H43" s="27"/>
      <c r="I43" s="27"/>
      <c r="J43" s="27"/>
      <c r="K43" s="27"/>
      <c r="L43" s="27"/>
      <c r="M43" s="27"/>
      <c r="N43" s="27"/>
      <c r="O43" s="27"/>
      <c r="P43" s="27"/>
      <c r="Q43" s="27"/>
      <c r="R43" s="27"/>
      <c r="S43" s="27"/>
      <c r="T43" s="27"/>
      <c r="U43" s="27"/>
      <c r="Z43"/>
    </row>
    <row r="44" spans="2:26" s="33" customFormat="1" ht="14.25" customHeight="1" x14ac:dyDescent="0.25">
      <c r="B44" s="27"/>
      <c r="C44" s="27"/>
      <c r="D44" s="27"/>
      <c r="E44" s="27"/>
      <c r="F44" s="27"/>
      <c r="G44" s="27"/>
      <c r="H44" s="27"/>
      <c r="I44" s="27"/>
      <c r="J44" s="27"/>
      <c r="K44" s="27"/>
      <c r="L44" s="27"/>
      <c r="M44" s="27"/>
      <c r="N44" s="27"/>
      <c r="O44" s="27"/>
      <c r="P44" s="27"/>
      <c r="Q44" s="27"/>
      <c r="R44" s="27"/>
      <c r="S44" s="27"/>
      <c r="T44" s="27"/>
      <c r="U44" s="27"/>
      <c r="Z44"/>
    </row>
    <row r="45" spans="2:26" s="33" customFormat="1" ht="14.25" customHeight="1" x14ac:dyDescent="0.25">
      <c r="B45" s="27"/>
      <c r="C45" s="27"/>
      <c r="D45" s="27"/>
      <c r="E45" s="27"/>
      <c r="F45" s="27"/>
      <c r="G45" s="27"/>
      <c r="H45" s="27"/>
      <c r="I45" s="27"/>
      <c r="J45" s="27"/>
      <c r="K45" s="27"/>
      <c r="L45" s="27"/>
      <c r="M45" s="27"/>
      <c r="N45" s="27"/>
      <c r="O45" s="27"/>
      <c r="P45" s="27"/>
      <c r="Q45" s="27"/>
      <c r="R45" s="27"/>
      <c r="S45" s="27"/>
      <c r="T45" s="27"/>
      <c r="U45" s="27"/>
      <c r="Z45"/>
    </row>
    <row r="46" spans="2:26" s="33" customFormat="1" ht="14.25" customHeight="1" x14ac:dyDescent="0.25">
      <c r="B46" s="27"/>
      <c r="C46" s="27"/>
      <c r="D46" s="27"/>
      <c r="E46" s="27"/>
      <c r="F46" s="27"/>
      <c r="G46" s="27"/>
      <c r="H46" s="27"/>
      <c r="I46" s="27"/>
      <c r="J46" s="27"/>
      <c r="K46" s="27"/>
      <c r="L46" s="27"/>
      <c r="M46" s="27"/>
      <c r="N46" s="27"/>
      <c r="O46" s="27"/>
      <c r="P46" s="27"/>
      <c r="Q46" s="27"/>
      <c r="R46" s="27"/>
      <c r="S46" s="27"/>
      <c r="T46" s="27"/>
      <c r="U46" s="27"/>
      <c r="Z46"/>
    </row>
    <row r="47" spans="2:26" s="33" customFormat="1" ht="14.25" customHeight="1" x14ac:dyDescent="0.25">
      <c r="B47" s="27"/>
      <c r="C47" s="27"/>
      <c r="D47" s="27"/>
      <c r="E47" s="27"/>
      <c r="F47" s="27"/>
      <c r="G47" s="27"/>
      <c r="H47" s="27"/>
      <c r="I47" s="27"/>
      <c r="J47" s="27"/>
      <c r="K47" s="27"/>
      <c r="L47" s="27"/>
      <c r="M47" s="27"/>
      <c r="N47" s="27"/>
      <c r="O47" s="27"/>
      <c r="P47" s="27"/>
      <c r="Q47" s="27"/>
      <c r="R47" s="27"/>
      <c r="S47" s="27"/>
      <c r="T47" s="27"/>
      <c r="U47" s="27"/>
      <c r="Z47"/>
    </row>
    <row r="48" spans="2:26" s="33" customFormat="1" ht="14.25" customHeight="1" x14ac:dyDescent="0.25">
      <c r="B48" s="27"/>
      <c r="C48" s="27"/>
      <c r="D48" s="27"/>
      <c r="E48" s="27"/>
      <c r="F48" s="27"/>
      <c r="G48" s="27"/>
      <c r="H48" s="27"/>
      <c r="I48" s="27"/>
      <c r="J48" s="27"/>
      <c r="K48" s="27"/>
      <c r="L48" s="27"/>
      <c r="M48" s="27"/>
      <c r="N48" s="27"/>
      <c r="O48" s="27"/>
      <c r="P48" s="27"/>
      <c r="Q48" s="27"/>
      <c r="R48" s="27"/>
      <c r="S48" s="27"/>
      <c r="T48" s="27"/>
      <c r="U48" s="27"/>
      <c r="Z48"/>
    </row>
    <row r="49" spans="2:26" s="33" customFormat="1" ht="14.25" customHeight="1" x14ac:dyDescent="0.25">
      <c r="B49" s="27"/>
      <c r="C49" s="27"/>
      <c r="D49" s="27"/>
      <c r="E49" s="27"/>
      <c r="F49" s="27"/>
      <c r="G49" s="27"/>
      <c r="H49" s="27"/>
      <c r="I49" s="27"/>
      <c r="J49" s="27"/>
      <c r="K49" s="27"/>
      <c r="L49" s="27"/>
      <c r="M49" s="27"/>
      <c r="N49" s="27"/>
      <c r="O49" s="27"/>
      <c r="P49" s="27"/>
      <c r="Q49" s="27"/>
      <c r="R49" s="27"/>
      <c r="S49" s="27"/>
      <c r="T49" s="27"/>
      <c r="U49" s="27"/>
      <c r="Z49"/>
    </row>
    <row r="50" spans="2:26" s="33" customFormat="1" ht="14.25" customHeight="1" x14ac:dyDescent="0.25">
      <c r="B50" s="27"/>
      <c r="C50" s="27"/>
      <c r="D50" s="27"/>
      <c r="E50" s="27"/>
      <c r="F50" s="27"/>
      <c r="G50" s="27"/>
      <c r="H50" s="27"/>
      <c r="I50" s="27"/>
      <c r="J50" s="27"/>
      <c r="K50" s="27"/>
      <c r="L50" s="27"/>
      <c r="M50" s="27"/>
      <c r="N50" s="27"/>
      <c r="O50" s="27"/>
      <c r="P50" s="27"/>
      <c r="Q50" s="27"/>
      <c r="R50" s="27"/>
      <c r="S50" s="27"/>
      <c r="T50" s="27"/>
      <c r="U50" s="27"/>
      <c r="Z50"/>
    </row>
    <row r="51" spans="2:26" s="33" customFormat="1" ht="14.25" customHeight="1" x14ac:dyDescent="0.25">
      <c r="B51" s="27"/>
      <c r="C51" s="27"/>
      <c r="D51" s="27"/>
      <c r="E51" s="27"/>
      <c r="F51" s="27"/>
      <c r="G51" s="27"/>
      <c r="H51" s="27"/>
      <c r="I51" s="27"/>
      <c r="J51" s="27"/>
      <c r="K51" s="27"/>
      <c r="L51" s="27"/>
      <c r="M51" s="27"/>
      <c r="N51" s="27"/>
      <c r="O51" s="27"/>
      <c r="P51" s="27"/>
      <c r="Q51" s="27"/>
      <c r="R51" s="27"/>
      <c r="S51" s="27"/>
      <c r="T51" s="27"/>
      <c r="U51" s="27"/>
      <c r="Z51"/>
    </row>
    <row r="52" spans="2:26" s="33" customFormat="1" ht="14.25" customHeight="1" x14ac:dyDescent="0.25">
      <c r="B52" s="27"/>
      <c r="C52" s="27"/>
      <c r="D52" s="27"/>
      <c r="E52" s="27"/>
      <c r="F52" s="27"/>
      <c r="G52" s="27"/>
      <c r="H52" s="27"/>
      <c r="I52" s="27"/>
      <c r="J52" s="27"/>
      <c r="K52" s="27"/>
      <c r="L52" s="27"/>
      <c r="M52" s="27"/>
      <c r="N52" s="27"/>
      <c r="O52" s="27"/>
      <c r="P52" s="27"/>
      <c r="Q52" s="27"/>
      <c r="R52" s="27"/>
      <c r="S52" s="27"/>
      <c r="T52" s="27"/>
      <c r="U52" s="27"/>
      <c r="Z52"/>
    </row>
    <row r="53" spans="2:26" s="33" customFormat="1" ht="14.25" customHeight="1" x14ac:dyDescent="0.25">
      <c r="B53" s="27"/>
      <c r="C53" s="27"/>
      <c r="D53" s="27"/>
      <c r="E53" s="27"/>
      <c r="F53" s="27"/>
      <c r="G53" s="27"/>
      <c r="H53" s="27"/>
      <c r="I53" s="27"/>
      <c r="J53" s="27"/>
      <c r="K53" s="27"/>
      <c r="L53" s="27"/>
      <c r="M53" s="27"/>
      <c r="N53" s="27"/>
      <c r="O53" s="27"/>
      <c r="P53" s="27"/>
      <c r="Q53" s="27"/>
      <c r="R53" s="27"/>
      <c r="S53" s="27"/>
      <c r="T53" s="27"/>
      <c r="U53" s="27"/>
      <c r="Z53"/>
    </row>
    <row r="54" spans="2:26" s="33" customFormat="1" ht="14.25" customHeight="1" x14ac:dyDescent="0.25">
      <c r="B54" s="27"/>
      <c r="C54" s="27"/>
      <c r="D54" s="27"/>
      <c r="E54" s="27"/>
      <c r="F54" s="27"/>
      <c r="G54" s="27"/>
      <c r="H54" s="27"/>
      <c r="I54" s="27"/>
      <c r="J54" s="27"/>
      <c r="K54" s="27"/>
      <c r="L54" s="27"/>
      <c r="M54" s="27"/>
      <c r="N54" s="27"/>
      <c r="O54" s="27"/>
      <c r="P54" s="27"/>
      <c r="Q54" s="27"/>
      <c r="R54" s="27"/>
      <c r="S54" s="27"/>
      <c r="T54" s="27"/>
      <c r="U54" s="27"/>
      <c r="Z54"/>
    </row>
    <row r="55" spans="2:26" s="33" customFormat="1" ht="14.25" customHeight="1" x14ac:dyDescent="0.25">
      <c r="B55" s="27"/>
      <c r="C55" s="27"/>
      <c r="D55" s="27"/>
      <c r="E55" s="27"/>
      <c r="F55" s="27"/>
      <c r="G55" s="27"/>
      <c r="H55" s="27"/>
      <c r="I55" s="27"/>
      <c r="J55" s="27"/>
      <c r="K55" s="27"/>
      <c r="L55" s="27"/>
      <c r="M55" s="27"/>
      <c r="N55" s="27"/>
      <c r="O55" s="27"/>
      <c r="P55" s="27"/>
      <c r="Q55" s="27"/>
      <c r="R55" s="27"/>
      <c r="S55" s="27"/>
      <c r="T55" s="27"/>
      <c r="U55" s="27"/>
      <c r="Z55"/>
    </row>
    <row r="56" spans="2:26" s="33" customFormat="1" ht="14.25" customHeight="1" x14ac:dyDescent="0.25">
      <c r="B56" s="27"/>
      <c r="C56" s="27"/>
      <c r="D56" s="27"/>
      <c r="E56" s="27"/>
      <c r="F56" s="27"/>
      <c r="G56" s="27"/>
      <c r="H56" s="27"/>
      <c r="I56" s="27"/>
      <c r="J56" s="27"/>
      <c r="K56" s="27"/>
      <c r="L56" s="27"/>
      <c r="M56" s="27"/>
      <c r="N56" s="27"/>
      <c r="O56" s="27"/>
      <c r="P56" s="27"/>
      <c r="Q56" s="27"/>
      <c r="R56" s="27"/>
      <c r="S56" s="27"/>
      <c r="T56" s="27"/>
      <c r="U56" s="27"/>
      <c r="Z56"/>
    </row>
    <row r="57" spans="2:26" s="33" customFormat="1" ht="14.25" customHeight="1" x14ac:dyDescent="0.25">
      <c r="B57" s="27"/>
      <c r="C57" s="27"/>
      <c r="D57" s="27"/>
      <c r="E57" s="27"/>
      <c r="F57" s="27"/>
      <c r="G57" s="27"/>
      <c r="H57" s="27"/>
      <c r="I57" s="27"/>
      <c r="J57" s="27"/>
      <c r="K57" s="27"/>
      <c r="L57" s="27"/>
      <c r="M57" s="27"/>
      <c r="N57" s="27"/>
      <c r="O57" s="27"/>
      <c r="P57" s="27"/>
      <c r="Q57" s="27"/>
      <c r="R57" s="27"/>
      <c r="S57" s="27"/>
      <c r="T57" s="27"/>
      <c r="U57" s="27"/>
      <c r="Z57"/>
    </row>
    <row r="58" spans="2:26" s="33" customFormat="1" ht="14.25" customHeight="1" x14ac:dyDescent="0.25">
      <c r="B58" s="27"/>
      <c r="C58" s="27"/>
      <c r="D58" s="27"/>
      <c r="E58" s="27"/>
      <c r="F58" s="27"/>
      <c r="G58" s="27"/>
      <c r="H58" s="27"/>
      <c r="I58" s="27"/>
      <c r="J58" s="27"/>
      <c r="K58" s="27"/>
      <c r="L58" s="27"/>
      <c r="M58" s="27"/>
      <c r="N58" s="27"/>
      <c r="O58" s="27"/>
      <c r="P58" s="27"/>
      <c r="Q58" s="27"/>
      <c r="R58" s="27"/>
      <c r="S58" s="27"/>
      <c r="T58" s="27"/>
      <c r="U58" s="27"/>
      <c r="Z58"/>
    </row>
    <row r="59" spans="2:26" s="33" customFormat="1" ht="14.25" customHeight="1" x14ac:dyDescent="0.25">
      <c r="B59" s="27"/>
      <c r="C59" s="27"/>
      <c r="D59" s="27"/>
      <c r="E59" s="27"/>
      <c r="F59" s="27"/>
      <c r="G59" s="27"/>
      <c r="H59" s="27"/>
      <c r="I59" s="27"/>
      <c r="J59" s="27"/>
      <c r="K59" s="27"/>
      <c r="L59" s="27"/>
      <c r="M59" s="27"/>
      <c r="N59" s="27"/>
      <c r="O59" s="27"/>
      <c r="P59" s="27"/>
      <c r="Q59" s="27"/>
      <c r="R59" s="27"/>
      <c r="S59" s="27"/>
      <c r="T59" s="27"/>
      <c r="U59" s="27"/>
      <c r="Z59"/>
    </row>
    <row r="60" spans="2:26" s="33" customFormat="1" ht="14.25" customHeight="1" x14ac:dyDescent="0.25">
      <c r="B60" s="27"/>
      <c r="C60" s="27"/>
      <c r="D60" s="27"/>
      <c r="E60" s="27"/>
      <c r="F60" s="27"/>
      <c r="G60" s="27"/>
      <c r="H60" s="27"/>
      <c r="I60" s="27"/>
      <c r="J60" s="27"/>
      <c r="K60" s="27"/>
      <c r="L60" s="27"/>
      <c r="M60" s="27"/>
      <c r="N60" s="27"/>
      <c r="O60" s="27"/>
      <c r="P60" s="27"/>
      <c r="Q60" s="27"/>
      <c r="R60" s="27"/>
      <c r="S60" s="27"/>
      <c r="T60" s="27"/>
      <c r="U60" s="27"/>
      <c r="Z60"/>
    </row>
    <row r="61" spans="2:26" s="33" customFormat="1" ht="14.25" customHeight="1" x14ac:dyDescent="0.25">
      <c r="B61" s="27"/>
      <c r="C61" s="27"/>
      <c r="D61" s="27"/>
      <c r="E61" s="27"/>
      <c r="F61" s="27"/>
      <c r="G61" s="27"/>
      <c r="H61" s="27"/>
      <c r="I61" s="27"/>
      <c r="J61" s="27"/>
      <c r="K61" s="27"/>
      <c r="L61" s="27"/>
      <c r="M61" s="27"/>
      <c r="N61" s="27"/>
      <c r="O61" s="27"/>
      <c r="P61" s="27"/>
      <c r="Q61" s="27"/>
      <c r="R61" s="27"/>
      <c r="S61" s="27"/>
      <c r="T61" s="27"/>
      <c r="U61" s="27"/>
      <c r="Z61"/>
    </row>
    <row r="62" spans="2:26" s="33" customFormat="1" ht="14.25" customHeight="1" x14ac:dyDescent="0.25">
      <c r="B62" s="27"/>
      <c r="C62" s="27"/>
      <c r="D62" s="27"/>
      <c r="E62" s="27"/>
      <c r="F62" s="27"/>
      <c r="G62" s="27"/>
      <c r="H62" s="27"/>
      <c r="I62" s="27"/>
      <c r="J62" s="27"/>
      <c r="K62" s="27"/>
      <c r="L62" s="27"/>
      <c r="M62" s="27"/>
      <c r="N62" s="27"/>
      <c r="O62" s="27"/>
      <c r="P62" s="27"/>
      <c r="Q62" s="27"/>
      <c r="R62" s="27"/>
      <c r="S62" s="27"/>
      <c r="T62" s="27"/>
      <c r="U62" s="27"/>
      <c r="Z62"/>
    </row>
    <row r="63" spans="2:26" s="33" customFormat="1" ht="14.25" customHeight="1" x14ac:dyDescent="0.25">
      <c r="B63" s="27"/>
      <c r="C63" s="27"/>
      <c r="D63" s="27"/>
      <c r="E63" s="27"/>
      <c r="F63" s="27"/>
      <c r="G63" s="27"/>
      <c r="H63" s="27"/>
      <c r="I63" s="27"/>
      <c r="J63" s="27"/>
      <c r="K63" s="27"/>
      <c r="L63" s="27"/>
      <c r="M63" s="27"/>
      <c r="N63" s="27"/>
      <c r="O63" s="27"/>
      <c r="P63" s="27"/>
      <c r="Q63" s="27"/>
      <c r="R63" s="27"/>
      <c r="S63" s="27"/>
      <c r="T63" s="27"/>
      <c r="U63" s="27"/>
      <c r="Z63"/>
    </row>
    <row r="64" spans="2:26" s="33" customFormat="1" ht="14.25" customHeight="1" x14ac:dyDescent="0.25">
      <c r="B64" s="52" t="s">
        <v>213</v>
      </c>
      <c r="C64" s="52"/>
      <c r="D64" s="52"/>
      <c r="E64" s="52"/>
      <c r="F64" s="52"/>
      <c r="G64" s="52"/>
      <c r="H64" s="52"/>
      <c r="I64" s="52"/>
      <c r="J64" s="52"/>
      <c r="K64" s="52"/>
      <c r="L64" s="52"/>
      <c r="M64" s="52"/>
      <c r="N64" s="52"/>
      <c r="O64" s="52"/>
      <c r="P64" s="52"/>
      <c r="Q64" s="52"/>
      <c r="R64" s="52"/>
      <c r="S64" s="52"/>
      <c r="T64" s="52"/>
      <c r="U64" s="52"/>
      <c r="Z64"/>
    </row>
    <row r="65" spans="2:26" s="33" customFormat="1" ht="7.5" customHeight="1" x14ac:dyDescent="0.25">
      <c r="B65" s="27"/>
      <c r="C65" s="27"/>
      <c r="D65" s="27"/>
      <c r="E65" s="27"/>
      <c r="F65" s="27"/>
      <c r="G65" s="27"/>
      <c r="H65" s="27"/>
      <c r="I65" s="27"/>
      <c r="J65" s="27"/>
      <c r="K65" s="27"/>
      <c r="L65" s="27"/>
      <c r="M65" s="27"/>
      <c r="N65" s="27"/>
      <c r="O65" s="27"/>
      <c r="P65" s="27"/>
      <c r="Q65" s="27"/>
      <c r="R65" s="27"/>
      <c r="S65" s="27"/>
      <c r="T65" s="27"/>
      <c r="U65" s="27"/>
      <c r="Z65"/>
    </row>
    <row r="66" spans="2:26" s="33" customFormat="1" ht="14.25" customHeight="1" x14ac:dyDescent="0.25">
      <c r="B66" s="27"/>
      <c r="C66" s="27"/>
      <c r="D66" s="27"/>
      <c r="E66" s="27"/>
      <c r="F66" s="27"/>
      <c r="G66" s="27"/>
      <c r="H66" s="27"/>
      <c r="I66" s="27"/>
      <c r="J66" s="27"/>
      <c r="K66" s="27"/>
      <c r="L66" s="27"/>
      <c r="M66" s="27"/>
      <c r="N66" s="27"/>
      <c r="O66" s="27"/>
      <c r="P66" s="27"/>
      <c r="Q66" s="27"/>
      <c r="R66" s="27"/>
      <c r="S66" s="27"/>
      <c r="T66" s="27"/>
      <c r="U66" s="27"/>
      <c r="Z66"/>
    </row>
    <row r="67" spans="2:26" s="33" customFormat="1" ht="14.25" customHeight="1" x14ac:dyDescent="0.25">
      <c r="B67" s="27"/>
      <c r="C67" s="27"/>
      <c r="D67" s="27"/>
      <c r="E67" s="27"/>
      <c r="F67" s="27"/>
      <c r="G67" s="27"/>
      <c r="H67" s="27"/>
      <c r="I67" s="27"/>
      <c r="J67" s="27"/>
      <c r="K67" s="27"/>
      <c r="L67" s="27"/>
      <c r="M67" s="27"/>
      <c r="N67" s="27"/>
      <c r="O67" s="27"/>
      <c r="P67" s="27"/>
      <c r="Q67" s="27"/>
      <c r="R67" s="27"/>
      <c r="S67" s="27"/>
      <c r="T67" s="27"/>
      <c r="U67" s="27"/>
      <c r="Z67"/>
    </row>
    <row r="68" spans="2:26" s="33" customFormat="1" ht="14.25" customHeight="1" x14ac:dyDescent="0.25">
      <c r="B68" s="27"/>
      <c r="C68" s="27"/>
      <c r="D68" s="27"/>
      <c r="E68" s="27"/>
      <c r="F68" s="27"/>
      <c r="G68" s="27"/>
      <c r="H68" s="27"/>
      <c r="I68" s="27"/>
      <c r="J68" s="27"/>
      <c r="K68" s="27"/>
      <c r="L68" s="27"/>
      <c r="M68" s="27"/>
      <c r="N68" s="27"/>
      <c r="O68" s="27"/>
      <c r="P68" s="27"/>
      <c r="Q68" s="27"/>
      <c r="R68" s="27"/>
      <c r="S68" s="27"/>
      <c r="T68" s="27"/>
      <c r="U68" s="27"/>
      <c r="Z68"/>
    </row>
    <row r="69" spans="2:26" s="33" customFormat="1" ht="14.25" customHeight="1" x14ac:dyDescent="0.25">
      <c r="B69" s="27"/>
      <c r="C69" s="27"/>
      <c r="D69" s="27"/>
      <c r="E69" s="27"/>
      <c r="F69" s="27"/>
      <c r="G69" s="27"/>
      <c r="H69" s="27"/>
      <c r="I69" s="27"/>
      <c r="J69" s="27"/>
      <c r="K69" s="27"/>
      <c r="L69" s="27"/>
      <c r="M69" s="27"/>
      <c r="N69" s="27"/>
      <c r="O69" s="27"/>
      <c r="P69" s="27"/>
      <c r="Q69" s="27"/>
      <c r="R69" s="27"/>
      <c r="S69" s="27"/>
      <c r="T69" s="27"/>
      <c r="U69" s="27"/>
      <c r="Z69"/>
    </row>
    <row r="70" spans="2:26" s="33" customFormat="1" ht="14.25" customHeight="1" x14ac:dyDescent="0.25">
      <c r="B70" s="27"/>
      <c r="C70" s="27"/>
      <c r="D70" s="27"/>
      <c r="E70" s="27"/>
      <c r="F70" s="27"/>
      <c r="G70" s="27"/>
      <c r="H70" s="27"/>
      <c r="I70" s="27"/>
      <c r="J70" s="27"/>
      <c r="K70" s="27"/>
      <c r="L70" s="27"/>
      <c r="M70" s="27"/>
      <c r="N70" s="27"/>
      <c r="O70" s="27"/>
      <c r="P70" s="27"/>
      <c r="Q70" s="27"/>
      <c r="R70" s="27"/>
      <c r="S70" s="27"/>
      <c r="T70" s="27"/>
      <c r="U70" s="27"/>
      <c r="Z70"/>
    </row>
    <row r="71" spans="2:26" s="33" customFormat="1" ht="14.25" customHeight="1" x14ac:dyDescent="0.25">
      <c r="B71" s="27"/>
      <c r="C71" s="27"/>
      <c r="D71" s="27"/>
      <c r="E71" s="27"/>
      <c r="F71" s="27"/>
      <c r="G71" s="27"/>
      <c r="H71" s="27"/>
      <c r="I71" s="27"/>
      <c r="J71" s="27"/>
      <c r="K71" s="27"/>
      <c r="L71" s="27"/>
      <c r="M71" s="27"/>
      <c r="N71" s="27"/>
      <c r="O71" s="27"/>
      <c r="P71" s="27"/>
      <c r="Q71" s="27"/>
      <c r="R71" s="27"/>
      <c r="S71" s="27"/>
      <c r="T71" s="27"/>
      <c r="U71" s="27"/>
      <c r="Z71"/>
    </row>
    <row r="72" spans="2:26" s="33" customFormat="1" ht="14.25" customHeight="1" x14ac:dyDescent="0.25">
      <c r="B72" s="27"/>
      <c r="C72" s="27"/>
      <c r="D72" s="27"/>
      <c r="E72" s="27"/>
      <c r="F72" s="27"/>
      <c r="G72" s="27"/>
      <c r="H72" s="27"/>
      <c r="I72" s="27"/>
      <c r="J72" s="27"/>
      <c r="K72" s="27"/>
      <c r="L72" s="27"/>
      <c r="M72" s="27"/>
      <c r="N72" s="27"/>
      <c r="O72" s="27"/>
      <c r="P72" s="27"/>
      <c r="Q72" s="27"/>
      <c r="R72" s="27"/>
      <c r="S72" s="27"/>
      <c r="T72" s="27"/>
      <c r="U72" s="27"/>
      <c r="Z72"/>
    </row>
    <row r="73" spans="2:26" s="33" customFormat="1" ht="14.25" customHeight="1" x14ac:dyDescent="0.25">
      <c r="B73" s="27"/>
      <c r="C73" s="27"/>
      <c r="D73" s="27"/>
      <c r="E73" s="27"/>
      <c r="F73" s="27"/>
      <c r="G73" s="27"/>
      <c r="H73" s="27"/>
      <c r="I73" s="27"/>
      <c r="J73" s="27"/>
      <c r="K73" s="27"/>
      <c r="L73" s="27"/>
      <c r="M73" s="27"/>
      <c r="N73" s="27"/>
      <c r="O73" s="27"/>
      <c r="P73" s="27"/>
      <c r="Q73" s="27"/>
      <c r="R73" s="27"/>
      <c r="S73" s="27"/>
      <c r="T73" s="27"/>
      <c r="U73" s="27"/>
      <c r="Z73"/>
    </row>
    <row r="74" spans="2:26" s="33" customFormat="1" ht="14.25" customHeight="1" x14ac:dyDescent="0.25">
      <c r="B74" s="27"/>
      <c r="C74" s="27"/>
      <c r="D74" s="27"/>
      <c r="E74" s="27"/>
      <c r="F74" s="27"/>
      <c r="G74" s="27"/>
      <c r="H74" s="27"/>
      <c r="I74" s="27"/>
      <c r="J74" s="27"/>
      <c r="K74" s="27"/>
      <c r="L74" s="27"/>
      <c r="M74" s="27"/>
      <c r="N74" s="27"/>
      <c r="O74" s="27"/>
      <c r="P74" s="27"/>
      <c r="Q74" s="27"/>
      <c r="R74" s="27"/>
      <c r="S74" s="27"/>
      <c r="T74" s="27"/>
      <c r="U74" s="27"/>
      <c r="Z74"/>
    </row>
    <row r="75" spans="2:26" s="33" customFormat="1" ht="14.25" customHeight="1" x14ac:dyDescent="0.25">
      <c r="B75" s="27"/>
      <c r="C75" s="27"/>
      <c r="D75" s="27"/>
      <c r="E75" s="27"/>
      <c r="F75" s="27"/>
      <c r="G75" s="27"/>
      <c r="H75" s="27"/>
      <c r="I75" s="27"/>
      <c r="J75" s="27"/>
      <c r="K75" s="27"/>
      <c r="L75" s="27"/>
      <c r="M75" s="27"/>
      <c r="N75" s="27"/>
      <c r="O75" s="27"/>
      <c r="P75" s="27"/>
      <c r="Q75" s="27"/>
      <c r="R75" s="27"/>
      <c r="S75" s="27"/>
      <c r="T75" s="27"/>
      <c r="U75" s="27"/>
      <c r="Z75"/>
    </row>
    <row r="76" spans="2:26" s="33" customFormat="1" ht="14.25" customHeight="1" x14ac:dyDescent="0.25">
      <c r="B76" s="27"/>
      <c r="C76" s="27"/>
      <c r="D76" s="27"/>
      <c r="E76" s="27"/>
      <c r="F76" s="27"/>
      <c r="G76" s="27"/>
      <c r="H76" s="27"/>
      <c r="I76" s="27"/>
      <c r="J76" s="27"/>
      <c r="K76" s="27"/>
      <c r="L76" s="27"/>
      <c r="M76" s="27"/>
      <c r="N76" s="27"/>
      <c r="O76" s="27"/>
      <c r="P76" s="27"/>
      <c r="Q76" s="27"/>
      <c r="R76" s="27"/>
      <c r="S76" s="27"/>
      <c r="T76" s="27"/>
      <c r="U76" s="27"/>
      <c r="Z76"/>
    </row>
    <row r="77" spans="2:26" s="33" customFormat="1" ht="14.25" customHeight="1" x14ac:dyDescent="0.25">
      <c r="B77" s="27"/>
      <c r="C77" s="27"/>
      <c r="D77" s="27"/>
      <c r="E77" s="27"/>
      <c r="F77" s="27"/>
      <c r="G77" s="27"/>
      <c r="H77" s="27"/>
      <c r="I77" s="27"/>
      <c r="J77" s="27"/>
      <c r="K77" s="27"/>
      <c r="L77" s="27"/>
      <c r="M77" s="27"/>
      <c r="N77" s="27"/>
      <c r="O77" s="27"/>
      <c r="P77" s="27"/>
      <c r="Q77" s="27"/>
      <c r="R77" s="27"/>
      <c r="S77" s="27"/>
      <c r="T77" s="27"/>
      <c r="U77" s="27"/>
      <c r="Z77"/>
    </row>
    <row r="78" spans="2:26" s="33" customFormat="1" ht="14.25" customHeight="1" x14ac:dyDescent="0.25">
      <c r="B78" s="27"/>
      <c r="C78" s="27"/>
      <c r="D78" s="27"/>
      <c r="E78" s="27"/>
      <c r="F78" s="27"/>
      <c r="G78" s="27"/>
      <c r="H78" s="27"/>
      <c r="I78" s="27"/>
      <c r="J78" s="27"/>
      <c r="K78" s="27"/>
      <c r="L78" s="27"/>
      <c r="M78" s="27"/>
      <c r="N78" s="27"/>
      <c r="O78" s="27"/>
      <c r="P78" s="27"/>
      <c r="Q78" s="27"/>
      <c r="R78" s="27"/>
      <c r="S78" s="27"/>
      <c r="T78" s="27"/>
      <c r="U78" s="27"/>
      <c r="Z78"/>
    </row>
    <row r="79" spans="2:26" s="33" customFormat="1" ht="14.25" customHeight="1" x14ac:dyDescent="0.25">
      <c r="B79" s="27"/>
      <c r="C79" s="27"/>
      <c r="D79" s="27"/>
      <c r="E79" s="27"/>
      <c r="F79" s="27"/>
      <c r="G79" s="27"/>
      <c r="H79" s="27"/>
      <c r="I79" s="27"/>
      <c r="J79" s="27"/>
      <c r="K79" s="27"/>
      <c r="L79" s="27"/>
      <c r="M79" s="27"/>
      <c r="N79" s="27"/>
      <c r="O79" s="27"/>
      <c r="P79" s="27"/>
      <c r="Q79" s="27"/>
      <c r="R79" s="27"/>
      <c r="S79" s="27"/>
      <c r="T79" s="27"/>
      <c r="U79" s="27"/>
      <c r="Z79"/>
    </row>
    <row r="80" spans="2:26" s="33" customFormat="1" ht="14.25" customHeight="1" x14ac:dyDescent="0.25">
      <c r="B80" s="27"/>
      <c r="C80" s="27"/>
      <c r="D80" s="27"/>
      <c r="E80" s="27"/>
      <c r="F80" s="27"/>
      <c r="G80" s="27"/>
      <c r="H80" s="27"/>
      <c r="I80" s="27"/>
      <c r="J80" s="27"/>
      <c r="K80" s="27"/>
      <c r="L80" s="27"/>
      <c r="M80" s="27"/>
      <c r="N80" s="27"/>
      <c r="O80" s="27"/>
      <c r="P80" s="27"/>
      <c r="Q80" s="27"/>
      <c r="R80" s="27"/>
      <c r="S80" s="27"/>
      <c r="T80" s="27"/>
      <c r="U80" s="27"/>
      <c r="Z80"/>
    </row>
    <row r="81" spans="2:26" s="33" customFormat="1" ht="14.25" customHeight="1" x14ac:dyDescent="0.25">
      <c r="B81" s="27"/>
      <c r="C81" s="27"/>
      <c r="D81" s="27"/>
      <c r="E81" s="27"/>
      <c r="F81" s="27"/>
      <c r="G81" s="27"/>
      <c r="H81" s="27"/>
      <c r="I81" s="27"/>
      <c r="J81" s="27"/>
      <c r="K81" s="27"/>
      <c r="L81" s="27"/>
      <c r="M81" s="27"/>
      <c r="N81" s="27"/>
      <c r="O81" s="27"/>
      <c r="P81" s="27"/>
      <c r="Q81" s="27"/>
      <c r="R81" s="27"/>
      <c r="S81" s="27"/>
      <c r="T81" s="27"/>
      <c r="U81" s="27"/>
      <c r="Z81"/>
    </row>
    <row r="82" spans="2:26" s="33" customFormat="1" ht="14.25" customHeight="1" x14ac:dyDescent="0.25">
      <c r="B82" s="27"/>
      <c r="C82" s="27"/>
      <c r="D82" s="27"/>
      <c r="E82" s="27"/>
      <c r="F82" s="27"/>
      <c r="G82" s="27"/>
      <c r="H82" s="27"/>
      <c r="I82" s="27"/>
      <c r="J82" s="27"/>
      <c r="K82" s="27"/>
      <c r="L82" s="27"/>
      <c r="M82" s="27"/>
      <c r="N82" s="27"/>
      <c r="O82" s="27"/>
      <c r="P82" s="27"/>
      <c r="Q82" s="27"/>
      <c r="R82" s="27"/>
      <c r="S82" s="27"/>
      <c r="T82" s="27"/>
      <c r="U82" s="27"/>
      <c r="Z82"/>
    </row>
    <row r="83" spans="2:26" s="33" customFormat="1" ht="14.25" customHeight="1" x14ac:dyDescent="0.25">
      <c r="B83" s="27"/>
      <c r="C83" s="27"/>
      <c r="D83" s="27"/>
      <c r="E83" s="27"/>
      <c r="F83" s="27"/>
      <c r="G83" s="27"/>
      <c r="H83" s="27"/>
      <c r="I83" s="27"/>
      <c r="J83" s="27"/>
      <c r="K83" s="27"/>
      <c r="L83" s="27"/>
      <c r="M83" s="27"/>
      <c r="N83" s="27"/>
      <c r="O83" s="27"/>
      <c r="P83" s="27"/>
      <c r="Q83" s="27"/>
      <c r="R83" s="27"/>
      <c r="S83" s="27"/>
      <c r="T83" s="27"/>
      <c r="U83" s="27"/>
      <c r="Z83"/>
    </row>
    <row r="84" spans="2:26" ht="12.75" customHeight="1" x14ac:dyDescent="0.25">
      <c r="B84" s="36"/>
      <c r="C84" s="28"/>
      <c r="D84" s="29"/>
      <c r="E84" s="29"/>
      <c r="F84" s="29"/>
      <c r="G84" s="29"/>
      <c r="H84" s="29"/>
      <c r="I84" s="29"/>
      <c r="J84" s="29"/>
      <c r="K84" s="30"/>
      <c r="L84" s="31"/>
      <c r="M84" s="32"/>
      <c r="N84" s="32"/>
      <c r="O84" s="58"/>
      <c r="P84" s="58"/>
      <c r="Q84" s="58"/>
      <c r="R84" s="58"/>
      <c r="S84" s="58"/>
      <c r="T84" s="58"/>
      <c r="Z84"/>
    </row>
    <row r="85" spans="2:26" ht="5.25" customHeight="1" x14ac:dyDescent="0.25">
      <c r="B85" s="35"/>
      <c r="C85" s="28"/>
      <c r="D85" s="29"/>
      <c r="E85" s="29"/>
      <c r="F85" s="29"/>
      <c r="G85" s="29"/>
      <c r="H85" s="29"/>
      <c r="I85" s="29"/>
      <c r="J85" s="29"/>
      <c r="K85" s="30"/>
      <c r="L85" s="31"/>
      <c r="M85" s="32"/>
      <c r="N85" s="32"/>
      <c r="Z85"/>
    </row>
    <row r="86" spans="2:26" s="34" customFormat="1" ht="12.75" customHeight="1" x14ac:dyDescent="0.25">
      <c r="B86" s="265" t="s">
        <v>133</v>
      </c>
      <c r="C86" s="265"/>
      <c r="D86" s="265"/>
      <c r="E86" s="265"/>
      <c r="F86" s="265"/>
      <c r="G86" s="265"/>
      <c r="H86" s="265"/>
      <c r="I86" s="265"/>
      <c r="J86" s="265"/>
      <c r="K86" s="265"/>
      <c r="L86" s="265"/>
      <c r="M86" s="265"/>
      <c r="N86" s="265"/>
      <c r="O86" s="265"/>
      <c r="P86" s="265"/>
      <c r="Q86" s="265"/>
      <c r="R86" s="265"/>
      <c r="S86" s="265"/>
      <c r="T86" s="265"/>
      <c r="U86" s="265"/>
      <c r="Z86"/>
    </row>
    <row r="87" spans="2:26" ht="18" customHeight="1" x14ac:dyDescent="0.25">
      <c r="B87" s="36"/>
      <c r="Z87"/>
    </row>
    <row r="88" spans="2:26" ht="18" customHeight="1" x14ac:dyDescent="0.25">
      <c r="B88" s="36"/>
      <c r="Z88"/>
    </row>
    <row r="89" spans="2:26" ht="18" customHeight="1" x14ac:dyDescent="0.25">
      <c r="B89" s="36"/>
      <c r="Z89"/>
    </row>
    <row r="90" spans="2:26" ht="18" customHeight="1" x14ac:dyDescent="0.25">
      <c r="B90" s="36"/>
      <c r="Z90"/>
    </row>
    <row r="91" spans="2:26" ht="18" customHeight="1" x14ac:dyDescent="0.25">
      <c r="B91" s="36"/>
      <c r="Z91"/>
    </row>
    <row r="92" spans="2:26" ht="18" customHeight="1" x14ac:dyDescent="0.25">
      <c r="B92" s="36"/>
      <c r="Z92"/>
    </row>
    <row r="93" spans="2:26" ht="18" customHeight="1" x14ac:dyDescent="0.25">
      <c r="B93" s="36"/>
      <c r="Z93"/>
    </row>
    <row r="94" spans="2:26" ht="18" customHeight="1" x14ac:dyDescent="0.25">
      <c r="B94" s="36"/>
      <c r="Z94"/>
    </row>
    <row r="95" spans="2:26" ht="18" customHeight="1" x14ac:dyDescent="0.25">
      <c r="B95" s="36"/>
      <c r="Z95"/>
    </row>
    <row r="96" spans="2:26" ht="18" customHeight="1" x14ac:dyDescent="0.25">
      <c r="B96" s="36"/>
      <c r="Z96"/>
    </row>
    <row r="97" spans="2:26" ht="18" customHeight="1" x14ac:dyDescent="0.25">
      <c r="B97" s="36"/>
      <c r="Z97"/>
    </row>
    <row r="98" spans="2:26" ht="18" customHeight="1" x14ac:dyDescent="0.25">
      <c r="B98" s="36"/>
      <c r="Z98"/>
    </row>
    <row r="99" spans="2:26" ht="18" customHeight="1" x14ac:dyDescent="0.25">
      <c r="B99" s="36"/>
      <c r="Z99"/>
    </row>
    <row r="100" spans="2:26" ht="18" customHeight="1" x14ac:dyDescent="0.25">
      <c r="B100" s="36"/>
      <c r="Z100"/>
    </row>
    <row r="101" spans="2:26" ht="18" customHeight="1" x14ac:dyDescent="0.25">
      <c r="B101" s="36"/>
      <c r="Z101"/>
    </row>
    <row r="102" spans="2:26" ht="18" customHeight="1" x14ac:dyDescent="0.25">
      <c r="B102" s="36"/>
      <c r="Z102"/>
    </row>
    <row r="103" spans="2:26" ht="18" customHeight="1" x14ac:dyDescent="0.25">
      <c r="B103" s="36"/>
      <c r="Z103"/>
    </row>
    <row r="104" spans="2:26" ht="18" customHeight="1" x14ac:dyDescent="0.25">
      <c r="B104" s="36"/>
      <c r="Z104"/>
    </row>
    <row r="105" spans="2:26" ht="18" customHeight="1" x14ac:dyDescent="0.25">
      <c r="B105" s="36"/>
      <c r="Z105"/>
    </row>
    <row r="106" spans="2:26" ht="18" customHeight="1" x14ac:dyDescent="0.25">
      <c r="B106" s="36"/>
      <c r="Z106"/>
    </row>
    <row r="107" spans="2:26" ht="18" customHeight="1" x14ac:dyDescent="0.25">
      <c r="B107" s="36"/>
      <c r="Z107"/>
    </row>
    <row r="108" spans="2:26" ht="18" customHeight="1" x14ac:dyDescent="0.25">
      <c r="B108" s="36"/>
      <c r="Z108"/>
    </row>
    <row r="109" spans="2:26" ht="18" customHeight="1" x14ac:dyDescent="0.25">
      <c r="B109" s="36"/>
      <c r="Z109"/>
    </row>
    <row r="110" spans="2:26" ht="18" customHeight="1" x14ac:dyDescent="0.25">
      <c r="B110" s="36"/>
      <c r="Z110"/>
    </row>
    <row r="111" spans="2:26" ht="18" customHeight="1" x14ac:dyDescent="0.25">
      <c r="B111" s="36"/>
      <c r="Z111"/>
    </row>
    <row r="112" spans="2:26" ht="18" customHeight="1" x14ac:dyDescent="0.25">
      <c r="B112" s="36"/>
      <c r="Z112"/>
    </row>
    <row r="113" spans="2:26" ht="18" customHeight="1" x14ac:dyDescent="0.25">
      <c r="B113" s="36"/>
      <c r="Z113"/>
    </row>
    <row r="114" spans="2:26" ht="18" customHeight="1" x14ac:dyDescent="0.25">
      <c r="B114" s="36"/>
      <c r="Z114"/>
    </row>
    <row r="115" spans="2:26" ht="18" customHeight="1" x14ac:dyDescent="0.25">
      <c r="B115" s="36"/>
      <c r="Z115"/>
    </row>
    <row r="116" spans="2:26" ht="18" customHeight="1" x14ac:dyDescent="0.25">
      <c r="B116" s="36"/>
      <c r="Z116"/>
    </row>
    <row r="117" spans="2:26" ht="18" customHeight="1" x14ac:dyDescent="0.25">
      <c r="B117" s="36"/>
      <c r="Z117"/>
    </row>
    <row r="118" spans="2:26" ht="18" customHeight="1" x14ac:dyDescent="0.25">
      <c r="B118" s="36"/>
      <c r="Z118"/>
    </row>
    <row r="119" spans="2:26" ht="18" customHeight="1" x14ac:dyDescent="0.25">
      <c r="B119" s="36"/>
      <c r="Z119"/>
    </row>
    <row r="120" spans="2:26" ht="18" customHeight="1" x14ac:dyDescent="0.25">
      <c r="B120" s="36"/>
      <c r="Z120"/>
    </row>
    <row r="121" spans="2:26" ht="18" customHeight="1" x14ac:dyDescent="0.25">
      <c r="Z121"/>
    </row>
    <row r="122" spans="2:26" ht="18" customHeight="1" x14ac:dyDescent="0.25">
      <c r="Z122"/>
    </row>
    <row r="123" spans="2:26" ht="18" customHeight="1" x14ac:dyDescent="0.25">
      <c r="Z123"/>
    </row>
    <row r="124" spans="2:26" ht="18" customHeight="1" x14ac:dyDescent="0.25">
      <c r="Z124"/>
    </row>
    <row r="125" spans="2:26" ht="18" customHeight="1" x14ac:dyDescent="0.25">
      <c r="Z125"/>
    </row>
    <row r="126" spans="2:26" ht="18" customHeight="1" x14ac:dyDescent="0.25">
      <c r="Z126"/>
    </row>
    <row r="127" spans="2:26" ht="18" customHeight="1" x14ac:dyDescent="0.25">
      <c r="Z127"/>
    </row>
    <row r="128" spans="2:26" ht="18" customHeight="1" x14ac:dyDescent="0.25">
      <c r="Z128"/>
    </row>
    <row r="129" spans="26:26" ht="18" customHeight="1" x14ac:dyDescent="0.25">
      <c r="Z129"/>
    </row>
    <row r="130" spans="26:26" ht="18" customHeight="1" x14ac:dyDescent="0.25">
      <c r="Z130"/>
    </row>
    <row r="131" spans="26:26" ht="18" customHeight="1" x14ac:dyDescent="0.25">
      <c r="Z131"/>
    </row>
    <row r="132" spans="26:26" ht="18" customHeight="1" x14ac:dyDescent="0.25">
      <c r="Z132"/>
    </row>
    <row r="133" spans="26:26" ht="18" customHeight="1" x14ac:dyDescent="0.25">
      <c r="Z133"/>
    </row>
    <row r="134" spans="26:26" ht="18" customHeight="1" x14ac:dyDescent="0.25">
      <c r="Z134"/>
    </row>
    <row r="135" spans="26:26" ht="18" customHeight="1" x14ac:dyDescent="0.25">
      <c r="Z135"/>
    </row>
    <row r="136" spans="26:26" ht="18" customHeight="1" x14ac:dyDescent="0.25">
      <c r="Z136"/>
    </row>
    <row r="137" spans="26:26" ht="18" customHeight="1" x14ac:dyDescent="0.25">
      <c r="Z137"/>
    </row>
    <row r="138" spans="26:26" ht="18" customHeight="1" x14ac:dyDescent="0.25">
      <c r="Z138"/>
    </row>
    <row r="139" spans="26:26" ht="18" customHeight="1" x14ac:dyDescent="0.25">
      <c r="Z139"/>
    </row>
    <row r="140" spans="26:26" ht="18" customHeight="1" x14ac:dyDescent="0.25">
      <c r="Z140"/>
    </row>
    <row r="141" spans="26:26" ht="18" customHeight="1" x14ac:dyDescent="0.25">
      <c r="Z141"/>
    </row>
    <row r="142" spans="26:26" ht="18" customHeight="1" x14ac:dyDescent="0.25">
      <c r="Z142"/>
    </row>
    <row r="143" spans="26:26" ht="18" customHeight="1" x14ac:dyDescent="0.25">
      <c r="Z143"/>
    </row>
    <row r="144" spans="26:26" ht="18" customHeight="1" x14ac:dyDescent="0.25">
      <c r="Z144"/>
    </row>
    <row r="145" spans="26:26" ht="18" customHeight="1" x14ac:dyDescent="0.25">
      <c r="Z145"/>
    </row>
    <row r="146" spans="26:26" ht="18" customHeight="1" x14ac:dyDescent="0.25">
      <c r="Z146"/>
    </row>
    <row r="147" spans="26:26" ht="18" customHeight="1" x14ac:dyDescent="0.25">
      <c r="Z147"/>
    </row>
    <row r="148" spans="26:26" ht="18" customHeight="1" x14ac:dyDescent="0.25">
      <c r="Z148"/>
    </row>
    <row r="149" spans="26:26" ht="18" customHeight="1" x14ac:dyDescent="0.25">
      <c r="Z149"/>
    </row>
    <row r="150" spans="26:26" ht="18" customHeight="1" x14ac:dyDescent="0.25">
      <c r="Z150"/>
    </row>
    <row r="151" spans="26:26" ht="18" customHeight="1" x14ac:dyDescent="0.25">
      <c r="Z151"/>
    </row>
    <row r="152" spans="26:26" ht="18" customHeight="1" x14ac:dyDescent="0.25">
      <c r="Z152"/>
    </row>
    <row r="153" spans="26:26" ht="18" customHeight="1" x14ac:dyDescent="0.25">
      <c r="Z153"/>
    </row>
    <row r="154" spans="26:26" ht="18" customHeight="1" x14ac:dyDescent="0.25">
      <c r="Z154"/>
    </row>
    <row r="155" spans="26:26" ht="18" customHeight="1" x14ac:dyDescent="0.25">
      <c r="Z155"/>
    </row>
    <row r="156" spans="26:26" ht="18" customHeight="1" x14ac:dyDescent="0.25">
      <c r="Z156"/>
    </row>
    <row r="157" spans="26:26" ht="18" customHeight="1" x14ac:dyDescent="0.25">
      <c r="Z157"/>
    </row>
    <row r="158" spans="26:26" ht="18" customHeight="1" x14ac:dyDescent="0.25">
      <c r="Z158"/>
    </row>
    <row r="159" spans="26:26" ht="18" customHeight="1" x14ac:dyDescent="0.25">
      <c r="Z159"/>
    </row>
    <row r="160" spans="26:26" ht="18" customHeight="1" x14ac:dyDescent="0.25">
      <c r="Z160"/>
    </row>
    <row r="161" spans="2:26" ht="18" customHeight="1" x14ac:dyDescent="0.25">
      <c r="Z161"/>
    </row>
    <row r="162" spans="2:26" ht="18" customHeight="1" x14ac:dyDescent="0.25">
      <c r="Z162"/>
    </row>
    <row r="163" spans="2:26" ht="18" customHeight="1" x14ac:dyDescent="0.25">
      <c r="Z163"/>
    </row>
    <row r="164" spans="2:26" ht="18" customHeight="1" x14ac:dyDescent="0.25">
      <c r="Z164"/>
    </row>
    <row r="165" spans="2:26" ht="18" customHeight="1" x14ac:dyDescent="0.25">
      <c r="Z165"/>
    </row>
    <row r="166" spans="2:26" ht="18" customHeight="1" x14ac:dyDescent="0.25">
      <c r="Z166"/>
    </row>
    <row r="167" spans="2:26" ht="18" customHeight="1" x14ac:dyDescent="0.25">
      <c r="Z167"/>
    </row>
    <row r="168" spans="2:26" ht="18" customHeight="1" x14ac:dyDescent="0.25">
      <c r="Z168"/>
    </row>
    <row r="169" spans="2:26" ht="18" customHeight="1" x14ac:dyDescent="0.25">
      <c r="Z169"/>
    </row>
    <row r="170" spans="2:26" ht="18" customHeight="1" x14ac:dyDescent="0.25">
      <c r="Z170"/>
    </row>
    <row r="171" spans="2:26" ht="18" customHeight="1" x14ac:dyDescent="0.25">
      <c r="Z171"/>
    </row>
    <row r="172" spans="2:26" ht="18" customHeight="1" x14ac:dyDescent="0.25">
      <c r="Z172"/>
    </row>
    <row r="173" spans="2:26" ht="18" customHeight="1" x14ac:dyDescent="0.25">
      <c r="B173" s="112" t="s">
        <v>14</v>
      </c>
      <c r="C173" s="112" t="s">
        <v>18</v>
      </c>
      <c r="D173" s="112" t="s">
        <v>184</v>
      </c>
      <c r="E173" s="112" t="s">
        <v>197</v>
      </c>
      <c r="F173" s="112" t="s">
        <v>18</v>
      </c>
      <c r="G173" s="112" t="s">
        <v>184</v>
      </c>
      <c r="H173" s="112" t="s">
        <v>207</v>
      </c>
      <c r="K173" s="112" t="s">
        <v>208</v>
      </c>
      <c r="L173" s="112" t="s">
        <v>18</v>
      </c>
      <c r="M173" s="112" t="s">
        <v>184</v>
      </c>
      <c r="Z173"/>
    </row>
    <row r="174" spans="2:26" ht="18" customHeight="1" x14ac:dyDescent="0.25">
      <c r="B174" s="33" t="s">
        <v>64</v>
      </c>
      <c r="C174" s="150">
        <f>SUMIFS($C$10:$C$34,$K$10:$K$34,B174)</f>
        <v>0.51999999999999991</v>
      </c>
      <c r="D174" s="150">
        <f>SUMIFS($H$10:$H$34,$K$10:$K$34,B174)</f>
        <v>0.43234323432343236</v>
      </c>
      <c r="E174" s="23" t="s">
        <v>120</v>
      </c>
      <c r="F174" s="26" t="str">
        <f t="shared" ref="F174:F185" si="7">$E174&amp;" ("&amp;TEXT(C174,"0,0%")&amp;")"</f>
        <v>Recebíveis (52,0%)</v>
      </c>
      <c r="G174" s="26" t="str">
        <f t="shared" ref="G174:G185" si="8">$E174&amp;" ("&amp;TEXT(D174,"0,0%")&amp;")"</f>
        <v>Recebíveis (43,2%)</v>
      </c>
      <c r="H174" s="207">
        <f>D174-C174</f>
        <v>-8.765676567656755E-2</v>
      </c>
      <c r="K174" s="23" t="s">
        <v>209</v>
      </c>
      <c r="L174" s="208">
        <f>COUNT(C10:C34)-COUNTIF(C10:C34,0%)</f>
        <v>16</v>
      </c>
      <c r="M174" s="208">
        <f>COUNT(G10:G34)-COUNTIF(G10:G34,0%)</f>
        <v>16</v>
      </c>
      <c r="Z174"/>
    </row>
    <row r="175" spans="2:26" ht="18" customHeight="1" x14ac:dyDescent="0.25">
      <c r="B175" s="33" t="s">
        <v>63</v>
      </c>
      <c r="C175" s="150">
        <f t="shared" ref="C175:C184" si="9">SUMIFS($C$10:$C$34,$K$10:$K$34,B175)</f>
        <v>9.5000000000000001E-2</v>
      </c>
      <c r="D175" s="150">
        <f t="shared" ref="D175:D195" si="10">SUMIFS($H$10:$H$34,$K$10:$K$34,B175)</f>
        <v>0.12871287128712872</v>
      </c>
      <c r="E175" s="23" t="s">
        <v>198</v>
      </c>
      <c r="F175" s="26" t="str">
        <f t="shared" si="7"/>
        <v>Lajes (9,5%)</v>
      </c>
      <c r="G175" s="26" t="str">
        <f t="shared" si="8"/>
        <v>Lajes (12,9%)</v>
      </c>
      <c r="H175" s="207">
        <f t="shared" ref="H175:H185" si="11">D175-C175</f>
        <v>3.3712871287128715E-2</v>
      </c>
      <c r="K175" s="23" t="s">
        <v>100</v>
      </c>
      <c r="L175" s="209">
        <f>M35</f>
        <v>9436.8488872209982</v>
      </c>
      <c r="M175" s="209">
        <f>M36</f>
        <v>8959.1929956950498</v>
      </c>
      <c r="Z175"/>
    </row>
    <row r="176" spans="2:26" ht="18" customHeight="1" x14ac:dyDescent="0.25">
      <c r="B176" s="33" t="s">
        <v>65</v>
      </c>
      <c r="C176" s="150">
        <f t="shared" si="9"/>
        <v>0.22</v>
      </c>
      <c r="D176" s="150">
        <f t="shared" si="10"/>
        <v>0.16501650165016502</v>
      </c>
      <c r="E176" s="23" t="s">
        <v>200</v>
      </c>
      <c r="F176" s="26" t="str">
        <f t="shared" si="7"/>
        <v>Galpões (22,0%)</v>
      </c>
      <c r="G176" s="26" t="str">
        <f t="shared" si="8"/>
        <v>Galpões (16,5%)</v>
      </c>
      <c r="H176" s="207">
        <f t="shared" si="11"/>
        <v>-5.4983498349834986E-2</v>
      </c>
      <c r="K176" s="23" t="s">
        <v>7</v>
      </c>
      <c r="L176" s="210">
        <f>N35</f>
        <v>0.86543222831543354</v>
      </c>
      <c r="M176" s="210">
        <f>N36</f>
        <v>0.8440353388223043</v>
      </c>
      <c r="Z176"/>
    </row>
    <row r="177" spans="2:26" ht="18" customHeight="1" x14ac:dyDescent="0.25">
      <c r="B177" s="33" t="s">
        <v>61</v>
      </c>
      <c r="C177" s="150">
        <f t="shared" si="9"/>
        <v>9.5000000000000001E-2</v>
      </c>
      <c r="D177" s="150">
        <f t="shared" si="10"/>
        <v>0.1617161716171617</v>
      </c>
      <c r="E177" s="23" t="s">
        <v>199</v>
      </c>
      <c r="F177" s="26" t="str">
        <f t="shared" si="7"/>
        <v>Shoppings (9,5%)</v>
      </c>
      <c r="G177" s="26" t="str">
        <f t="shared" si="8"/>
        <v>Shoppings (16,2%)</v>
      </c>
      <c r="H177" s="207">
        <f t="shared" si="11"/>
        <v>6.6716171617161701E-2</v>
      </c>
      <c r="K177" s="23" t="s">
        <v>210</v>
      </c>
      <c r="L177" s="211">
        <f>Q35</f>
        <v>0.12480970192036504</v>
      </c>
      <c r="M177" s="211">
        <f>Q36</f>
        <v>0.12563974253018176</v>
      </c>
      <c r="Z177"/>
    </row>
    <row r="178" spans="2:26" ht="18" customHeight="1" x14ac:dyDescent="0.25">
      <c r="B178" s="33" t="s">
        <v>19</v>
      </c>
      <c r="C178" s="150">
        <f t="shared" si="9"/>
        <v>0</v>
      </c>
      <c r="D178" s="150">
        <f t="shared" si="10"/>
        <v>0</v>
      </c>
      <c r="E178" s="23" t="s">
        <v>124</v>
      </c>
      <c r="F178" s="26" t="str">
        <f t="shared" si="7"/>
        <v>Híbridos (0,0%)</v>
      </c>
      <c r="G178" s="26" t="str">
        <f t="shared" si="8"/>
        <v>Híbridos (0,0%)</v>
      </c>
      <c r="H178" s="207">
        <f t="shared" si="11"/>
        <v>0</v>
      </c>
      <c r="K178" s="23" t="s">
        <v>211</v>
      </c>
      <c r="L178" s="211">
        <f>P35</f>
        <v>0.12485617780427001</v>
      </c>
      <c r="M178" s="211">
        <f>P36</f>
        <v>0.12483468905657424</v>
      </c>
      <c r="Z178"/>
    </row>
    <row r="179" spans="2:26" ht="18" customHeight="1" x14ac:dyDescent="0.25">
      <c r="B179" s="33" t="s">
        <v>180</v>
      </c>
      <c r="C179" s="150">
        <f t="shared" si="9"/>
        <v>7.0000000000000007E-2</v>
      </c>
      <c r="D179" s="150">
        <f t="shared" si="10"/>
        <v>0.11221122112211221</v>
      </c>
      <c r="E179" s="23" t="s">
        <v>180</v>
      </c>
      <c r="F179" s="26" t="str">
        <f t="shared" si="7"/>
        <v>Renda Urbana (7,0%)</v>
      </c>
      <c r="G179" s="26" t="str">
        <f t="shared" si="8"/>
        <v>Renda Urbana (11,2%)</v>
      </c>
      <c r="H179" s="207">
        <f t="shared" si="11"/>
        <v>4.2211221122112202E-2</v>
      </c>
      <c r="K179" s="23" t="s">
        <v>212</v>
      </c>
      <c r="L179" s="212">
        <f>R35</f>
        <v>10394.157999999999</v>
      </c>
      <c r="M179" s="212">
        <f>R36</f>
        <v>15855.323</v>
      </c>
      <c r="Z179"/>
    </row>
    <row r="180" spans="2:26" ht="18" customHeight="1" x14ac:dyDescent="0.25">
      <c r="B180" s="33" t="s">
        <v>179</v>
      </c>
      <c r="C180" s="150">
        <f t="shared" si="9"/>
        <v>0</v>
      </c>
      <c r="D180" s="150">
        <f t="shared" ref="D180:D181" si="12">SUMIFS($H$10:$H$34,$K$10:$K$34,B180)</f>
        <v>0</v>
      </c>
      <c r="E180" s="23" t="s">
        <v>179</v>
      </c>
      <c r="F180" s="26" t="str">
        <f t="shared" si="7"/>
        <v>Hedge Fund (0,0%)</v>
      </c>
      <c r="G180" s="26" t="str">
        <f t="shared" si="8"/>
        <v>Hedge Fund (0,0%)</v>
      </c>
      <c r="H180" s="207">
        <f t="shared" si="11"/>
        <v>0</v>
      </c>
      <c r="Z180"/>
    </row>
    <row r="181" spans="2:26" ht="18" customHeight="1" x14ac:dyDescent="0.25">
      <c r="B181" s="33" t="s">
        <v>43</v>
      </c>
      <c r="C181" s="150">
        <f t="shared" si="9"/>
        <v>0</v>
      </c>
      <c r="D181" s="150">
        <f t="shared" si="12"/>
        <v>0</v>
      </c>
      <c r="E181" s="23" t="s">
        <v>201</v>
      </c>
      <c r="F181" s="26" t="str">
        <f t="shared" si="7"/>
        <v>FOFs (0,0%)</v>
      </c>
      <c r="G181" s="26" t="str">
        <f t="shared" si="8"/>
        <v>FOFs (0,0%)</v>
      </c>
      <c r="H181" s="207">
        <f t="shared" si="11"/>
        <v>0</v>
      </c>
      <c r="Z181"/>
    </row>
    <row r="182" spans="2:26" ht="18" customHeight="1" x14ac:dyDescent="0.25">
      <c r="B182" s="33" t="s">
        <v>126</v>
      </c>
      <c r="C182" s="150">
        <f t="shared" si="9"/>
        <v>0</v>
      </c>
      <c r="D182" s="150">
        <f t="shared" si="10"/>
        <v>0</v>
      </c>
      <c r="E182" s="23" t="s">
        <v>202</v>
      </c>
      <c r="F182" s="26" t="str">
        <f t="shared" si="7"/>
        <v>Fiagro FII (0,0%)</v>
      </c>
      <c r="G182" s="26" t="str">
        <f t="shared" si="8"/>
        <v>Fiagro FII (0,0%)</v>
      </c>
      <c r="H182" s="207">
        <f t="shared" si="11"/>
        <v>0</v>
      </c>
      <c r="Z182"/>
    </row>
    <row r="183" spans="2:26" ht="18" customHeight="1" x14ac:dyDescent="0.25">
      <c r="B183" s="33" t="s">
        <v>118</v>
      </c>
      <c r="C183" s="150">
        <f t="shared" si="9"/>
        <v>0</v>
      </c>
      <c r="D183" s="150">
        <f t="shared" si="10"/>
        <v>0</v>
      </c>
      <c r="E183" s="23" t="s">
        <v>203</v>
      </c>
      <c r="F183" s="26" t="str">
        <f t="shared" si="7"/>
        <v>FI-Infras (0,0%)</v>
      </c>
      <c r="G183" s="26" t="str">
        <f t="shared" si="8"/>
        <v>FI-Infras (0,0%)</v>
      </c>
      <c r="H183" s="207">
        <f t="shared" si="11"/>
        <v>0</v>
      </c>
      <c r="Z183"/>
    </row>
    <row r="184" spans="2:26" ht="18" customHeight="1" x14ac:dyDescent="0.25">
      <c r="B184" s="66" t="s">
        <v>127</v>
      </c>
      <c r="C184" s="150">
        <f t="shared" si="9"/>
        <v>0</v>
      </c>
      <c r="D184" s="150">
        <f t="shared" si="10"/>
        <v>0</v>
      </c>
      <c r="E184" s="23" t="s">
        <v>204</v>
      </c>
      <c r="F184" s="26" t="str">
        <f t="shared" si="7"/>
        <v>Fiagro FIDC (0,0%)</v>
      </c>
      <c r="G184" s="26" t="str">
        <f t="shared" si="8"/>
        <v>Fiagro FIDC (0,0%)</v>
      </c>
      <c r="H184" s="207">
        <f t="shared" si="11"/>
        <v>0</v>
      </c>
      <c r="Z184"/>
    </row>
    <row r="185" spans="2:26" ht="18" customHeight="1" x14ac:dyDescent="0.25">
      <c r="B185" s="33" t="s">
        <v>21</v>
      </c>
      <c r="C185" s="206">
        <f>SUM(C187:C203)</f>
        <v>0</v>
      </c>
      <c r="D185" s="206">
        <f>SUM(D187:D203)</f>
        <v>0</v>
      </c>
      <c r="E185" s="23" t="s">
        <v>21</v>
      </c>
      <c r="F185" s="26" t="str">
        <f t="shared" si="7"/>
        <v>Outros (0,0%)</v>
      </c>
      <c r="G185" s="26" t="str">
        <f t="shared" si="8"/>
        <v>Outros (0,0%)</v>
      </c>
      <c r="H185" s="207">
        <f t="shared" si="11"/>
        <v>0</v>
      </c>
      <c r="Z185"/>
    </row>
    <row r="186" spans="2:26" ht="18" customHeight="1" x14ac:dyDescent="0.25">
      <c r="B186" s="26"/>
      <c r="C186" s="26"/>
      <c r="D186" s="26"/>
      <c r="Z186"/>
    </row>
    <row r="187" spans="2:26" ht="18" customHeight="1" x14ac:dyDescent="0.25">
      <c r="B187" s="26" t="s">
        <v>30</v>
      </c>
      <c r="C187" s="150">
        <f t="shared" ref="C187:C195" si="13">SUMIFS($C$10:$C$34,$K$10:$K$34,B187)</f>
        <v>0</v>
      </c>
      <c r="D187" s="150">
        <f t="shared" si="10"/>
        <v>0</v>
      </c>
      <c r="Z187"/>
    </row>
    <row r="188" spans="2:26" ht="18" customHeight="1" x14ac:dyDescent="0.25">
      <c r="B188" s="26" t="s">
        <v>62</v>
      </c>
      <c r="C188" s="150">
        <f t="shared" si="13"/>
        <v>0</v>
      </c>
      <c r="D188" s="150">
        <f t="shared" si="10"/>
        <v>0</v>
      </c>
      <c r="Z188"/>
    </row>
    <row r="189" spans="2:26" ht="18" customHeight="1" x14ac:dyDescent="0.25">
      <c r="B189" s="26" t="s">
        <v>113</v>
      </c>
      <c r="C189" s="150">
        <f t="shared" si="13"/>
        <v>0</v>
      </c>
      <c r="D189" s="150">
        <f t="shared" si="10"/>
        <v>0</v>
      </c>
      <c r="Z189"/>
    </row>
    <row r="190" spans="2:26" ht="18" customHeight="1" x14ac:dyDescent="0.25">
      <c r="B190" s="23" t="s">
        <v>20</v>
      </c>
      <c r="C190" s="150">
        <f t="shared" si="13"/>
        <v>0</v>
      </c>
      <c r="D190" s="150">
        <f t="shared" si="10"/>
        <v>0</v>
      </c>
      <c r="Z190"/>
    </row>
    <row r="191" spans="2:26" ht="18" customHeight="1" x14ac:dyDescent="0.25">
      <c r="B191" s="23" t="s">
        <v>67</v>
      </c>
      <c r="C191" s="150">
        <f t="shared" si="13"/>
        <v>0</v>
      </c>
      <c r="D191" s="150">
        <f t="shared" si="10"/>
        <v>0</v>
      </c>
      <c r="Z191"/>
    </row>
    <row r="192" spans="2:26" ht="18" customHeight="1" x14ac:dyDescent="0.25">
      <c r="B192" s="23" t="s">
        <v>28</v>
      </c>
      <c r="C192" s="150">
        <f t="shared" si="13"/>
        <v>0</v>
      </c>
      <c r="D192" s="150">
        <f t="shared" si="10"/>
        <v>0</v>
      </c>
      <c r="Z192"/>
    </row>
    <row r="193" spans="2:26" ht="18" customHeight="1" x14ac:dyDescent="0.25">
      <c r="B193" s="23" t="s">
        <v>21</v>
      </c>
      <c r="C193" s="150">
        <f t="shared" si="13"/>
        <v>0</v>
      </c>
      <c r="D193" s="150">
        <f t="shared" si="10"/>
        <v>0</v>
      </c>
      <c r="Z193"/>
    </row>
    <row r="194" spans="2:26" ht="18" customHeight="1" x14ac:dyDescent="0.25">
      <c r="B194" s="23" t="s">
        <v>66</v>
      </c>
      <c r="C194" s="150">
        <f t="shared" si="13"/>
        <v>0</v>
      </c>
      <c r="D194" s="150">
        <f t="shared" si="10"/>
        <v>0</v>
      </c>
      <c r="Z194"/>
    </row>
    <row r="195" spans="2:26" ht="18" customHeight="1" x14ac:dyDescent="0.25">
      <c r="B195" s="23" t="s">
        <v>25</v>
      </c>
      <c r="C195" s="150">
        <f t="shared" si="13"/>
        <v>0</v>
      </c>
      <c r="D195" s="150">
        <f t="shared" si="10"/>
        <v>0</v>
      </c>
      <c r="Z195"/>
    </row>
    <row r="196" spans="2:26" ht="18" customHeight="1" x14ac:dyDescent="0.25">
      <c r="C196" s="150"/>
      <c r="D196" s="150"/>
      <c r="Z196"/>
    </row>
    <row r="197" spans="2:26" ht="18" customHeight="1" x14ac:dyDescent="0.25">
      <c r="C197" s="150"/>
      <c r="D197" s="150"/>
      <c r="Z197"/>
    </row>
    <row r="198" spans="2:26" ht="18" customHeight="1" x14ac:dyDescent="0.25">
      <c r="Z198"/>
    </row>
    <row r="199" spans="2:26" ht="18" customHeight="1" x14ac:dyDescent="0.25">
      <c r="Z199"/>
    </row>
    <row r="200" spans="2:26" ht="18" customHeight="1" x14ac:dyDescent="0.25">
      <c r="Z200"/>
    </row>
    <row r="201" spans="2:26" ht="18" customHeight="1" x14ac:dyDescent="0.25">
      <c r="Z201"/>
    </row>
    <row r="202" spans="2:26" ht="18" customHeight="1" x14ac:dyDescent="0.25">
      <c r="Z202"/>
    </row>
    <row r="203" spans="2:26" ht="18" customHeight="1" x14ac:dyDescent="0.25">
      <c r="Z203"/>
    </row>
    <row r="204" spans="2:26" ht="0" hidden="1" customHeight="1" x14ac:dyDescent="0.25">
      <c r="Z204"/>
    </row>
    <row r="205" spans="2:26" ht="0" hidden="1" customHeight="1" x14ac:dyDescent="0.25">
      <c r="Z205"/>
    </row>
    <row r="206" spans="2:26" ht="0" hidden="1" customHeight="1" x14ac:dyDescent="0.25">
      <c r="Z206"/>
    </row>
    <row r="207" spans="2:26" ht="0" hidden="1" customHeight="1" x14ac:dyDescent="0.25">
      <c r="Z207"/>
    </row>
    <row r="208" spans="2:26" ht="0" hidden="1" customHeight="1" x14ac:dyDescent="0.25">
      <c r="Z208"/>
    </row>
    <row r="209" spans="26:26" ht="0" hidden="1" customHeight="1" x14ac:dyDescent="0.25">
      <c r="Z209"/>
    </row>
    <row r="210" spans="26:26" ht="0" hidden="1" customHeight="1" x14ac:dyDescent="0.25">
      <c r="Z210"/>
    </row>
    <row r="211" spans="26:26" ht="0" hidden="1" customHeight="1" x14ac:dyDescent="0.25">
      <c r="Z211"/>
    </row>
    <row r="212" spans="26:26" ht="0" hidden="1" customHeight="1" x14ac:dyDescent="0.25">
      <c r="Z212"/>
    </row>
    <row r="213" spans="26:26" ht="0" hidden="1" customHeight="1" x14ac:dyDescent="0.25">
      <c r="Z213"/>
    </row>
    <row r="214" spans="26:26" ht="0" hidden="1" customHeight="1" x14ac:dyDescent="0.25">
      <c r="Z214"/>
    </row>
    <row r="215" spans="26:26" ht="0" hidden="1" customHeight="1" x14ac:dyDescent="0.25">
      <c r="Z215"/>
    </row>
    <row r="216" spans="26:26" ht="0" hidden="1" customHeight="1" x14ac:dyDescent="0.25">
      <c r="Z216"/>
    </row>
    <row r="217" spans="26:26" ht="0" hidden="1" customHeight="1" x14ac:dyDescent="0.25">
      <c r="Z217"/>
    </row>
    <row r="218" spans="26:26" ht="0" hidden="1" customHeight="1" x14ac:dyDescent="0.25">
      <c r="Z218"/>
    </row>
  </sheetData>
  <mergeCells count="4">
    <mergeCell ref="J8:K8"/>
    <mergeCell ref="O8:Q8"/>
    <mergeCell ref="S8:U8"/>
    <mergeCell ref="B86:U86"/>
  </mergeCells>
  <conditionalFormatting sqref="T3:U3">
    <cfRule type="cellIs" dxfId="203" priority="1" operator="lessThan">
      <formula>0</formula>
    </cfRule>
    <cfRule type="cellIs" dxfId="202" priority="2" operator="greaterThan">
      <formula>0</formula>
    </cfRule>
  </conditionalFormatting>
  <hyperlinks>
    <hyperlink ref="U2" location="'Stock Guide'!A1" display="Stock Guide" xr:uid="{8D606ED6-52A5-4F45-B42B-237494167F0C}"/>
    <hyperlink ref="T2" location="Menu!A1" display="Menu" xr:uid="{851E3304-42A3-4F73-A838-343876C09B24}"/>
  </hyperlinks>
  <printOptions horizontalCentered="1" verticalCentered="1"/>
  <pageMargins left="0.05" right="0.05" top="0.05" bottom="0" header="0.05" footer="0.05"/>
  <pageSetup scale="44" orientation="landscape" r:id="rId1"/>
  <ignoredErrors>
    <ignoredError sqref="R35:R36"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A3E0-A044-4F85-8270-42DF85DC2527}">
  <sheetPr codeName="Sheet4"/>
  <dimension ref="A1:Q209"/>
  <sheetViews>
    <sheetView showGridLines="0" showRowColHeaders="0" zoomScale="90" zoomScaleNormal="90" workbookViewId="0">
      <pane ySplit="9" topLeftCell="A10" activePane="bottomLeft" state="frozen"/>
      <selection activeCell="D5" sqref="D5:D13"/>
      <selection pane="bottomLeft" activeCell="B9" sqref="B9:B74"/>
    </sheetView>
  </sheetViews>
  <sheetFormatPr defaultColWidth="0" defaultRowHeight="0" customHeight="1" zeroHeight="1" x14ac:dyDescent="0.2"/>
  <cols>
    <col min="1" max="1" width="0.5703125" style="10" customWidth="1"/>
    <col min="2" max="2" width="12.28515625" style="132" customWidth="1"/>
    <col min="3" max="3" width="49.5703125" style="139" bestFit="1" customWidth="1"/>
    <col min="4" max="4" width="13.7109375" style="139" customWidth="1"/>
    <col min="5" max="5" width="15.140625" style="87" customWidth="1"/>
    <col min="6" max="6" width="16.7109375" style="135" bestFit="1" customWidth="1"/>
    <col min="7" max="7" width="15.140625" style="136" customWidth="1"/>
    <col min="8" max="8" width="15.140625" style="188" customWidth="1"/>
    <col min="9" max="10" width="15.140625" style="86" customWidth="1"/>
    <col min="11" max="12" width="16.7109375" style="86" bestFit="1" customWidth="1"/>
    <col min="13" max="13" width="16.7109375" style="86" customWidth="1"/>
    <col min="14" max="14" width="15.140625" style="138" customWidth="1"/>
    <col min="15" max="16" width="15.140625" style="86" customWidth="1"/>
    <col min="17" max="17" width="0.42578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54" t="s">
        <v>57</v>
      </c>
      <c r="P2" s="182" t="s">
        <v>68</v>
      </c>
    </row>
    <row r="3" spans="1:16" ht="12.75" customHeight="1" x14ac:dyDescent="0.2">
      <c r="B3" s="15"/>
      <c r="C3" s="15"/>
      <c r="D3" s="15"/>
      <c r="E3" s="11"/>
      <c r="F3" s="12"/>
      <c r="G3" s="10"/>
      <c r="H3" s="10"/>
      <c r="I3" s="10"/>
      <c r="J3" s="10"/>
      <c r="K3" s="10"/>
      <c r="L3" s="10"/>
      <c r="M3" s="10"/>
      <c r="N3" s="10"/>
      <c r="O3" s="10"/>
      <c r="P3" s="10"/>
    </row>
    <row r="4" spans="1:16" ht="22.5" customHeight="1" x14ac:dyDescent="0.2">
      <c r="B4" s="272" t="str">
        <f>B8</f>
        <v>Recebível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2" t="s">
        <v>17</v>
      </c>
      <c r="E7" s="122" t="s">
        <v>59</v>
      </c>
      <c r="F7" s="123" t="s">
        <v>49</v>
      </c>
      <c r="G7" s="124" t="s">
        <v>55</v>
      </c>
      <c r="H7" s="124" t="s">
        <v>55</v>
      </c>
      <c r="I7" s="124" t="s">
        <v>51</v>
      </c>
      <c r="J7" s="124" t="s">
        <v>51</v>
      </c>
      <c r="K7" s="124" t="s">
        <v>52</v>
      </c>
      <c r="L7" s="124" t="s">
        <v>52</v>
      </c>
      <c r="M7" s="122" t="s">
        <v>17</v>
      </c>
      <c r="N7" s="125" t="s">
        <v>53</v>
      </c>
      <c r="O7" s="125" t="s">
        <v>53</v>
      </c>
      <c r="P7" s="125" t="s">
        <v>53</v>
      </c>
    </row>
    <row r="8" spans="1:16" ht="15" customHeight="1" x14ac:dyDescent="0.2">
      <c r="B8" s="271" t="s">
        <v>64</v>
      </c>
      <c r="C8" s="271"/>
      <c r="D8" s="170" t="s">
        <v>44</v>
      </c>
      <c r="E8" s="57">
        <f>SUMIFS('Stock Guide'!$H:$H,'Stock Guide'!$G:$G,B8)</f>
        <v>0.36761000000000005</v>
      </c>
      <c r="F8" s="171">
        <f>AVERAGEIFS('Stock Guide'!I:I,'Stock Guide'!$G:$G,B8)</f>
        <v>1876793.8723591075</v>
      </c>
      <c r="G8" s="171">
        <f>AVERAGEIFS('Stock Guide'!$M:$M,'Stock Guide'!$G:$G,B8)</f>
        <v>874936072.20969224</v>
      </c>
      <c r="H8" s="171">
        <f>AVERAGEIFS('Stock Guide'!$N:$N,'Stock Guide'!$G:$G,B8)</f>
        <v>1022755116.2427695</v>
      </c>
      <c r="I8" s="172">
        <f>AVERAGEIFS('Stock Guide'!$O:$O,'Stock Guide'!$G:$G,B8)</f>
        <v>0.78179102507748544</v>
      </c>
      <c r="J8" s="172">
        <f>AVERAGEIFS('Stock Guide'!$P:$P,'Stock Guide'!$G:$G,B8)</f>
        <v>0.86063518669328121</v>
      </c>
      <c r="K8" s="57">
        <f>AVERAGEIFS('Stock Guide'!$Q:$Q,'Stock Guide'!$G:$G,B8)</f>
        <v>0.16614556465734376</v>
      </c>
      <c r="L8" s="57">
        <f>AVERAGEIFS('Stock Guide'!$R:$R,'Stock Guide'!$G:$G,B8)</f>
        <v>0.1599020337988033</v>
      </c>
      <c r="M8" s="170" t="s">
        <v>44</v>
      </c>
      <c r="N8" s="57">
        <f>AVERAGEIFS('Stock Guide'!$U:$U,'Stock Guide'!$G:$G,$B8)</f>
        <v>-3.1966019843879381E-2</v>
      </c>
      <c r="O8" s="57">
        <f>AVERAGEIFS('Stock Guide'!$V:$V,'Stock Guide'!$G:$G,$B8)</f>
        <v>-2.7109576523970315E-2</v>
      </c>
      <c r="P8" s="57">
        <f>AVERAGEIFS('Stock Guide'!$W:$W,'Stock Guide'!$G:$G,$B8)</f>
        <v>4.8648217760906255E-2</v>
      </c>
    </row>
    <row r="9" spans="1:16" s="5" customFormat="1" ht="16.5" customHeight="1" x14ac:dyDescent="0.2">
      <c r="A9" s="18"/>
      <c r="B9" s="118" t="s">
        <v>11</v>
      </c>
      <c r="C9" s="94" t="s">
        <v>64</v>
      </c>
      <c r="D9" s="122" t="s">
        <v>17</v>
      </c>
      <c r="E9" s="122" t="s">
        <v>46</v>
      </c>
      <c r="F9" s="126" t="s">
        <v>49</v>
      </c>
      <c r="G9" s="122" t="s">
        <v>17</v>
      </c>
      <c r="H9" s="122" t="s">
        <v>17</v>
      </c>
      <c r="I9" s="122" t="s">
        <v>44</v>
      </c>
      <c r="J9" s="127" t="s">
        <v>44</v>
      </c>
      <c r="K9" s="127" t="s">
        <v>56</v>
      </c>
      <c r="L9" s="127" t="s">
        <v>56</v>
      </c>
      <c r="M9" s="122" t="s">
        <v>161</v>
      </c>
      <c r="N9" s="122" t="s">
        <v>46</v>
      </c>
      <c r="O9" s="122" t="s">
        <v>46</v>
      </c>
      <c r="P9" s="122" t="s">
        <v>46</v>
      </c>
    </row>
    <row r="10" spans="1:16" ht="16.5" customHeight="1" x14ac:dyDescent="0.2">
      <c r="B10" s="131" t="s">
        <v>339</v>
      </c>
      <c r="C10" s="132" t="str">
        <f>IF(B10="","",(VLOOKUP(B10,'Stock Guide'!$B:$D,3,0)))</f>
        <v>AF Invest CRI Recebíveis FII</v>
      </c>
      <c r="D10" s="133">
        <f>IF(B10="","",SUMIFS('Stock Guide'!$J:$J,'Stock Guide'!$B:$B,B10))</f>
        <v>93.15</v>
      </c>
      <c r="E10" s="134">
        <f>IF(B10="","",SUMIFS('Stock Guide'!$H:$H,'Stock Guide'!$B:$B,B10))</f>
        <v>3.5400000000000002E-3</v>
      </c>
      <c r="F10" s="135">
        <f>IF(B10="","",SUMIFS('Stock Guide'!I:I,'Stock Guide'!$B:$B,B10))</f>
        <v>681268.42523000005</v>
      </c>
      <c r="G10" s="136">
        <f>IF(B10="","",SUMIFS('Stock Guide'!$M:$M,'Stock Guide'!$B:$B,B10))</f>
        <v>492652744.64999998</v>
      </c>
      <c r="H10" s="136">
        <f>IF(B10="","",SUMIFS('Stock Guide'!$N:$N,'Stock Guide'!$B:$B,B10))</f>
        <v>503539844.43000001</v>
      </c>
      <c r="I10" s="137">
        <f>IF(B10="","",SUMIFS('Stock Guide'!$O:$O,'Stock Guide'!$B:$B,B10))</f>
        <v>0.97837887130396983</v>
      </c>
      <c r="J10" s="137">
        <f>IF(B10="","",SUMIFS('Stock Guide'!$P:$P,'Stock Guide'!$B:$B,B10))</f>
        <v>1.0130099168</v>
      </c>
      <c r="K10" s="134">
        <f>IF(B10="","",SUMIFS('Stock Guide'!$Q:$Q,'Stock Guide'!$B:$B,B10))</f>
        <v>0.12946859902999999</v>
      </c>
      <c r="L10" s="134">
        <f>IF(B10="","",SUMIFS('Stock Guide'!$R:$R,'Stock Guide'!$B:$B,B10))</f>
        <v>0.1288244766505636</v>
      </c>
      <c r="M10" s="133">
        <f>IF(B10="","",SUMIFS('Stock Guide'!$T:$T,'Stock Guide'!$B:$B,B10))</f>
        <v>1</v>
      </c>
      <c r="N10" s="138">
        <f>IFERROR(IF(B10="","",AVERAGEIFS('Stock Guide'!$U:$U,'Stock Guide'!$B:$B,B10)),"-")</f>
        <v>-2.6197980332999999E-3</v>
      </c>
      <c r="O10" s="138">
        <f>IFERROR(IF(B10="","",AVERAGEIFS('Stock Guide'!$V:$V,'Stock Guide'!$B:$B,B10)),"-")</f>
        <v>5.8189061277999998E-2</v>
      </c>
      <c r="P10" s="138">
        <f>IFERROR(IF(B10="","",AVERAGEIFS('Stock Guide'!$W:$W,'Stock Guide'!$B:$B,B10)),"-")</f>
        <v>0.16238601818000001</v>
      </c>
    </row>
    <row r="11" spans="1:16" ht="16.5" customHeight="1" x14ac:dyDescent="0.2">
      <c r="B11" s="131" t="s">
        <v>346</v>
      </c>
      <c r="C11" s="132" t="str">
        <f>IF(B11="","",(VLOOKUP(B11,'Stock Guide'!$B:$D,3,0)))</f>
        <v>Alianza Crédito Imobiliário FII</v>
      </c>
      <c r="D11" s="133">
        <f>IF(B11="","",SUMIFS('Stock Guide'!$J:$J,'Stock Guide'!$B:$B,B11))</f>
        <v>7.47</v>
      </c>
      <c r="E11" s="134">
        <f>IF(B11="","",SUMIFS('Stock Guide'!$H:$H,'Stock Guide'!$B:$B,B11))</f>
        <v>0</v>
      </c>
      <c r="F11" s="135">
        <f>IF(B11="","",SUMIFS('Stock Guide'!I:I,'Stock Guide'!$B:$B,B11))</f>
        <v>225645.14292000001</v>
      </c>
      <c r="G11" s="136">
        <f>IF(B11="","",SUMIFS('Stock Guide'!$M:$M,'Stock Guide'!$B:$B,B11))</f>
        <v>181895725.08000001</v>
      </c>
      <c r="H11" s="136">
        <f>IF(B11="","",SUMIFS('Stock Guide'!$N:$N,'Stock Guide'!$B:$B,B11))</f>
        <v>222824289.16</v>
      </c>
      <c r="I11" s="137">
        <f>IF(B11="","",SUMIFS('Stock Guide'!$O:$O,'Stock Guide'!$B:$B,B11))</f>
        <v>0.81631910850342249</v>
      </c>
      <c r="J11" s="137">
        <f>IF(B11="","",SUMIFS('Stock Guide'!$P:$P,'Stock Guide'!$B:$B,B11))</f>
        <v>0.82419992142999998</v>
      </c>
      <c r="K11" s="134">
        <f>IF(B11="","",SUMIFS('Stock Guide'!$Q:$Q,'Stock Guide'!$B:$B,B11))</f>
        <v>0.16291834003</v>
      </c>
      <c r="L11" s="134">
        <f>IF(B11="","",SUMIFS('Stock Guide'!$R:$R,'Stock Guide'!$B:$B,B11))</f>
        <v>0.16064257028112452</v>
      </c>
      <c r="M11" s="133">
        <f>IF(B11="","",SUMIFS('Stock Guide'!$T:$T,'Stock Guide'!$B:$B,B11))</f>
        <v>0.1</v>
      </c>
      <c r="N11" s="138">
        <f>IFERROR(IF(B11="","",AVERAGEIFS('Stock Guide'!$U:$U,'Stock Guide'!$B:$B,B11)),"-")</f>
        <v>1.9347240916E-2</v>
      </c>
      <c r="O11" s="138">
        <f>IFERROR(IF(B11="","",AVERAGEIFS('Stock Guide'!$V:$V,'Stock Guide'!$B:$B,B11)),"-")</f>
        <v>7.2841591750999996E-2</v>
      </c>
      <c r="P11" s="138">
        <f>IFERROR(IF(B11="","",AVERAGEIFS('Stock Guide'!$W:$W,'Stock Guide'!$B:$B,B11)),"-")</f>
        <v>0.16597329286000001</v>
      </c>
    </row>
    <row r="12" spans="1:16" ht="16.5" customHeight="1" x14ac:dyDescent="0.2">
      <c r="B12" s="131" t="s">
        <v>354</v>
      </c>
      <c r="C12" s="132" t="str">
        <f>IF(B12="","",(VLOOKUP(B12,'Stock Guide'!$B:$D,3,0)))</f>
        <v>Open K Ativos e Recebíveis Imobiliários FII</v>
      </c>
      <c r="D12" s="133">
        <f>IF(B12="","",SUMIFS('Stock Guide'!$J:$J,'Stock Guide'!$B:$B,B12))</f>
        <v>4.6399999999999997</v>
      </c>
      <c r="E12" s="134">
        <f>IF(B12="","",SUMIFS('Stock Guide'!$H:$H,'Stock Guide'!$B:$B,B12))</f>
        <v>0</v>
      </c>
      <c r="F12" s="135">
        <f>IF(B12="","",SUMIFS('Stock Guide'!I:I,'Stock Guide'!$B:$B,B12))</f>
        <v>176289.94477</v>
      </c>
      <c r="G12" s="136">
        <f>IF(B12="","",SUMIFS('Stock Guide'!$M:$M,'Stock Guide'!$B:$B,B12))</f>
        <v>96173154.719999999</v>
      </c>
      <c r="H12" s="136">
        <f>IF(B12="","",SUMIFS('Stock Guide'!$N:$N,'Stock Guide'!$B:$B,B12))</f>
        <v>175124279.91</v>
      </c>
      <c r="I12" s="137">
        <f>IF(B12="","",SUMIFS('Stock Guide'!$O:$O,'Stock Guide'!$B:$B,B12))</f>
        <v>0.54917087892909755</v>
      </c>
      <c r="J12" s="137">
        <f>IF(B12="","",SUMIFS('Stock Guide'!$P:$P,'Stock Guide'!$B:$B,B12))</f>
        <v>0.80883699633999995</v>
      </c>
      <c r="K12" s="134">
        <f>IF(B12="","",SUMIFS('Stock Guide'!$Q:$Q,'Stock Guide'!$B:$B,B12))</f>
        <v>0.21120689655</v>
      </c>
      <c r="L12" s="134">
        <f>IF(B12="","",SUMIFS('Stock Guide'!$R:$R,'Stock Guide'!$B:$B,B12))</f>
        <v>0.18103448275862072</v>
      </c>
      <c r="M12" s="133">
        <f>IF(B12="","",SUMIFS('Stock Guide'!$T:$T,'Stock Guide'!$B:$B,B12))</f>
        <v>7.0000000000000007E-2</v>
      </c>
      <c r="N12" s="138">
        <f>IFERROR(IF(B12="","",AVERAGEIFS('Stock Guide'!$U:$U,'Stock Guide'!$B:$B,B12)),"-")</f>
        <v>1.7543859649000001E-2</v>
      </c>
      <c r="O12" s="138">
        <f>IFERROR(IF(B12="","",AVERAGEIFS('Stock Guide'!$V:$V,'Stock Guide'!$B:$B,B12)),"-")</f>
        <v>-0.24690250516000001</v>
      </c>
      <c r="P12" s="138">
        <f>IFERROR(IF(B12="","",AVERAGEIFS('Stock Guide'!$W:$W,'Stock Guide'!$B:$B,B12)),"-")</f>
        <v>-0.18560782255</v>
      </c>
    </row>
    <row r="13" spans="1:16" ht="16.5" customHeight="1" x14ac:dyDescent="0.2">
      <c r="B13" s="131" t="s">
        <v>788</v>
      </c>
      <c r="C13" s="132" t="str">
        <f>IF(B13="","",(VLOOKUP(B13,'Stock Guide'!$B:$D,3,0)))</f>
        <v>-</v>
      </c>
      <c r="D13" s="133">
        <f>IF(B13="","",SUMIFS('Stock Guide'!$J:$J,'Stock Guide'!$B:$B,B13))</f>
        <v>7.15</v>
      </c>
      <c r="E13" s="134">
        <f>IF(B13="","",SUMIFS('Stock Guide'!$H:$H,'Stock Guide'!$B:$B,B13))</f>
        <v>0</v>
      </c>
      <c r="F13" s="135">
        <f>IF(B13="","",SUMIFS('Stock Guide'!I:I,'Stock Guide'!$B:$B,B13))</f>
        <v>67940.721384999997</v>
      </c>
      <c r="G13" s="136">
        <f>IF(B13="","",SUMIFS('Stock Guide'!$M:$M,'Stock Guide'!$B:$B,B13))</f>
        <v>67922447.450000003</v>
      </c>
      <c r="H13" s="136">
        <f>IF(B13="","",SUMIFS('Stock Guide'!$N:$N,'Stock Guide'!$B:$B,B13))</f>
        <v>96287692.680000007</v>
      </c>
      <c r="I13" s="137">
        <f>IF(B13="","",SUMIFS('Stock Guide'!$O:$O,'Stock Guide'!$B:$B,B13))</f>
        <v>0.70541151791570789</v>
      </c>
      <c r="J13" s="137">
        <f>IF(B13="","",SUMIFS('Stock Guide'!$P:$P,'Stock Guide'!$B:$B,B13))</f>
        <v>0</v>
      </c>
      <c r="K13" s="134">
        <f>IF(B13="","",SUMIFS('Stock Guide'!$Q:$Q,'Stock Guide'!$B:$B,B13))</f>
        <v>0</v>
      </c>
      <c r="L13" s="134">
        <f>IF(B13="","",SUMIFS('Stock Guide'!$R:$R,'Stock Guide'!$B:$B,B13))</f>
        <v>0.1846153846153846</v>
      </c>
      <c r="M13" s="133">
        <f>IF(B13="","",SUMIFS('Stock Guide'!$T:$T,'Stock Guide'!$B:$B,B13))</f>
        <v>0.11</v>
      </c>
      <c r="N13" s="138">
        <f>IFERROR(IF(B13="","",AVERAGEIFS('Stock Guide'!$U:$U,'Stock Guide'!$B:$B,B13)),"-")</f>
        <v>-1.1385884894E-2</v>
      </c>
      <c r="O13" s="138" t="str">
        <f>IFERROR(IF(B13="","",AVERAGEIFS('Stock Guide'!$V:$V,'Stock Guide'!$B:$B,B13)),"-")</f>
        <v>-</v>
      </c>
      <c r="P13" s="138" t="str">
        <f>IFERROR(IF(B13="","",AVERAGEIFS('Stock Guide'!$W:$W,'Stock Guide'!$B:$B,B13)),"-")</f>
        <v>-</v>
      </c>
    </row>
    <row r="14" spans="1:16" ht="16.5" customHeight="1" x14ac:dyDescent="0.2">
      <c r="B14" s="131" t="s">
        <v>358</v>
      </c>
      <c r="C14" s="132" t="str">
        <f>IF(B14="","",(VLOOKUP(B14,'Stock Guide'!$B:$D,3,0)))</f>
        <v>ARX Dover Recebíveis FII</v>
      </c>
      <c r="D14" s="133">
        <f>IF(B14="","",SUMIFS('Stock Guide'!$J:$J,'Stock Guide'!$B:$B,B14))</f>
        <v>7.58</v>
      </c>
      <c r="E14" s="134">
        <f>IF(B14="","",SUMIFS('Stock Guide'!$H:$H,'Stock Guide'!$B:$B,B14))</f>
        <v>0</v>
      </c>
      <c r="F14" s="135">
        <f>IF(B14="","",SUMIFS('Stock Guide'!I:I,'Stock Guide'!$B:$B,B14))</f>
        <v>63631.760461999998</v>
      </c>
      <c r="G14" s="136">
        <f>IF(B14="","",SUMIFS('Stock Guide'!$M:$M,'Stock Guide'!$B:$B,B14))</f>
        <v>65596796.979999997</v>
      </c>
      <c r="H14" s="136">
        <f>IF(B14="","",SUMIFS('Stock Guide'!$N:$N,'Stock Guide'!$B:$B,B14))</f>
        <v>78715003.989999995</v>
      </c>
      <c r="I14" s="137">
        <f>IF(B14="","",SUMIFS('Stock Guide'!$O:$O,'Stock Guide'!$B:$B,B14))</f>
        <v>0.83334553331577621</v>
      </c>
      <c r="J14" s="137">
        <f>IF(B14="","",SUMIFS('Stock Guide'!$P:$P,'Stock Guide'!$B:$B,B14))</f>
        <v>0.84061424151999997</v>
      </c>
      <c r="K14" s="134">
        <f>IF(B14="","",SUMIFS('Stock Guide'!$Q:$Q,'Stock Guide'!$B:$B,B14))</f>
        <v>0.14577836412</v>
      </c>
      <c r="L14" s="134">
        <f>IF(B14="","",SUMIFS('Stock Guide'!$R:$R,'Stock Guide'!$B:$B,B14))</f>
        <v>0.14248021108179418</v>
      </c>
      <c r="M14" s="133">
        <f>IF(B14="","",SUMIFS('Stock Guide'!$T:$T,'Stock Guide'!$B:$B,B14))</f>
        <v>0.09</v>
      </c>
      <c r="N14" s="138">
        <f>IFERROR(IF(B14="","",AVERAGEIFS('Stock Guide'!$U:$U,'Stock Guide'!$B:$B,B14)),"-")</f>
        <v>-2.3195876289000002E-2</v>
      </c>
      <c r="O14" s="138">
        <f>IFERROR(IF(B14="","",AVERAGEIFS('Stock Guide'!$V:$V,'Stock Guide'!$B:$B,B14)),"-")</f>
        <v>7.3926030424999997E-2</v>
      </c>
      <c r="P14" s="138">
        <f>IFERROR(IF(B14="","",AVERAGEIFS('Stock Guide'!$W:$W,'Stock Guide'!$B:$B,B14)),"-")</f>
        <v>0.17499246905999999</v>
      </c>
    </row>
    <row r="15" spans="1:16" ht="16.5" customHeight="1" x14ac:dyDescent="0.2">
      <c r="B15" s="131" t="s">
        <v>374</v>
      </c>
      <c r="C15" s="132" t="str">
        <f>IF(B15="","",(VLOOKUP(B15,'Stock Guide'!$B:$D,3,0)))</f>
        <v>Banestes Recebíveis Imobiliários FII</v>
      </c>
      <c r="D15" s="133">
        <f>IF(B15="","",SUMIFS('Stock Guide'!$J:$J,'Stock Guide'!$B:$B,B15))</f>
        <v>57.5</v>
      </c>
      <c r="E15" s="134">
        <f>IF(B15="","",SUMIFS('Stock Guide'!$H:$H,'Stock Guide'!$B:$B,B15))</f>
        <v>2.4399999999999999E-3</v>
      </c>
      <c r="F15" s="135">
        <f>IF(B15="","",SUMIFS('Stock Guide'!I:I,'Stock Guide'!$B:$B,B15))</f>
        <v>346838.47415000002</v>
      </c>
      <c r="G15" s="136">
        <f>IF(B15="","",SUMIFS('Stock Guide'!$M:$M,'Stock Guide'!$B:$B,B15))</f>
        <v>359827697.5</v>
      </c>
      <c r="H15" s="136">
        <f>IF(B15="","",SUMIFS('Stock Guide'!$N:$N,'Stock Guide'!$B:$B,B15))</f>
        <v>534064507.07999998</v>
      </c>
      <c r="I15" s="137">
        <f>IF(B15="","",SUMIFS('Stock Guide'!$O:$O,'Stock Guide'!$B:$B,B15))</f>
        <v>0.67375325027188104</v>
      </c>
      <c r="J15" s="137">
        <f>IF(B15="","",SUMIFS('Stock Guide'!$P:$P,'Stock Guide'!$B:$B,B15))</f>
        <v>0.80474642951999997</v>
      </c>
      <c r="K15" s="134">
        <f>IF(B15="","",SUMIFS('Stock Guide'!$Q:$Q,'Stock Guide'!$B:$B,B15))</f>
        <v>0.16713043478</v>
      </c>
      <c r="L15" s="134">
        <f>IF(B15="","",SUMIFS('Stock Guide'!$R:$R,'Stock Guide'!$B:$B,B15))</f>
        <v>0.16695652173913045</v>
      </c>
      <c r="M15" s="133">
        <f>IF(B15="","",SUMIFS('Stock Guide'!$T:$T,'Stock Guide'!$B:$B,B15))</f>
        <v>0.8</v>
      </c>
      <c r="N15" s="138">
        <f>IFERROR(IF(B15="","",AVERAGEIFS('Stock Guide'!$U:$U,'Stock Guide'!$B:$B,B15)),"-")</f>
        <v>-2.6908106279000001E-2</v>
      </c>
      <c r="O15" s="138">
        <f>IFERROR(IF(B15="","",AVERAGEIFS('Stock Guide'!$V:$V,'Stock Guide'!$B:$B,B15)),"-")</f>
        <v>-8.2624691634000005E-2</v>
      </c>
      <c r="P15" s="138">
        <f>IFERROR(IF(B15="","",AVERAGEIFS('Stock Guide'!$W:$W,'Stock Guide'!$B:$B,B15)),"-")</f>
        <v>4.8343213146E-2</v>
      </c>
    </row>
    <row r="16" spans="1:16" ht="16.5" customHeight="1" x14ac:dyDescent="0.2">
      <c r="B16" s="131" t="s">
        <v>117</v>
      </c>
      <c r="C16" s="132" t="str">
        <f>IF(B16="","",(VLOOKUP(B16,'Stock Guide'!$B:$D,3,0)))</f>
        <v>BTG Pactual Crédito Imobiliário FII</v>
      </c>
      <c r="D16" s="133">
        <f>IF(B16="","",SUMIFS('Stock Guide'!$J:$J,'Stock Guide'!$B:$B,B16))</f>
        <v>9</v>
      </c>
      <c r="E16" s="134">
        <f>IF(B16="","",SUMIFS('Stock Guide'!$H:$H,'Stock Guide'!$B:$B,B16))</f>
        <v>6.0600000000000003E-3</v>
      </c>
      <c r="F16" s="135">
        <f>IF(B16="","",SUMIFS('Stock Guide'!I:I,'Stock Guide'!$B:$B,B16))</f>
        <v>3504861.6468000002</v>
      </c>
      <c r="G16" s="136">
        <f>IF(B16="","",SUMIFS('Stock Guide'!$M:$M,'Stock Guide'!$B:$B,B16))</f>
        <v>895690548</v>
      </c>
      <c r="H16" s="136">
        <f>IF(B16="","",SUMIFS('Stock Guide'!$N:$N,'Stock Guide'!$B:$B,B16))</f>
        <v>1003960405.4</v>
      </c>
      <c r="I16" s="137">
        <f>IF(B16="","",SUMIFS('Stock Guide'!$O:$O,'Stock Guide'!$B:$B,B16))</f>
        <v>0.8921572436346602</v>
      </c>
      <c r="J16" s="137">
        <f>IF(B16="","",SUMIFS('Stock Guide'!$P:$P,'Stock Guide'!$B:$B,B16))</f>
        <v>0.92960381216999999</v>
      </c>
      <c r="K16" s="134">
        <f>IF(B16="","",SUMIFS('Stock Guide'!$Q:$Q,'Stock Guide'!$B:$B,B16))</f>
        <v>0.13055555556000001</v>
      </c>
      <c r="L16" s="134">
        <f>IF(B16="","",SUMIFS('Stock Guide'!$R:$R,'Stock Guide'!$B:$B,B16))</f>
        <v>0.13733333333333334</v>
      </c>
      <c r="M16" s="133">
        <f>IF(B16="","",SUMIFS('Stock Guide'!$T:$T,'Stock Guide'!$B:$B,B16))</f>
        <v>0.10299999999999999</v>
      </c>
      <c r="N16" s="138">
        <f>IFERROR(IF(B16="","",AVERAGEIFS('Stock Guide'!$U:$U,'Stock Guide'!$B:$B,B16)),"-")</f>
        <v>-4.0443824091000004E-3</v>
      </c>
      <c r="O16" s="138">
        <f>IFERROR(IF(B16="","",AVERAGEIFS('Stock Guide'!$V:$V,'Stock Guide'!$B:$B,B16)),"-")</f>
        <v>4.8974723013000002E-2</v>
      </c>
      <c r="P16" s="138">
        <f>IFERROR(IF(B16="","",AVERAGEIFS('Stock Guide'!$W:$W,'Stock Guide'!$B:$B,B16)),"-")</f>
        <v>0.12285467526</v>
      </c>
    </row>
    <row r="17" spans="2:16" ht="16.5" customHeight="1" x14ac:dyDescent="0.2">
      <c r="B17" s="131" t="s">
        <v>398</v>
      </c>
      <c r="C17" s="132" t="str">
        <f>IF(B17="","",(VLOOKUP(B17,'Stock Guide'!$B:$D,3,0)))</f>
        <v>Cartesia Recebíveis Imobiliários FII</v>
      </c>
      <c r="D17" s="133">
        <f>IF(B17="","",SUMIFS('Stock Guide'!$J:$J,'Stock Guide'!$B:$B,B17))</f>
        <v>16.510000000000002</v>
      </c>
      <c r="E17" s="134">
        <f>IF(B17="","",SUMIFS('Stock Guide'!$H:$H,'Stock Guide'!$B:$B,B17))</f>
        <v>5.0000000000000001E-4</v>
      </c>
      <c r="F17" s="135">
        <f>IF(B17="","",SUMIFS('Stock Guide'!I:I,'Stock Guide'!$B:$B,B17))</f>
        <v>883117.86369000003</v>
      </c>
      <c r="G17" s="136">
        <f>IF(B17="","",SUMIFS('Stock Guide'!$M:$M,'Stock Guide'!$B:$B,B17))</f>
        <v>79847709.239999995</v>
      </c>
      <c r="H17" s="136">
        <f>IF(B17="","",SUMIFS('Stock Guide'!$N:$N,'Stock Guide'!$B:$B,B17))</f>
        <v>494055279.42000002</v>
      </c>
      <c r="I17" s="137">
        <f>IF(B17="","",SUMIFS('Stock Guide'!$O:$O,'Stock Guide'!$B:$B,B17))</f>
        <v>0.16161695374197363</v>
      </c>
      <c r="J17" s="137">
        <f>IF(B17="","",SUMIFS('Stock Guide'!$P:$P,'Stock Guide'!$B:$B,B17))</f>
        <v>1.0516691653000001</v>
      </c>
      <c r="K17" s="134">
        <f>IF(B17="","",SUMIFS('Stock Guide'!$Q:$Q,'Stock Guide'!$B:$B,B17))</f>
        <v>0.63597819502999997</v>
      </c>
      <c r="L17" s="134">
        <f>IF(B17="","",SUMIFS('Stock Guide'!$R:$R,'Stock Guide'!$B:$B,B17))</f>
        <v>0</v>
      </c>
      <c r="M17" s="133">
        <f>IF(B17="","",SUMIFS('Stock Guide'!$T:$T,'Stock Guide'!$B:$B,B17))</f>
        <v>0</v>
      </c>
      <c r="N17" s="138">
        <f>IFERROR(IF(B17="","",AVERAGEIFS('Stock Guide'!$U:$U,'Stock Guide'!$B:$B,B17)),"-")</f>
        <v>4.8253968254000003E-2</v>
      </c>
      <c r="O17" s="138">
        <f>IFERROR(IF(B17="","",AVERAGEIFS('Stock Guide'!$V:$V,'Stock Guide'!$B:$B,B17)),"-")</f>
        <v>-0.77838583624000002</v>
      </c>
      <c r="P17" s="138">
        <f>IFERROR(IF(B17="","",AVERAGEIFS('Stock Guide'!$W:$W,'Stock Guide'!$B:$B,B17)),"-")</f>
        <v>-0.76894412350999997</v>
      </c>
    </row>
    <row r="18" spans="2:16" ht="16.5" customHeight="1" x14ac:dyDescent="0.2">
      <c r="B18" s="131" t="s">
        <v>168</v>
      </c>
      <c r="C18" s="132" t="str">
        <f>IF(B18="","",(VLOOKUP(B18,'Stock Guide'!$B:$D,3,0)))</f>
        <v>Clave Índices de Preços FII</v>
      </c>
      <c r="D18" s="133">
        <f>IF(B18="","",SUMIFS('Stock Guide'!$J:$J,'Stock Guide'!$B:$B,B18))</f>
        <v>83.99</v>
      </c>
      <c r="E18" s="134">
        <f>IF(B18="","",SUMIFS('Stock Guide'!$H:$H,'Stock Guide'!$B:$B,B18))</f>
        <v>2.47E-3</v>
      </c>
      <c r="F18" s="135">
        <f>IF(B18="","",SUMIFS('Stock Guide'!I:I,'Stock Guide'!$B:$B,B18))</f>
        <v>2115819.4019999998</v>
      </c>
      <c r="G18" s="136">
        <f>IF(B18="","",SUMIFS('Stock Guide'!$M:$M,'Stock Guide'!$B:$B,B18))</f>
        <v>365084624.37</v>
      </c>
      <c r="H18" s="136">
        <f>IF(B18="","",SUMIFS('Stock Guide'!$N:$N,'Stock Guide'!$B:$B,B18))</f>
        <v>429449766.14999998</v>
      </c>
      <c r="I18" s="137">
        <f>IF(B18="","",SUMIFS('Stock Guide'!$O:$O,'Stock Guide'!$B:$B,B18))</f>
        <v>0.85012183763183546</v>
      </c>
      <c r="J18" s="137">
        <f>IF(B18="","",SUMIFS('Stock Guide'!$P:$P,'Stock Guide'!$B:$B,B18))</f>
        <v>0.90246950695000006</v>
      </c>
      <c r="K18" s="134">
        <f>IF(B18="","",SUMIFS('Stock Guide'!$Q:$Q,'Stock Guide'!$B:$B,B18))</f>
        <v>0.14358852244</v>
      </c>
      <c r="L18" s="134">
        <f>IF(B18="","",SUMIFS('Stock Guide'!$R:$R,'Stock Guide'!$B:$B,B18))</f>
        <v>0.14287415168472437</v>
      </c>
      <c r="M18" s="133">
        <f>IF(B18="","",SUMIFS('Stock Guide'!$T:$T,'Stock Guide'!$B:$B,B18))</f>
        <v>1</v>
      </c>
      <c r="N18" s="138">
        <f>IFERROR(IF(B18="","",AVERAGEIFS('Stock Guide'!$U:$U,'Stock Guide'!$B:$B,B18)),"-")</f>
        <v>-3.8184029021000002E-2</v>
      </c>
      <c r="O18" s="138">
        <f>IFERROR(IF(B18="","",AVERAGEIFS('Stock Guide'!$V:$V,'Stock Guide'!$B:$B,B18)),"-")</f>
        <v>4.3573507249999997E-2</v>
      </c>
      <c r="P18" s="138">
        <f>IFERROR(IF(B18="","",AVERAGEIFS('Stock Guide'!$W:$W,'Stock Guide'!$B:$B,B18)),"-")</f>
        <v>8.2571829326999996E-2</v>
      </c>
    </row>
    <row r="19" spans="2:16" ht="16.5" customHeight="1" x14ac:dyDescent="0.2">
      <c r="B19" s="131" t="s">
        <v>424</v>
      </c>
      <c r="C19" s="132" t="str">
        <f>IF(B19="","",(VLOOKUP(B19,'Stock Guide'!$B:$D,3,0)))</f>
        <v>Cyrela Crédito FII</v>
      </c>
      <c r="D19" s="133">
        <f>IF(B19="","",SUMIFS('Stock Guide'!$J:$J,'Stock Guide'!$B:$B,B19))</f>
        <v>8.35</v>
      </c>
      <c r="E19" s="134">
        <f>IF(B19="","",SUMIFS('Stock Guide'!$H:$H,'Stock Guide'!$B:$B,B19))</f>
        <v>2.0600000000000002E-3</v>
      </c>
      <c r="F19" s="135">
        <f>IF(B19="","",SUMIFS('Stock Guide'!I:I,'Stock Guide'!$B:$B,B19))</f>
        <v>617540.53107000003</v>
      </c>
      <c r="G19" s="136">
        <f>IF(B19="","",SUMIFS('Stock Guide'!$M:$M,'Stock Guide'!$B:$B,B19))</f>
        <v>305187865.75</v>
      </c>
      <c r="H19" s="136">
        <f>IF(B19="","",SUMIFS('Stock Guide'!$N:$N,'Stock Guide'!$B:$B,B19))</f>
        <v>346086182.72000003</v>
      </c>
      <c r="I19" s="137">
        <f>IF(B19="","",SUMIFS('Stock Guide'!$O:$O,'Stock Guide'!$B:$B,B19))</f>
        <v>0.88182620684660884</v>
      </c>
      <c r="J19" s="137">
        <f>IF(B19="","",SUMIFS('Stock Guide'!$P:$P,'Stock Guide'!$B:$B,B19))</f>
        <v>0.92843585754000002</v>
      </c>
      <c r="K19" s="134">
        <f>IF(B19="","",SUMIFS('Stock Guide'!$Q:$Q,'Stock Guide'!$B:$B,B19))</f>
        <v>0.15233532933999999</v>
      </c>
      <c r="L19" s="134">
        <f>IF(B19="","",SUMIFS('Stock Guide'!$R:$R,'Stock Guide'!$B:$B,B19))</f>
        <v>0.15233532934131738</v>
      </c>
      <c r="M19" s="133">
        <f>IF(B19="","",SUMIFS('Stock Guide'!$T:$T,'Stock Guide'!$B:$B,B19))</f>
        <v>0.106</v>
      </c>
      <c r="N19" s="138">
        <f>IFERROR(IF(B19="","",AVERAGEIFS('Stock Guide'!$U:$U,'Stock Guide'!$B:$B,B19)),"-")</f>
        <v>-1.8109125117E-2</v>
      </c>
      <c r="O19" s="138">
        <f>IFERROR(IF(B19="","",AVERAGEIFS('Stock Guide'!$V:$V,'Stock Guide'!$B:$B,B19)),"-")</f>
        <v>3.7433233153999997E-2</v>
      </c>
      <c r="P19" s="138">
        <f>IFERROR(IF(B19="","",AVERAGEIFS('Stock Guide'!$W:$W,'Stock Guide'!$B:$B,B19)),"-")</f>
        <v>0.12705179175</v>
      </c>
    </row>
    <row r="20" spans="2:16" ht="16.5" customHeight="1" x14ac:dyDescent="0.2">
      <c r="B20" s="131" t="s">
        <v>427</v>
      </c>
      <c r="C20" s="132" t="str">
        <f>IF(B20="","",(VLOOKUP(B20,'Stock Guide'!$B:$D,3,0)))</f>
        <v>Devant Recebíveis Imobiliários FII</v>
      </c>
      <c r="D20" s="133">
        <f>IF(B20="","",SUMIFS('Stock Guide'!$J:$J,'Stock Guide'!$B:$B,B20))</f>
        <v>16.78</v>
      </c>
      <c r="E20" s="134">
        <f>IF(B20="","",SUMIFS('Stock Guide'!$H:$H,'Stock Guide'!$B:$B,B20))</f>
        <v>1.5900000000000001E-3</v>
      </c>
      <c r="F20" s="135">
        <f>IF(B20="","",SUMIFS('Stock Guide'!I:I,'Stock Guide'!$B:$B,B20))</f>
        <v>523631.74985000002</v>
      </c>
      <c r="G20" s="136">
        <f>IF(B20="","",SUMIFS('Stock Guide'!$M:$M,'Stock Guide'!$B:$B,B20))</f>
        <v>235673556.24000001</v>
      </c>
      <c r="H20" s="136">
        <f>IF(B20="","",SUMIFS('Stock Guide'!$N:$N,'Stock Guide'!$B:$B,B20))</f>
        <v>1354867346.7</v>
      </c>
      <c r="I20" s="137">
        <f>IF(B20="","",SUMIFS('Stock Guide'!$O:$O,'Stock Guide'!$B:$B,B20))</f>
        <v>0.17394585293831261</v>
      </c>
      <c r="J20" s="137">
        <f>IF(B20="","",SUMIFS('Stock Guide'!$P:$P,'Stock Guide'!$B:$B,B20))</f>
        <v>0.26498992308000002</v>
      </c>
      <c r="K20" s="134">
        <f>IF(B20="","",SUMIFS('Stock Guide'!$Q:$Q,'Stock Guide'!$B:$B,B20))</f>
        <v>0.23718712753000001</v>
      </c>
      <c r="L20" s="134">
        <f>IF(B20="","",SUMIFS('Stock Guide'!$R:$R,'Stock Guide'!$B:$B,B20))</f>
        <v>0.21454112038140638</v>
      </c>
      <c r="M20" s="133">
        <f>IF(B20="","",SUMIFS('Stock Guide'!$T:$T,'Stock Guide'!$B:$B,B20))</f>
        <v>0.3</v>
      </c>
      <c r="N20" s="138">
        <f>IFERROR(IF(B20="","",AVERAGEIFS('Stock Guide'!$U:$U,'Stock Guide'!$B:$B,B20)),"-")</f>
        <v>-9.2178394173E-2</v>
      </c>
      <c r="O20" s="138">
        <f>IFERROR(IF(B20="","",AVERAGEIFS('Stock Guide'!$V:$V,'Stock Guide'!$B:$B,B20)),"-")</f>
        <v>-0.27469493786999999</v>
      </c>
      <c r="P20" s="138">
        <f>IFERROR(IF(B20="","",AVERAGEIFS('Stock Guide'!$W:$W,'Stock Guide'!$B:$B,B20)),"-")</f>
        <v>-0.29300821567000002</v>
      </c>
    </row>
    <row r="21" spans="2:16" ht="16.5" customHeight="1" x14ac:dyDescent="0.2">
      <c r="B21" s="131" t="s">
        <v>433</v>
      </c>
      <c r="C21" s="132" t="str">
        <f>IF(B21="","",(VLOOKUP(B21,'Stock Guide'!$B:$D,3,0)))</f>
        <v>EQI Recebíveis Imobiliários FII</v>
      </c>
      <c r="D21" s="133">
        <f>IF(B21="","",SUMIFS('Stock Guide'!$J:$J,'Stock Guide'!$B:$B,B21))</f>
        <v>7.9</v>
      </c>
      <c r="E21" s="134">
        <f>IF(B21="","",SUMIFS('Stock Guide'!$H:$H,'Stock Guide'!$B:$B,B21))</f>
        <v>0</v>
      </c>
      <c r="F21" s="135">
        <f>IF(B21="","",SUMIFS('Stock Guide'!I:I,'Stock Guide'!$B:$B,B21))</f>
        <v>61523.660615000001</v>
      </c>
      <c r="G21" s="136">
        <f>IF(B21="","",SUMIFS('Stock Guide'!$M:$M,'Stock Guide'!$B:$B,B21))</f>
        <v>86183588.5</v>
      </c>
      <c r="H21" s="136">
        <f>IF(B21="","",SUMIFS('Stock Guide'!$N:$N,'Stock Guide'!$B:$B,B21))</f>
        <v>105158520.69</v>
      </c>
      <c r="I21" s="137">
        <f>IF(B21="","",SUMIFS('Stock Guide'!$O:$O,'Stock Guide'!$B:$B,B21))</f>
        <v>0.81955877597463755</v>
      </c>
      <c r="J21" s="137">
        <f>IF(B21="","",SUMIFS('Stock Guide'!$P:$P,'Stock Guide'!$B:$B,B21))</f>
        <v>0.85865282178000002</v>
      </c>
      <c r="K21" s="134">
        <f>IF(B21="","",SUMIFS('Stock Guide'!$Q:$Q,'Stock Guide'!$B:$B,B21))</f>
        <v>0.15198665886000001</v>
      </c>
      <c r="L21" s="134">
        <f>IF(B21="","",SUMIFS('Stock Guide'!$R:$R,'Stock Guide'!$B:$B,B21))</f>
        <v>0.15189873417721519</v>
      </c>
      <c r="M21" s="133">
        <f>IF(B21="","",SUMIFS('Stock Guide'!$T:$T,'Stock Guide'!$B:$B,B21))</f>
        <v>0.1</v>
      </c>
      <c r="N21" s="138">
        <f>IFERROR(IF(B21="","",AVERAGEIFS('Stock Guide'!$U:$U,'Stock Guide'!$B:$B,B21)),"-")</f>
        <v>-3.6190157856999999E-2</v>
      </c>
      <c r="O21" s="138">
        <f>IFERROR(IF(B21="","",AVERAGEIFS('Stock Guide'!$V:$V,'Stock Guide'!$B:$B,B21)),"-")</f>
        <v>5.2225670501E-2</v>
      </c>
      <c r="P21" s="138">
        <f>IFERROR(IF(B21="","",AVERAGEIFS('Stock Guide'!$W:$W,'Stock Guide'!$B:$B,B21)),"-")</f>
        <v>0.18929683937</v>
      </c>
    </row>
    <row r="22" spans="2:16" ht="16.5" customHeight="1" x14ac:dyDescent="0.2">
      <c r="B22" s="131" t="s">
        <v>439</v>
      </c>
      <c r="C22" s="132" t="str">
        <f>IF(B22="","",(VLOOKUP(B22,'Stock Guide'!$B:$D,3,0)))</f>
        <v>Éxes FII</v>
      </c>
      <c r="D22" s="133">
        <f>IF(B22="","",SUMIFS('Stock Guide'!$J:$J,'Stock Guide'!$B:$B,B22))</f>
        <v>9.57</v>
      </c>
      <c r="E22" s="134">
        <f>IF(B22="","",SUMIFS('Stock Guide'!$H:$H,'Stock Guide'!$B:$B,B22))</f>
        <v>0</v>
      </c>
      <c r="F22" s="135">
        <f>IF(B22="","",SUMIFS('Stock Guide'!I:I,'Stock Guide'!$B:$B,B22))</f>
        <v>92661.431385000004</v>
      </c>
      <c r="G22" s="136">
        <f>IF(B22="","",SUMIFS('Stock Guide'!$M:$M,'Stock Guide'!$B:$B,B22))</f>
        <v>134950924.34999999</v>
      </c>
      <c r="H22" s="136">
        <f>IF(B22="","",SUMIFS('Stock Guide'!$N:$N,'Stock Guide'!$B:$B,B22))</f>
        <v>136451822.97999999</v>
      </c>
      <c r="I22" s="137">
        <f>IF(B22="","",SUMIFS('Stock Guide'!$O:$O,'Stock Guide'!$B:$B,B22))</f>
        <v>0.98900052342855116</v>
      </c>
      <c r="J22" s="137">
        <f>IF(B22="","",SUMIFS('Stock Guide'!$P:$P,'Stock Guide'!$B:$B,B22))</f>
        <v>0.96165413030000002</v>
      </c>
      <c r="K22" s="134">
        <f>IF(B22="","",SUMIFS('Stock Guide'!$Q:$Q,'Stock Guide'!$B:$B,B22))</f>
        <v>0.16300940439</v>
      </c>
      <c r="L22" s="134">
        <f>IF(B22="","",SUMIFS('Stock Guide'!$R:$R,'Stock Guide'!$B:$B,B22))</f>
        <v>0.16300940438871475</v>
      </c>
      <c r="M22" s="133">
        <f>IF(B22="","",SUMIFS('Stock Guide'!$T:$T,'Stock Guide'!$B:$B,B22))</f>
        <v>0.13</v>
      </c>
      <c r="N22" s="138">
        <f>IFERROR(IF(B22="","",AVERAGEIFS('Stock Guide'!$U:$U,'Stock Guide'!$B:$B,B22)),"-")</f>
        <v>1.5792689977E-2</v>
      </c>
      <c r="O22" s="138">
        <f>IFERROR(IF(B22="","",AVERAGEIFS('Stock Guide'!$V:$V,'Stock Guide'!$B:$B,B22)),"-")</f>
        <v>0.12885356579999999</v>
      </c>
      <c r="P22" s="138">
        <f>IFERROR(IF(B22="","",AVERAGEIFS('Stock Guide'!$W:$W,'Stock Guide'!$B:$B,B22)),"-")</f>
        <v>0.22113173161999999</v>
      </c>
    </row>
    <row r="23" spans="2:16" ht="16.5" customHeight="1" x14ac:dyDescent="0.2">
      <c r="B23" s="131" t="s">
        <v>455</v>
      </c>
      <c r="C23" s="132" t="str">
        <f>IF(B23="","",(VLOOKUP(B23,'Stock Guide'!$B:$D,3,0)))</f>
        <v>Faria Lima Capital Recebíveis Imobiliários I FII</v>
      </c>
      <c r="D23" s="133">
        <f>IF(B23="","",SUMIFS('Stock Guide'!$J:$J,'Stock Guide'!$B:$B,B23))</f>
        <v>90.4</v>
      </c>
      <c r="E23" s="134">
        <f>IF(B23="","",SUMIFS('Stock Guide'!$H:$H,'Stock Guide'!$B:$B,B23))</f>
        <v>0</v>
      </c>
      <c r="F23" s="135">
        <f>IF(B23="","",SUMIFS('Stock Guide'!I:I,'Stock Guide'!$B:$B,B23))</f>
        <v>182326.07769000001</v>
      </c>
      <c r="G23" s="136">
        <f>IF(B23="","",SUMIFS('Stock Guide'!$M:$M,'Stock Guide'!$B:$B,B23))</f>
        <v>67966697.599999994</v>
      </c>
      <c r="H23" s="136">
        <f>IF(B23="","",SUMIFS('Stock Guide'!$N:$N,'Stock Guide'!$B:$B,B23))</f>
        <v>71014333.359999999</v>
      </c>
      <c r="I23" s="137">
        <f>IF(B23="","",SUMIFS('Stock Guide'!$O:$O,'Stock Guide'!$B:$B,B23))</f>
        <v>0.95708421644190722</v>
      </c>
      <c r="J23" s="137">
        <f>IF(B23="","",SUMIFS('Stock Guide'!$P:$P,'Stock Guide'!$B:$B,B23))</f>
        <v>1.0203294464999999</v>
      </c>
      <c r="K23" s="134">
        <f>IF(B23="","",SUMIFS('Stock Guide'!$Q:$Q,'Stock Guide'!$B:$B,B23))</f>
        <v>0.14491150442</v>
      </c>
      <c r="L23" s="134">
        <f>IF(B23="","",SUMIFS('Stock Guide'!$R:$R,'Stock Guide'!$B:$B,B23))</f>
        <v>0.13938053097345132</v>
      </c>
      <c r="M23" s="133">
        <f>IF(B23="","",SUMIFS('Stock Guide'!$T:$T,'Stock Guide'!$B:$B,B23))</f>
        <v>1.05</v>
      </c>
      <c r="N23" s="138">
        <f>IFERROR(IF(B23="","",AVERAGEIFS('Stock Guide'!$U:$U,'Stock Guide'!$B:$B,B23)),"-")</f>
        <v>-2.7426500797E-2</v>
      </c>
      <c r="O23" s="138">
        <f>IFERROR(IF(B23="","",AVERAGEIFS('Stock Guide'!$V:$V,'Stock Guide'!$B:$B,B23)),"-")</f>
        <v>2.8416490807999999E-2</v>
      </c>
      <c r="P23" s="138">
        <f>IFERROR(IF(B23="","",AVERAGEIFS('Stock Guide'!$W:$W,'Stock Guide'!$B:$B,B23)),"-")</f>
        <v>0.10008132426999999</v>
      </c>
    </row>
    <row r="24" spans="2:16" ht="16.5" customHeight="1" x14ac:dyDescent="0.2">
      <c r="B24" s="131" t="s">
        <v>462</v>
      </c>
      <c r="C24" s="132" t="str">
        <f>IF(B24="","",(VLOOKUP(B24,'Stock Guide'!$B:$D,3,0)))</f>
        <v>Fyto Recebíveis Imobiliários FII</v>
      </c>
      <c r="D24" s="133">
        <f>IF(B24="","",SUMIFS('Stock Guide'!$J:$J,'Stock Guide'!$B:$B,B24))</f>
        <v>7.96</v>
      </c>
      <c r="E24" s="134">
        <f>IF(B24="","",SUMIFS('Stock Guide'!$H:$H,'Stock Guide'!$B:$B,B24))</f>
        <v>0</v>
      </c>
      <c r="F24" s="135">
        <f>IF(B24="","",SUMIFS('Stock Guide'!I:I,'Stock Guide'!$B:$B,B24))</f>
        <v>124217.63523</v>
      </c>
      <c r="G24" s="136">
        <f>IF(B24="","",SUMIFS('Stock Guide'!$M:$M,'Stock Guide'!$B:$B,B24))</f>
        <v>121639848.48</v>
      </c>
      <c r="H24" s="136">
        <f>IF(B24="","",SUMIFS('Stock Guide'!$N:$N,'Stock Guide'!$B:$B,B24))</f>
        <v>152619736.59</v>
      </c>
      <c r="I24" s="137">
        <f>IF(B24="","",SUMIFS('Stock Guide'!$O:$O,'Stock Guide'!$B:$B,B24))</f>
        <v>0.79701256991928349</v>
      </c>
      <c r="J24" s="137">
        <f>IF(B24="","",SUMIFS('Stock Guide'!$P:$P,'Stock Guide'!$B:$B,B24))</f>
        <v>0.86103865608999997</v>
      </c>
      <c r="K24" s="134">
        <f>IF(B24="","",SUMIFS('Stock Guide'!$Q:$Q,'Stock Guide'!$B:$B,B24))</f>
        <v>0.15189698492000001</v>
      </c>
      <c r="L24" s="134">
        <f>IF(B24="","",SUMIFS('Stock Guide'!$R:$R,'Stock Guide'!$B:$B,B24))</f>
        <v>0.15075376884422112</v>
      </c>
      <c r="M24" s="133">
        <f>IF(B24="","",SUMIFS('Stock Guide'!$T:$T,'Stock Guide'!$B:$B,B24))</f>
        <v>0.1</v>
      </c>
      <c r="N24" s="138">
        <f>IFERROR(IF(B24="","",AVERAGEIFS('Stock Guide'!$U:$U,'Stock Guide'!$B:$B,B24)),"-")</f>
        <v>-1.6996083993E-2</v>
      </c>
      <c r="O24" s="138">
        <f>IFERROR(IF(B24="","",AVERAGEIFS('Stock Guide'!$V:$V,'Stock Guide'!$B:$B,B24)),"-")</f>
        <v>2.9000433195000001E-2</v>
      </c>
      <c r="P24" s="138">
        <f>IFERROR(IF(B24="","",AVERAGEIFS('Stock Guide'!$W:$W,'Stock Guide'!$B:$B,B24)),"-")</f>
        <v>0.15979948600999999</v>
      </c>
    </row>
    <row r="25" spans="2:16" ht="16.5" customHeight="1" x14ac:dyDescent="0.2">
      <c r="B25" s="131" t="s">
        <v>464</v>
      </c>
      <c r="C25" s="132" t="str">
        <f>IF(B25="","",(VLOOKUP(B25,'Stock Guide'!$B:$D,3,0)))</f>
        <v>Guardian Multiestratégia I FII</v>
      </c>
      <c r="D25" s="133">
        <f>IF(B25="","",SUMIFS('Stock Guide'!$J:$J,'Stock Guide'!$B:$B,B25))</f>
        <v>8.36</v>
      </c>
      <c r="E25" s="134">
        <f>IF(B25="","",SUMIFS('Stock Guide'!$H:$H,'Stock Guide'!$B:$B,B25))</f>
        <v>0</v>
      </c>
      <c r="F25" s="135">
        <f>IF(B25="","",SUMIFS('Stock Guide'!I:I,'Stock Guide'!$B:$B,B25))</f>
        <v>291521.05446000001</v>
      </c>
      <c r="G25" s="136">
        <f>IF(B25="","",SUMIFS('Stock Guide'!$M:$M,'Stock Guide'!$B:$B,B25))</f>
        <v>237642421.72</v>
      </c>
      <c r="H25" s="136">
        <f>IF(B25="","",SUMIFS('Stock Guide'!$N:$N,'Stock Guide'!$B:$B,B25))</f>
        <v>265144618.58000001</v>
      </c>
      <c r="I25" s="137">
        <f>IF(B25="","",SUMIFS('Stock Guide'!$O:$O,'Stock Guide'!$B:$B,B25))</f>
        <v>0.89627473109848543</v>
      </c>
      <c r="J25" s="137">
        <f>IF(B25="","",SUMIFS('Stock Guide'!$P:$P,'Stock Guide'!$B:$B,B25))</f>
        <v>0.91961559405000004</v>
      </c>
      <c r="K25" s="134">
        <f>IF(B25="","",SUMIFS('Stock Guide'!$Q:$Q,'Stock Guide'!$B:$B,B25))</f>
        <v>0.14055023923000001</v>
      </c>
      <c r="L25" s="134">
        <f>IF(B25="","",SUMIFS('Stock Guide'!$R:$R,'Stock Guide'!$B:$B,B25))</f>
        <v>0.14354066985645936</v>
      </c>
      <c r="M25" s="133">
        <f>IF(B25="","",SUMIFS('Stock Guide'!$T:$T,'Stock Guide'!$B:$B,B25))</f>
        <v>0.1</v>
      </c>
      <c r="N25" s="138">
        <f>IFERROR(IF(B25="","",AVERAGEIFS('Stock Guide'!$U:$U,'Stock Guide'!$B:$B,B25)),"-")</f>
        <v>2.3047362118E-2</v>
      </c>
      <c r="O25" s="138">
        <f>IFERROR(IF(B25="","",AVERAGEIFS('Stock Guide'!$V:$V,'Stock Guide'!$B:$B,B25)),"-")</f>
        <v>3.0714719950999999E-2</v>
      </c>
      <c r="P25" s="138">
        <f>IFERROR(IF(B25="","",AVERAGEIFS('Stock Guide'!$W:$W,'Stock Guide'!$B:$B,B25)),"-")</f>
        <v>0.12841393634000001</v>
      </c>
    </row>
    <row r="26" spans="2:16" ht="16.5" customHeight="1" x14ac:dyDescent="0.2">
      <c r="B26" s="131" t="s">
        <v>469</v>
      </c>
      <c r="C26" s="132" t="str">
        <f>IF(B26="","",(VLOOKUP(B26,'Stock Guide'!$B:$D,3,0)))</f>
        <v>Galapagos Recebíveis Imobiliários FII</v>
      </c>
      <c r="D26" s="133">
        <f>IF(B26="","",SUMIFS('Stock Guide'!$J:$J,'Stock Guide'!$B:$B,B26))</f>
        <v>65.5</v>
      </c>
      <c r="E26" s="134">
        <f>IF(B26="","",SUMIFS('Stock Guide'!$H:$H,'Stock Guide'!$B:$B,B26))</f>
        <v>0</v>
      </c>
      <c r="F26" s="135">
        <f>IF(B26="","",SUMIFS('Stock Guide'!I:I,'Stock Guide'!$B:$B,B26))</f>
        <v>195513.29323000001</v>
      </c>
      <c r="G26" s="136">
        <f>IF(B26="","",SUMIFS('Stock Guide'!$M:$M,'Stock Guide'!$B:$B,B26))</f>
        <v>95227764.5</v>
      </c>
      <c r="H26" s="136">
        <f>IF(B26="","",SUMIFS('Stock Guide'!$N:$N,'Stock Guide'!$B:$B,B26))</f>
        <v>134189501.94</v>
      </c>
      <c r="I26" s="137">
        <f>IF(B26="","",SUMIFS('Stock Guide'!$O:$O,'Stock Guide'!$B:$B,B26))</f>
        <v>0.70965137453583427</v>
      </c>
      <c r="J26" s="137">
        <f>IF(B26="","",SUMIFS('Stock Guide'!$P:$P,'Stock Guide'!$B:$B,B26))</f>
        <v>0.71912245011999998</v>
      </c>
      <c r="K26" s="134">
        <f>IF(B26="","",SUMIFS('Stock Guide'!$Q:$Q,'Stock Guide'!$B:$B,B26))</f>
        <v>0.15465648855</v>
      </c>
      <c r="L26" s="134">
        <f>IF(B26="","",SUMIFS('Stock Guide'!$R:$R,'Stock Guide'!$B:$B,B26))</f>
        <v>0.15572519083969466</v>
      </c>
      <c r="M26" s="133">
        <f>IF(B26="","",SUMIFS('Stock Guide'!$T:$T,'Stock Guide'!$B:$B,B26))</f>
        <v>0.85</v>
      </c>
      <c r="N26" s="138">
        <f>IFERROR(IF(B26="","",AVERAGEIFS('Stock Guide'!$U:$U,'Stock Guide'!$B:$B,B26)),"-")</f>
        <v>9.5420332344999994E-3</v>
      </c>
      <c r="O26" s="138">
        <f>IFERROR(IF(B26="","",AVERAGEIFS('Stock Guide'!$V:$V,'Stock Guide'!$B:$B,B26)),"-")</f>
        <v>0.10162363969</v>
      </c>
      <c r="P26" s="138">
        <f>IFERROR(IF(B26="","",AVERAGEIFS('Stock Guide'!$W:$W,'Stock Guide'!$B:$B,B26)),"-")</f>
        <v>0.21820784319</v>
      </c>
    </row>
    <row r="27" spans="2:16" ht="16.5" customHeight="1" x14ac:dyDescent="0.2">
      <c r="B27" s="131" t="s">
        <v>481</v>
      </c>
      <c r="C27" s="132" t="str">
        <f>IF(B27="","",(VLOOKUP(B27,'Stock Guide'!$B:$D,3,0)))</f>
        <v>Habitat II FII</v>
      </c>
      <c r="D27" s="133">
        <f>IF(B27="","",SUMIFS('Stock Guide'!$J:$J,'Stock Guide'!$B:$B,B27))</f>
        <v>65.2</v>
      </c>
      <c r="E27" s="134">
        <f>IF(B27="","",SUMIFS('Stock Guide'!$H:$H,'Stock Guide'!$B:$B,B27))</f>
        <v>3.5799999999999998E-3</v>
      </c>
      <c r="F27" s="135">
        <f>IF(B27="","",SUMIFS('Stock Guide'!I:I,'Stock Guide'!$B:$B,B27))</f>
        <v>1102674.7289</v>
      </c>
      <c r="G27" s="136">
        <f>IF(B27="","",SUMIFS('Stock Guide'!$M:$M,'Stock Guide'!$B:$B,B27))</f>
        <v>529866251.60000002</v>
      </c>
      <c r="H27" s="136">
        <f>IF(B27="","",SUMIFS('Stock Guide'!$N:$N,'Stock Guide'!$B:$B,B27))</f>
        <v>766391171.64999998</v>
      </c>
      <c r="I27" s="137">
        <f>IF(B27="","",SUMIFS('Stock Guide'!$O:$O,'Stock Guide'!$B:$B,B27))</f>
        <v>0.69137833419874317</v>
      </c>
      <c r="J27" s="137">
        <f>IF(B27="","",SUMIFS('Stock Guide'!$P:$P,'Stock Guide'!$B:$B,B27))</f>
        <v>0.79269858366000001</v>
      </c>
      <c r="K27" s="134">
        <f>IF(B27="","",SUMIFS('Stock Guide'!$Q:$Q,'Stock Guide'!$B:$B,B27))</f>
        <v>0.17668711656</v>
      </c>
      <c r="L27" s="134">
        <f>IF(B27="","",SUMIFS('Stock Guide'!$R:$R,'Stock Guide'!$B:$B,B27))</f>
        <v>0.17484662576687116</v>
      </c>
      <c r="M27" s="133">
        <f>IF(B27="","",SUMIFS('Stock Guide'!$T:$T,'Stock Guide'!$B:$B,B27))</f>
        <v>0.95</v>
      </c>
      <c r="N27" s="138">
        <f>IFERROR(IF(B27="","",AVERAGEIFS('Stock Guide'!$U:$U,'Stock Guide'!$B:$B,B27)),"-")</f>
        <v>-7.7532541031000005E-2</v>
      </c>
      <c r="O27" s="138">
        <f>IFERROR(IF(B27="","",AVERAGEIFS('Stock Guide'!$V:$V,'Stock Guide'!$B:$B,B27)),"-")</f>
        <v>-5.5531933382E-2</v>
      </c>
      <c r="P27" s="138">
        <f>IFERROR(IF(B27="","",AVERAGEIFS('Stock Guide'!$W:$W,'Stock Guide'!$B:$B,B27)),"-")</f>
        <v>-3.7804541736000001E-2</v>
      </c>
    </row>
    <row r="28" spans="2:16" ht="16.5" customHeight="1" x14ac:dyDescent="0.2">
      <c r="B28" s="131" t="s">
        <v>486</v>
      </c>
      <c r="C28" s="132" t="str">
        <f>IF(B28="","",(VLOOKUP(B28,'Stock Guide'!$B:$D,3,0)))</f>
        <v>Hectare CE FII</v>
      </c>
      <c r="D28" s="133">
        <f>IF(B28="","",SUMIFS('Stock Guide'!$J:$J,'Stock Guide'!$B:$B,B28))</f>
        <v>13.75</v>
      </c>
      <c r="E28" s="134">
        <f>IF(B28="","",SUMIFS('Stock Guide'!$H:$H,'Stock Guide'!$B:$B,B28))</f>
        <v>2.0600000000000002E-3</v>
      </c>
      <c r="F28" s="135">
        <f>IF(B28="","",SUMIFS('Stock Guide'!I:I,'Stock Guide'!$B:$B,B28))</f>
        <v>606898.75199999998</v>
      </c>
      <c r="G28" s="136">
        <f>IF(B28="","",SUMIFS('Stock Guide'!$M:$M,'Stock Guide'!$B:$B,B28))</f>
        <v>303657789.93000001</v>
      </c>
      <c r="H28" s="136">
        <f>IF(B28="","",SUMIFS('Stock Guide'!$N:$N,'Stock Guide'!$B:$B,B28))</f>
        <v>2237851095.1999998</v>
      </c>
      <c r="I28" s="137">
        <f>IF(B28="","",SUMIFS('Stock Guide'!$O:$O,'Stock Guide'!$B:$B,B28))</f>
        <v>0.13569168680674068</v>
      </c>
      <c r="J28" s="137">
        <f>IF(B28="","",SUMIFS('Stock Guide'!$P:$P,'Stock Guide'!$B:$B,B28))</f>
        <v>0.19849279818000001</v>
      </c>
      <c r="K28" s="134">
        <f>IF(B28="","",SUMIFS('Stock Guide'!$Q:$Q,'Stock Guide'!$B:$B,B28))</f>
        <v>0.24654545454999999</v>
      </c>
      <c r="L28" s="134">
        <f>IF(B28="","",SUMIFS('Stock Guide'!$R:$R,'Stock Guide'!$B:$B,B28))</f>
        <v>0.20945454545454545</v>
      </c>
      <c r="M28" s="133">
        <f>IF(B28="","",SUMIFS('Stock Guide'!$T:$T,'Stock Guide'!$B:$B,B28))</f>
        <v>0.24</v>
      </c>
      <c r="N28" s="138">
        <f>IFERROR(IF(B28="","",AVERAGEIFS('Stock Guide'!$U:$U,'Stock Guide'!$B:$B,B28)),"-")</f>
        <v>-0.15415884928000001</v>
      </c>
      <c r="O28" s="138">
        <f>IFERROR(IF(B28="","",AVERAGEIFS('Stock Guide'!$V:$V,'Stock Guide'!$B:$B,B28)),"-")</f>
        <v>-0.26293307912000002</v>
      </c>
      <c r="P28" s="138">
        <f>IFERROR(IF(B28="","",AVERAGEIFS('Stock Guide'!$W:$W,'Stock Guide'!$B:$B,B28)),"-")</f>
        <v>-0.26060395781000001</v>
      </c>
    </row>
    <row r="29" spans="2:16" ht="16.5" customHeight="1" x14ac:dyDescent="0.2">
      <c r="B29" s="131" t="s">
        <v>491</v>
      </c>
      <c r="C29" s="132" t="str">
        <f>IF(B29="","",(VLOOKUP(B29,'Stock Guide'!$B:$D,3,0)))</f>
        <v>CSHG Recebíveis Imobiliários FII</v>
      </c>
      <c r="D29" s="133">
        <f>IF(B29="","",SUMIFS('Stock Guide'!$J:$J,'Stock Guide'!$B:$B,B29))</f>
        <v>91.94</v>
      </c>
      <c r="E29" s="134">
        <f>IF(B29="","",SUMIFS('Stock Guide'!$H:$H,'Stock Guide'!$B:$B,B29))</f>
        <v>9.58E-3</v>
      </c>
      <c r="F29" s="135">
        <f>IF(B29="","",SUMIFS('Stock Guide'!I:I,'Stock Guide'!$B:$B,B29))</f>
        <v>3163262.2404999998</v>
      </c>
      <c r="G29" s="136">
        <f>IF(B29="","",SUMIFS('Stock Guide'!$M:$M,'Stock Guide'!$B:$B,B29))</f>
        <v>1417540665.5999999</v>
      </c>
      <c r="H29" s="136">
        <f>IF(B29="","",SUMIFS('Stock Guide'!$N:$N,'Stock Guide'!$B:$B,B29))</f>
        <v>1501746013.5999999</v>
      </c>
      <c r="I29" s="137">
        <f>IF(B29="","",SUMIFS('Stock Guide'!$O:$O,'Stock Guide'!$B:$B,B29))</f>
        <v>0.94392836921994405</v>
      </c>
      <c r="J29" s="137">
        <f>IF(B29="","",SUMIFS('Stock Guide'!$P:$P,'Stock Guide'!$B:$B,B29))</f>
        <v>0.98585788940999997</v>
      </c>
      <c r="K29" s="134">
        <f>IF(B29="","",SUMIFS('Stock Guide'!$Q:$Q,'Stock Guide'!$B:$B,B29))</f>
        <v>0.12834457255000001</v>
      </c>
      <c r="L29" s="134">
        <f>IF(B29="","",SUMIFS('Stock Guide'!$R:$R,'Stock Guide'!$B:$B,B29))</f>
        <v>0.13051990428540353</v>
      </c>
      <c r="M29" s="133">
        <f>IF(B29="","",SUMIFS('Stock Guide'!$T:$T,'Stock Guide'!$B:$B,B29))</f>
        <v>1</v>
      </c>
      <c r="N29" s="138">
        <f>IFERROR(IF(B29="","",AVERAGEIFS('Stock Guide'!$U:$U,'Stock Guide'!$B:$B,B29)),"-")</f>
        <v>-1.2247529007E-2</v>
      </c>
      <c r="O29" s="138">
        <f>IFERROR(IF(B29="","",AVERAGEIFS('Stock Guide'!$V:$V,'Stock Guide'!$B:$B,B29)),"-")</f>
        <v>1.6047271580000001E-2</v>
      </c>
      <c r="P29" s="138">
        <f>IFERROR(IF(B29="","",AVERAGEIFS('Stock Guide'!$W:$W,'Stock Guide'!$B:$B,B29)),"-")</f>
        <v>0.12107651206</v>
      </c>
    </row>
    <row r="30" spans="2:16" ht="16.5" customHeight="1" x14ac:dyDescent="0.2">
      <c r="B30" s="131" t="s">
        <v>502</v>
      </c>
      <c r="C30" s="132" t="str">
        <f>IF(B30="","",(VLOOKUP(B30,'Stock Guide'!$B:$D,3,0)))</f>
        <v>Hedge Recebíveis Imobiliários FII</v>
      </c>
      <c r="D30" s="133">
        <f>IF(B30="","",SUMIFS('Stock Guide'!$J:$J,'Stock Guide'!$B:$B,B30))</f>
        <v>8.08</v>
      </c>
      <c r="E30" s="134">
        <f>IF(B30="","",SUMIFS('Stock Guide'!$H:$H,'Stock Guide'!$B:$B,B30))</f>
        <v>0</v>
      </c>
      <c r="F30" s="135">
        <f>IF(B30="","",SUMIFS('Stock Guide'!I:I,'Stock Guide'!$B:$B,B30))</f>
        <v>169201.02077</v>
      </c>
      <c r="G30" s="136">
        <f>IF(B30="","",SUMIFS('Stock Guide'!$M:$M,'Stock Guide'!$B:$B,B30))</f>
        <v>417622209.36000001</v>
      </c>
      <c r="H30" s="136">
        <f>IF(B30="","",SUMIFS('Stock Guide'!$N:$N,'Stock Guide'!$B:$B,B30))</f>
        <v>456443984.70999998</v>
      </c>
      <c r="I30" s="137">
        <f>IF(B30="","",SUMIFS('Stock Guide'!$O:$O,'Stock Guide'!$B:$B,B30))</f>
        <v>0.91494733932211803</v>
      </c>
      <c r="J30" s="137">
        <f>IF(B30="","",SUMIFS('Stock Guide'!$P:$P,'Stock Guide'!$B:$B,B30))</f>
        <v>0.91497609870999996</v>
      </c>
      <c r="K30" s="134">
        <f>IF(B30="","",SUMIFS('Stock Guide'!$Q:$Q,'Stock Guide'!$B:$B,B30))</f>
        <v>0.12747524752</v>
      </c>
      <c r="L30" s="134">
        <f>IF(B30="","",SUMIFS('Stock Guide'!$R:$R,'Stock Guide'!$B:$B,B30))</f>
        <v>0.1410891089108911</v>
      </c>
      <c r="M30" s="133">
        <f>IF(B30="","",SUMIFS('Stock Guide'!$T:$T,'Stock Guide'!$B:$B,B30))</f>
        <v>9.5000000000000001E-2</v>
      </c>
      <c r="N30" s="138">
        <f>IFERROR(IF(B30="","",AVERAGEIFS('Stock Guide'!$U:$U,'Stock Guide'!$B:$B,B30)),"-")</f>
        <v>-1.5234613040000001E-2</v>
      </c>
      <c r="O30" s="138">
        <f>IFERROR(IF(B30="","",AVERAGEIFS('Stock Guide'!$V:$V,'Stock Guide'!$B:$B,B30)),"-")</f>
        <v>7.1829105160000004E-2</v>
      </c>
      <c r="P30" s="138">
        <f>IFERROR(IF(B30="","",AVERAGEIFS('Stock Guide'!$W:$W,'Stock Guide'!$B:$B,B30)),"-")</f>
        <v>0.11364476955</v>
      </c>
    </row>
    <row r="31" spans="2:16" ht="16.5" customHeight="1" x14ac:dyDescent="0.2">
      <c r="B31" s="131" t="s">
        <v>504</v>
      </c>
      <c r="C31" s="132" t="str">
        <f>IF(B31="","",(VLOOKUP(B31,'Stock Guide'!$B:$D,3,0)))</f>
        <v>HSI Ativos Financeiros FII</v>
      </c>
      <c r="D31" s="133">
        <f>IF(B31="","",SUMIFS('Stock Guide'!$J:$J,'Stock Guide'!$B:$B,B31))</f>
        <v>72.63</v>
      </c>
      <c r="E31" s="134">
        <f>IF(B31="","",SUMIFS('Stock Guide'!$H:$H,'Stock Guide'!$B:$B,B31))</f>
        <v>1.24E-3</v>
      </c>
      <c r="F31" s="135">
        <f>IF(B31="","",SUMIFS('Stock Guide'!I:I,'Stock Guide'!$B:$B,B31))</f>
        <v>610925.78446</v>
      </c>
      <c r="G31" s="136">
        <f>IF(B31="","",SUMIFS('Stock Guide'!$M:$M,'Stock Guide'!$B:$B,B31))</f>
        <v>183489526.80000001</v>
      </c>
      <c r="H31" s="136">
        <f>IF(B31="","",SUMIFS('Stock Guide'!$N:$N,'Stock Guide'!$B:$B,B31))</f>
        <v>224820666.88999999</v>
      </c>
      <c r="I31" s="137">
        <f>IF(B31="","",SUMIFS('Stock Guide'!$O:$O,'Stock Guide'!$B:$B,B31))</f>
        <v>0.81615951655270902</v>
      </c>
      <c r="J31" s="137">
        <f>IF(B31="","",SUMIFS('Stock Guide'!$P:$P,'Stock Guide'!$B:$B,B31))</f>
        <v>0.89350724295999995</v>
      </c>
      <c r="K31" s="134">
        <f>IF(B31="","",SUMIFS('Stock Guide'!$Q:$Q,'Stock Guide'!$B:$B,B31))</f>
        <v>0.15695993390999999</v>
      </c>
      <c r="L31" s="134">
        <f>IF(B31="","",SUMIFS('Stock Guide'!$R:$R,'Stock Guide'!$B:$B,B31))</f>
        <v>0.15695993391160679</v>
      </c>
      <c r="M31" s="133">
        <f>IF(B31="","",SUMIFS('Stock Guide'!$T:$T,'Stock Guide'!$B:$B,B31))</f>
        <v>0.95</v>
      </c>
      <c r="N31" s="138">
        <f>IFERROR(IF(B31="","",AVERAGEIFS('Stock Guide'!$U:$U,'Stock Guide'!$B:$B,B31)),"-")</f>
        <v>-4.3587042403000001E-2</v>
      </c>
      <c r="O31" s="138">
        <f>IFERROR(IF(B31="","",AVERAGEIFS('Stock Guide'!$V:$V,'Stock Guide'!$B:$B,B31)),"-")</f>
        <v>-6.3706976142999996E-3</v>
      </c>
      <c r="P31" s="138">
        <f>IFERROR(IF(B31="","",AVERAGEIFS('Stock Guide'!$W:$W,'Stock Guide'!$B:$B,B31)),"-")</f>
        <v>7.7653641698E-2</v>
      </c>
    </row>
    <row r="32" spans="2:16" ht="16.5" customHeight="1" x14ac:dyDescent="0.2">
      <c r="B32" s="131" t="s">
        <v>516</v>
      </c>
      <c r="C32" s="132" t="str">
        <f>IF(B32="","",(VLOOKUP(B32,'Stock Guide'!$B:$D,3,0)))</f>
        <v>Fundo de Investimento Imobiliário de CRI Integral Brei</v>
      </c>
      <c r="D32" s="133">
        <f>IF(B32="","",SUMIFS('Stock Guide'!$J:$J,'Stock Guide'!$B:$B,B32))</f>
        <v>37.82</v>
      </c>
      <c r="E32" s="134">
        <f>IF(B32="","",SUMIFS('Stock Guide'!$H:$H,'Stock Guide'!$B:$B,B32))</f>
        <v>0</v>
      </c>
      <c r="F32" s="135">
        <f>IF(B32="","",SUMIFS('Stock Guide'!I:I,'Stock Guide'!$B:$B,B32))</f>
        <v>55373.237846000004</v>
      </c>
      <c r="G32" s="136">
        <f>IF(B32="","",SUMIFS('Stock Guide'!$M:$M,'Stock Guide'!$B:$B,B32))</f>
        <v>36247557.859999999</v>
      </c>
      <c r="H32" s="136">
        <f>IF(B32="","",SUMIFS('Stock Guide'!$N:$N,'Stock Guide'!$B:$B,B32))</f>
        <v>84803855.5</v>
      </c>
      <c r="I32" s="137">
        <f>IF(B32="","",SUMIFS('Stock Guide'!$O:$O,'Stock Guide'!$B:$B,B32))</f>
        <v>0.42742818290849993</v>
      </c>
      <c r="J32" s="137">
        <f>IF(B32="","",SUMIFS('Stock Guide'!$P:$P,'Stock Guide'!$B:$B,B32))</f>
        <v>0.53432132710000002</v>
      </c>
      <c r="K32" s="134">
        <f>IF(B32="","",SUMIFS('Stock Guide'!$Q:$Q,'Stock Guide'!$B:$B,B32))</f>
        <v>0.20174510841000001</v>
      </c>
      <c r="L32" s="134">
        <f>IF(B32="","",SUMIFS('Stock Guide'!$R:$R,'Stock Guide'!$B:$B,B32))</f>
        <v>0.18085668958223161</v>
      </c>
      <c r="M32" s="133">
        <f>IF(B32="","",SUMIFS('Stock Guide'!$T:$T,'Stock Guide'!$B:$B,B32))</f>
        <v>0.56999999999999995</v>
      </c>
      <c r="N32" s="138">
        <f>IFERROR(IF(B32="","",AVERAGEIFS('Stock Guide'!$U:$U,'Stock Guide'!$B:$B,B32)),"-")</f>
        <v>-5.6121181727000001E-2</v>
      </c>
      <c r="O32" s="138">
        <f>IFERROR(IF(B32="","",AVERAGEIFS('Stock Guide'!$V:$V,'Stock Guide'!$B:$B,B32)),"-")</f>
        <v>-0.14017809767</v>
      </c>
      <c r="P32" s="138">
        <f>IFERROR(IF(B32="","",AVERAGEIFS('Stock Guide'!$W:$W,'Stock Guide'!$B:$B,B32)),"-")</f>
        <v>-0.18017763301</v>
      </c>
    </row>
    <row r="33" spans="2:16" ht="16.5" customHeight="1" x14ac:dyDescent="0.2">
      <c r="B33" s="131" t="s">
        <v>518</v>
      </c>
      <c r="C33" s="132" t="str">
        <f>IF(B33="","",(VLOOKUP(B33,'Stock Guide'!$B:$D,3,0)))</f>
        <v>Itaú Crédito Imobiliário IPCA FII</v>
      </c>
      <c r="D33" s="133">
        <f>IF(B33="","",SUMIFS('Stock Guide'!$J:$J,'Stock Guide'!$B:$B,B33))</f>
        <v>86.54</v>
      </c>
      <c r="E33" s="134">
        <f>IF(B33="","",SUMIFS('Stock Guide'!$H:$H,'Stock Guide'!$B:$B,B33))</f>
        <v>2.2499999999999998E-3</v>
      </c>
      <c r="F33" s="135">
        <f>IF(B33="","",SUMIFS('Stock Guide'!I:I,'Stock Guide'!$B:$B,B33))</f>
        <v>686211.23846000002</v>
      </c>
      <c r="G33" s="136">
        <f>IF(B33="","",SUMIFS('Stock Guide'!$M:$M,'Stock Guide'!$B:$B,B33))</f>
        <v>333815847.86000001</v>
      </c>
      <c r="H33" s="136">
        <f>IF(B33="","",SUMIFS('Stock Guide'!$N:$N,'Stock Guide'!$B:$B,B33))</f>
        <v>385709474.23000002</v>
      </c>
      <c r="I33" s="137">
        <f>IF(B33="","",SUMIFS('Stock Guide'!$O:$O,'Stock Guide'!$B:$B,B33))</f>
        <v>0.8654592903801589</v>
      </c>
      <c r="J33" s="137">
        <f>IF(B33="","",SUMIFS('Stock Guide'!$P:$P,'Stock Guide'!$B:$B,B33))</f>
        <v>0.88889140284000001</v>
      </c>
      <c r="K33" s="134">
        <f>IF(B33="","",SUMIFS('Stock Guide'!$Q:$Q,'Stock Guide'!$B:$B,B33))</f>
        <v>0.13866420153</v>
      </c>
      <c r="L33" s="134">
        <f>IF(B33="","",SUMIFS('Stock Guide'!$R:$R,'Stock Guide'!$B:$B,B33))</f>
        <v>0.15946383175410211</v>
      </c>
      <c r="M33" s="133">
        <f>IF(B33="","",SUMIFS('Stock Guide'!$T:$T,'Stock Guide'!$B:$B,B33))</f>
        <v>1.1499999999999999</v>
      </c>
      <c r="N33" s="138">
        <f>IFERROR(IF(B33="","",AVERAGEIFS('Stock Guide'!$U:$U,'Stock Guide'!$B:$B,B33)),"-")</f>
        <v>-5.2654625067999998E-2</v>
      </c>
      <c r="O33" s="138">
        <f>IFERROR(IF(B33="","",AVERAGEIFS('Stock Guide'!$V:$V,'Stock Guide'!$B:$B,B33)),"-")</f>
        <v>3.9511461467999998E-2</v>
      </c>
      <c r="P33" s="138">
        <f>IFERROR(IF(B33="","",AVERAGEIFS('Stock Guide'!$W:$W,'Stock Guide'!$B:$B,B33)),"-")</f>
        <v>7.4552511653000003E-2</v>
      </c>
    </row>
    <row r="34" spans="2:16" ht="16.5" customHeight="1" x14ac:dyDescent="0.2">
      <c r="B34" s="131" t="s">
        <v>524</v>
      </c>
      <c r="C34" s="132" t="str">
        <f>IF(B34="","",(VLOOKUP(B34,'Stock Guide'!$B:$D,3,0)))</f>
        <v>Iridium FII</v>
      </c>
      <c r="D34" s="133">
        <f>IF(B34="","",SUMIFS('Stock Guide'!$J:$J,'Stock Guide'!$B:$B,B34))</f>
        <v>60.45</v>
      </c>
      <c r="E34" s="134">
        <f>IF(B34="","",SUMIFS('Stock Guide'!$H:$H,'Stock Guide'!$B:$B,B34))</f>
        <v>1.44E-2</v>
      </c>
      <c r="F34" s="135">
        <f>IF(B34="","",SUMIFS('Stock Guide'!I:I,'Stock Guide'!$B:$B,B34))</f>
        <v>2866222.9859000002</v>
      </c>
      <c r="G34" s="136">
        <f>IF(B34="","",SUMIFS('Stock Guide'!$M:$M,'Stock Guide'!$B:$B,B34))</f>
        <v>2129408496.2</v>
      </c>
      <c r="H34" s="136">
        <f>IF(B34="","",SUMIFS('Stock Guide'!$N:$N,'Stock Guide'!$B:$B,B34))</f>
        <v>2898857779.9000001</v>
      </c>
      <c r="I34" s="137">
        <f>IF(B34="","",SUMIFS('Stock Guide'!$O:$O,'Stock Guide'!$B:$B,B34))</f>
        <v>0.73456811540214872</v>
      </c>
      <c r="J34" s="137">
        <f>IF(B34="","",SUMIFS('Stock Guide'!$P:$P,'Stock Guide'!$B:$B,B34))</f>
        <v>0.80821486873000004</v>
      </c>
      <c r="K34" s="134">
        <f>IF(B34="","",SUMIFS('Stock Guide'!$Q:$Q,'Stock Guide'!$B:$B,B34))</f>
        <v>0.16625310173999999</v>
      </c>
      <c r="L34" s="134">
        <f>IF(B34="","",SUMIFS('Stock Guide'!$R:$R,'Stock Guide'!$B:$B,B34))</f>
        <v>0.15285359801488832</v>
      </c>
      <c r="M34" s="133">
        <f>IF(B34="","",SUMIFS('Stock Guide'!$T:$T,'Stock Guide'!$B:$B,B34))</f>
        <v>0.77</v>
      </c>
      <c r="N34" s="138">
        <f>IFERROR(IF(B34="","",AVERAGEIFS('Stock Guide'!$U:$U,'Stock Guide'!$B:$B,B34)),"-")</f>
        <v>-5.9840491713000002E-2</v>
      </c>
      <c r="O34" s="138">
        <f>IFERROR(IF(B34="","",AVERAGEIFS('Stock Guide'!$V:$V,'Stock Guide'!$B:$B,B34)),"-")</f>
        <v>-1.2379520850999999E-2</v>
      </c>
      <c r="P34" s="138">
        <f>IFERROR(IF(B34="","",AVERAGEIFS('Stock Guide'!$W:$W,'Stock Guide'!$B:$B,B34)),"-")</f>
        <v>6.1700904666999998E-2</v>
      </c>
    </row>
    <row r="35" spans="2:16" ht="16.5" customHeight="1" x14ac:dyDescent="0.2">
      <c r="B35" s="131" t="s">
        <v>535</v>
      </c>
      <c r="C35" s="132" t="str">
        <f>IF(B35="","",(VLOOKUP(B35,'Stock Guide'!$B:$D,3,0)))</f>
        <v>JPP Capital Recebíveis Imobiliários FII</v>
      </c>
      <c r="D35" s="133">
        <f>IF(B35="","",SUMIFS('Stock Guide'!$J:$J,'Stock Guide'!$B:$B,B35))</f>
        <v>74.11</v>
      </c>
      <c r="E35" s="134">
        <f>IF(B35="","",SUMIFS('Stock Guide'!$H:$H,'Stock Guide'!$B:$B,B35))</f>
        <v>0</v>
      </c>
      <c r="F35" s="135">
        <f>IF(B35="","",SUMIFS('Stock Guide'!I:I,'Stock Guide'!$B:$B,B35))</f>
        <v>98615.050308000005</v>
      </c>
      <c r="G35" s="136">
        <f>IF(B35="","",SUMIFS('Stock Guide'!$M:$M,'Stock Guide'!$B:$B,B35))</f>
        <v>66999145.5</v>
      </c>
      <c r="H35" s="136">
        <f>IF(B35="","",SUMIFS('Stock Guide'!$N:$N,'Stock Guide'!$B:$B,B35))</f>
        <v>89413385.400000006</v>
      </c>
      <c r="I35" s="137">
        <f>IF(B35="","",SUMIFS('Stock Guide'!$O:$O,'Stock Guide'!$B:$B,B35))</f>
        <v>0.74931896606165183</v>
      </c>
      <c r="J35" s="137">
        <f>IF(B35="","",SUMIFS('Stock Guide'!$P:$P,'Stock Guide'!$B:$B,B35))</f>
        <v>0.8159177527</v>
      </c>
      <c r="K35" s="134">
        <f>IF(B35="","",SUMIFS('Stock Guide'!$Q:$Q,'Stock Guide'!$B:$B,B35))</f>
        <v>0.18809877210000001</v>
      </c>
      <c r="L35" s="134">
        <f>IF(B35="","",SUMIFS('Stock Guide'!$R:$R,'Stock Guide'!$B:$B,B35))</f>
        <v>0.19430576170557279</v>
      </c>
      <c r="M35" s="133">
        <f>IF(B35="","",SUMIFS('Stock Guide'!$T:$T,'Stock Guide'!$B:$B,B35))</f>
        <v>1.2</v>
      </c>
      <c r="N35" s="138">
        <f>IFERROR(IF(B35="","",AVERAGEIFS('Stock Guide'!$U:$U,'Stock Guide'!$B:$B,B35)),"-")</f>
        <v>-0.10603136308</v>
      </c>
      <c r="O35" s="138">
        <f>IFERROR(IF(B35="","",AVERAGEIFS('Stock Guide'!$V:$V,'Stock Guide'!$B:$B,B35)),"-")</f>
        <v>7.3139795222000002E-3</v>
      </c>
      <c r="P35" s="138">
        <f>IFERROR(IF(B35="","",AVERAGEIFS('Stock Guide'!$W:$W,'Stock Guide'!$B:$B,B35)),"-")</f>
        <v>0.10397696841</v>
      </c>
    </row>
    <row r="36" spans="2:16" ht="16.5" customHeight="1" x14ac:dyDescent="0.2">
      <c r="B36" s="131" t="s">
        <v>542</v>
      </c>
      <c r="C36" s="132" t="str">
        <f>IF(B36="","",(VLOOKUP(B36,'Stock Guide'!$B:$D,3,0)))</f>
        <v>JS Recebíveis Imobiliários FII</v>
      </c>
      <c r="D36" s="133">
        <f>IF(B36="","",SUMIFS('Stock Guide'!$J:$J,'Stock Guide'!$B:$B,B36))</f>
        <v>7.95</v>
      </c>
      <c r="E36" s="134">
        <f>IF(B36="","",SUMIFS('Stock Guide'!$H:$H,'Stock Guide'!$B:$B,B36))</f>
        <v>0</v>
      </c>
      <c r="F36" s="135">
        <f>IF(B36="","",SUMIFS('Stock Guide'!I:I,'Stock Guide'!$B:$B,B36))</f>
        <v>375669.71153999999</v>
      </c>
      <c r="G36" s="136">
        <f>IF(B36="","",SUMIFS('Stock Guide'!$M:$M,'Stock Guide'!$B:$B,B36))</f>
        <v>175989945</v>
      </c>
      <c r="H36" s="136">
        <f>IF(B36="","",SUMIFS('Stock Guide'!$N:$N,'Stock Guide'!$B:$B,B36))</f>
        <v>208588972.05000001</v>
      </c>
      <c r="I36" s="137">
        <f>IF(B36="","",SUMIFS('Stock Guide'!$O:$O,'Stock Guide'!$B:$B,B36))</f>
        <v>0.84371644037736648</v>
      </c>
      <c r="J36" s="137">
        <f>IF(B36="","",SUMIFS('Stock Guide'!$P:$P,'Stock Guide'!$B:$B,B36))</f>
        <v>0.86607406000999998</v>
      </c>
      <c r="K36" s="134">
        <f>IF(B36="","",SUMIFS('Stock Guide'!$Q:$Q,'Stock Guide'!$B:$B,B36))</f>
        <v>0.14805031447</v>
      </c>
      <c r="L36" s="134">
        <f>IF(B36="","",SUMIFS('Stock Guide'!$R:$R,'Stock Guide'!$B:$B,B36))</f>
        <v>0.15094339622641512</v>
      </c>
      <c r="M36" s="133">
        <f>IF(B36="","",SUMIFS('Stock Guide'!$T:$T,'Stock Guide'!$B:$B,B36))</f>
        <v>0.1</v>
      </c>
      <c r="N36" s="138">
        <f>IFERROR(IF(B36="","",AVERAGEIFS('Stock Guide'!$U:$U,'Stock Guide'!$B:$B,B36)),"-")</f>
        <v>-1.119402985E-2</v>
      </c>
      <c r="O36" s="138">
        <f>IFERROR(IF(B36="","",AVERAGEIFS('Stock Guide'!$V:$V,'Stock Guide'!$B:$B,B36)),"-")</f>
        <v>5.5218188052000003E-2</v>
      </c>
      <c r="P36" s="138">
        <f>IFERROR(IF(B36="","",AVERAGEIFS('Stock Guide'!$W:$W,'Stock Guide'!$B:$B,B36)),"-")</f>
        <v>0.14648030224</v>
      </c>
    </row>
    <row r="37" spans="2:16" ht="16.5" customHeight="1" x14ac:dyDescent="0.2">
      <c r="B37" s="131" t="s">
        <v>546</v>
      </c>
      <c r="C37" s="132" t="str">
        <f>IF(B37="","",(VLOOKUP(B37,'Stock Guide'!$B:$D,3,0)))</f>
        <v>Kinea Creditas FII</v>
      </c>
      <c r="D37" s="133">
        <f>IF(B37="","",SUMIFS('Stock Guide'!$J:$J,'Stock Guide'!$B:$B,B37))</f>
        <v>8.48</v>
      </c>
      <c r="E37" s="134">
        <f>IF(B37="","",SUMIFS('Stock Guide'!$H:$H,'Stock Guide'!$B:$B,B37))</f>
        <v>2.0600000000000002E-3</v>
      </c>
      <c r="F37" s="135">
        <f>IF(B37="","",SUMIFS('Stock Guide'!I:I,'Stock Guide'!$B:$B,B37))</f>
        <v>335621.39984999999</v>
      </c>
      <c r="G37" s="136">
        <f>IF(B37="","",SUMIFS('Stock Guide'!$M:$M,'Stock Guide'!$B:$B,B37))</f>
        <v>305280000</v>
      </c>
      <c r="H37" s="136">
        <f>IF(B37="","",SUMIFS('Stock Guide'!$N:$N,'Stock Guide'!$B:$B,B37))</f>
        <v>334195956.44</v>
      </c>
      <c r="I37" s="137">
        <f>IF(B37="","",SUMIFS('Stock Guide'!$O:$O,'Stock Guide'!$B:$B,B37))</f>
        <v>0.91347604337280053</v>
      </c>
      <c r="J37" s="137">
        <f>IF(B37="","",SUMIFS('Stock Guide'!$P:$P,'Stock Guide'!$B:$B,B37))</f>
        <v>0.91894728634</v>
      </c>
      <c r="K37" s="134">
        <f>IF(B37="","",SUMIFS('Stock Guide'!$Q:$Q,'Stock Guide'!$B:$B,B37))</f>
        <v>0.13679245282999999</v>
      </c>
      <c r="L37" s="134">
        <f>IF(B37="","",SUMIFS('Stock Guide'!$R:$R,'Stock Guide'!$B:$B,B37))</f>
        <v>0.16981132075471697</v>
      </c>
      <c r="M37" s="133">
        <f>IF(B37="","",SUMIFS('Stock Guide'!$T:$T,'Stock Guide'!$B:$B,B37))</f>
        <v>0.12</v>
      </c>
      <c r="N37" s="138">
        <f>IFERROR(IF(B37="","",AVERAGEIFS('Stock Guide'!$U:$U,'Stock Guide'!$B:$B,B37)),"-")</f>
        <v>-2.9748283754000002E-2</v>
      </c>
      <c r="O37" s="138">
        <f>IFERROR(IF(B37="","",AVERAGEIFS('Stock Guide'!$V:$V,'Stock Guide'!$B:$B,B37)),"-")</f>
        <v>5.6424831278E-2</v>
      </c>
      <c r="P37" s="138">
        <f>IFERROR(IF(B37="","",AVERAGEIFS('Stock Guide'!$W:$W,'Stock Guide'!$B:$B,B37)),"-")</f>
        <v>0.12492639315</v>
      </c>
    </row>
    <row r="38" spans="2:16" ht="16.5" customHeight="1" x14ac:dyDescent="0.2">
      <c r="B38" s="131" t="s">
        <v>552</v>
      </c>
      <c r="C38" s="132" t="str">
        <f>IF(B38="","",(VLOOKUP(B38,'Stock Guide'!$B:$D,3,0)))</f>
        <v>Kilima Volkano Recebíveis Imobiliários FII</v>
      </c>
      <c r="D38" s="133">
        <f>IF(B38="","",SUMIFS('Stock Guide'!$J:$J,'Stock Guide'!$B:$B,B38))</f>
        <v>53.01</v>
      </c>
      <c r="E38" s="134">
        <f>IF(B38="","",SUMIFS('Stock Guide'!$H:$H,'Stock Guide'!$B:$B,B38))</f>
        <v>8.0000000000000004E-4</v>
      </c>
      <c r="F38" s="135">
        <f>IF(B38="","",SUMIFS('Stock Guide'!I:I,'Stock Guide'!$B:$B,B38))</f>
        <v>465838.60077000002</v>
      </c>
      <c r="G38" s="136">
        <f>IF(B38="","",SUMIFS('Stock Guide'!$M:$M,'Stock Guide'!$B:$B,B38))</f>
        <v>117827235.36</v>
      </c>
      <c r="H38" s="136">
        <f>IF(B38="","",SUMIFS('Stock Guide'!$N:$N,'Stock Guide'!$B:$B,B38))</f>
        <v>186425081.13</v>
      </c>
      <c r="I38" s="137">
        <f>IF(B38="","",SUMIFS('Stock Guide'!$O:$O,'Stock Guide'!$B:$B,B38))</f>
        <v>0.63203531759675302</v>
      </c>
      <c r="J38" s="137">
        <f>IF(B38="","",SUMIFS('Stock Guide'!$P:$P,'Stock Guide'!$B:$B,B38))</f>
        <v>0.75150601421999996</v>
      </c>
      <c r="K38" s="134">
        <f>IF(B38="","",SUMIFS('Stock Guide'!$Q:$Q,'Stock Guide'!$B:$B,B38))</f>
        <v>0.20052820223000001</v>
      </c>
      <c r="L38" s="134">
        <f>IF(B38="","",SUMIFS('Stock Guide'!$R:$R,'Stock Guide'!$B:$B,B38))</f>
        <v>0.19694397283531412</v>
      </c>
      <c r="M38" s="133">
        <f>IF(B38="","",SUMIFS('Stock Guide'!$T:$T,'Stock Guide'!$B:$B,B38))</f>
        <v>0.87</v>
      </c>
      <c r="N38" s="138">
        <f>IFERROR(IF(B38="","",AVERAGEIFS('Stock Guide'!$U:$U,'Stock Guide'!$B:$B,B38)),"-")</f>
        <v>-6.5409026799E-2</v>
      </c>
      <c r="O38" s="138">
        <f>IFERROR(IF(B38="","",AVERAGEIFS('Stock Guide'!$V:$V,'Stock Guide'!$B:$B,B38)),"-")</f>
        <v>-8.6705719234E-2</v>
      </c>
      <c r="P38" s="138">
        <f>IFERROR(IF(B38="","",AVERAGEIFS('Stock Guide'!$W:$W,'Stock Guide'!$B:$B,B38)),"-")</f>
        <v>-2.8976146386999999E-2</v>
      </c>
    </row>
    <row r="39" spans="2:16" ht="16.5" customHeight="1" x14ac:dyDescent="0.2">
      <c r="B39" s="131" t="s">
        <v>31</v>
      </c>
      <c r="C39" s="132" t="str">
        <f>IF(B39="","",(VLOOKUP(B39,'Stock Guide'!$B:$D,3,0)))</f>
        <v>Kinea Rendimentos Imobiliários FII</v>
      </c>
      <c r="D39" s="133">
        <f>IF(B39="","",SUMIFS('Stock Guide'!$J:$J,'Stock Guide'!$B:$B,B39))</f>
        <v>106.6</v>
      </c>
      <c r="E39" s="134">
        <f>IF(B39="","",SUMIFS('Stock Guide'!$H:$H,'Stock Guide'!$B:$B,B39))</f>
        <v>7.7189999999999995E-2</v>
      </c>
      <c r="F39" s="135">
        <f>IF(B39="","",SUMIFS('Stock Guide'!I:I,'Stock Guide'!$B:$B,B39))</f>
        <v>21474425.813999999</v>
      </c>
      <c r="G39" s="136">
        <f>IF(B39="","",SUMIFS('Stock Guide'!$M:$M,'Stock Guide'!$B:$B,B39))</f>
        <v>11415753705</v>
      </c>
      <c r="H39" s="136">
        <f>IF(B39="","",SUMIFS('Stock Guide'!$N:$N,'Stock Guide'!$B:$B,B39))</f>
        <v>10978689824</v>
      </c>
      <c r="I39" s="137">
        <f>IF(B39="","",SUMIFS('Stock Guide'!$O:$O,'Stock Guide'!$B:$B,B39))</f>
        <v>1.0398102039502524</v>
      </c>
      <c r="J39" s="137">
        <f>IF(B39="","",SUMIFS('Stock Guide'!$P:$P,'Stock Guide'!$B:$B,B39))</f>
        <v>1.0386673318999999</v>
      </c>
      <c r="K39" s="134">
        <f>IF(B39="","",SUMIFS('Stock Guide'!$Q:$Q,'Stock Guide'!$B:$B,B39))</f>
        <v>0.13452157599</v>
      </c>
      <c r="L39" s="134">
        <f>IF(B39="","",SUMIFS('Stock Guide'!$R:$R,'Stock Guide'!$B:$B,B39))</f>
        <v>0.1407129455909944</v>
      </c>
      <c r="M39" s="133">
        <f>IF(B39="","",SUMIFS('Stock Guide'!$T:$T,'Stock Guide'!$B:$B,B39))</f>
        <v>1.25</v>
      </c>
      <c r="N39" s="138">
        <f>IFERROR(IF(B39="","",AVERAGEIFS('Stock Guide'!$U:$U,'Stock Guide'!$B:$B,B39)),"-")</f>
        <v>-2.0595394117E-3</v>
      </c>
      <c r="O39" s="138">
        <f>IFERROR(IF(B39="","",AVERAGEIFS('Stock Guide'!$V:$V,'Stock Guide'!$B:$B,B39)),"-")</f>
        <v>8.0907163892000006E-2</v>
      </c>
      <c r="P39" s="138">
        <f>IFERROR(IF(B39="","",AVERAGEIFS('Stock Guide'!$W:$W,'Stock Guide'!$B:$B,B39)),"-")</f>
        <v>0.18083758010000001</v>
      </c>
    </row>
    <row r="40" spans="2:16" ht="16.5" customHeight="1" x14ac:dyDescent="0.2">
      <c r="B40" s="131" t="s">
        <v>557</v>
      </c>
      <c r="C40" s="132" t="str">
        <f>IF(B40="","",(VLOOKUP(B40,'Stock Guide'!$B:$D,3,0)))</f>
        <v>Kinea High Yield CRI FII</v>
      </c>
      <c r="D40" s="133">
        <f>IF(B40="","",SUMIFS('Stock Guide'!$J:$J,'Stock Guide'!$B:$B,B40))</f>
        <v>95.12</v>
      </c>
      <c r="E40" s="134">
        <f>IF(B40="","",SUMIFS('Stock Guide'!$H:$H,'Stock Guide'!$B:$B,B40))</f>
        <v>2.0049999999999998E-2</v>
      </c>
      <c r="F40" s="135">
        <f>IF(B40="","",SUMIFS('Stock Guide'!I:I,'Stock Guide'!$B:$B,B40))</f>
        <v>4004940.0902</v>
      </c>
      <c r="G40" s="136">
        <f>IF(B40="","",SUMIFS('Stock Guide'!$M:$M,'Stock Guide'!$B:$B,B40))</f>
        <v>2965183655</v>
      </c>
      <c r="H40" s="136">
        <f>IF(B40="","",SUMIFS('Stock Guide'!$N:$N,'Stock Guide'!$B:$B,B40))</f>
        <v>3059927885.9000001</v>
      </c>
      <c r="I40" s="137">
        <f>IF(B40="","",SUMIFS('Stock Guide'!$O:$O,'Stock Guide'!$B:$B,B40))</f>
        <v>0.96903710334593929</v>
      </c>
      <c r="J40" s="137">
        <f>IF(B40="","",SUMIFS('Stock Guide'!$P:$P,'Stock Guide'!$B:$B,B40))</f>
        <v>1.0095973172999999</v>
      </c>
      <c r="K40" s="134">
        <f>IF(B40="","",SUMIFS('Stock Guide'!$Q:$Q,'Stock Guide'!$B:$B,B40))</f>
        <v>0.13751051304</v>
      </c>
      <c r="L40" s="134">
        <f>IF(B40="","",SUMIFS('Stock Guide'!$R:$R,'Stock Guide'!$B:$B,B40))</f>
        <v>0.15138772077375945</v>
      </c>
      <c r="M40" s="133">
        <f>IF(B40="","",SUMIFS('Stock Guide'!$T:$T,'Stock Guide'!$B:$B,B40))</f>
        <v>1.2</v>
      </c>
      <c r="N40" s="138">
        <f>IFERROR(IF(B40="","",AVERAGEIFS('Stock Guide'!$U:$U,'Stock Guide'!$B:$B,B40)),"-")</f>
        <v>-3.7441813398999997E-2</v>
      </c>
      <c r="O40" s="138">
        <f>IFERROR(IF(B40="","",AVERAGEIFS('Stock Guide'!$V:$V,'Stock Guide'!$B:$B,B40)),"-")</f>
        <v>3.3308416138999999E-2</v>
      </c>
      <c r="P40" s="138">
        <f>IFERROR(IF(B40="","",AVERAGEIFS('Stock Guide'!$W:$W,'Stock Guide'!$B:$B,B40)),"-")</f>
        <v>6.7053025372000002E-2</v>
      </c>
    </row>
    <row r="41" spans="2:16" ht="16.5" customHeight="1" x14ac:dyDescent="0.2">
      <c r="B41" s="131" t="s">
        <v>29</v>
      </c>
      <c r="C41" s="132" t="str">
        <f>IF(B41="","",(VLOOKUP(B41,'Stock Guide'!$B:$D,3,0)))</f>
        <v>Kinea Indices de Preços FII</v>
      </c>
      <c r="D41" s="133">
        <f>IF(B41="","",SUMIFS('Stock Guide'!$J:$J,'Stock Guide'!$B:$B,B41))</f>
        <v>89.3</v>
      </c>
      <c r="E41" s="134">
        <f>IF(B41="","",SUMIFS('Stock Guide'!$H:$H,'Stock Guide'!$B:$B,B41))</f>
        <v>4.8349999999999997E-2</v>
      </c>
      <c r="F41" s="135">
        <f>IF(B41="","",SUMIFS('Stock Guide'!I:I,'Stock Guide'!$B:$B,B41))</f>
        <v>10206473.310000001</v>
      </c>
      <c r="G41" s="136">
        <f>IF(B41="","",SUMIFS('Stock Guide'!$M:$M,'Stock Guide'!$B:$B,B41))</f>
        <v>7150982009.8000002</v>
      </c>
      <c r="H41" s="136">
        <f>IF(B41="","",SUMIFS('Stock Guide'!$N:$N,'Stock Guide'!$B:$B,B41))</f>
        <v>7435551675.8999996</v>
      </c>
      <c r="I41" s="137">
        <f>IF(B41="","",SUMIFS('Stock Guide'!$O:$O,'Stock Guide'!$B:$B,B41))</f>
        <v>0.96172850670618804</v>
      </c>
      <c r="J41" s="137">
        <f>IF(B41="","",SUMIFS('Stock Guide'!$P:$P,'Stock Guide'!$B:$B,B41))</f>
        <v>0.96969350943999999</v>
      </c>
      <c r="K41" s="134">
        <f>IF(B41="","",SUMIFS('Stock Guide'!$Q:$Q,'Stock Guide'!$B:$B,B41))</f>
        <v>0.11377379619</v>
      </c>
      <c r="L41" s="134">
        <f>IF(B41="","",SUMIFS('Stock Guide'!$R:$R,'Stock Guide'!$B:$B,B41))</f>
        <v>0.1276595744680851</v>
      </c>
      <c r="M41" s="133">
        <f>IF(B41="","",SUMIFS('Stock Guide'!$T:$T,'Stock Guide'!$B:$B,B41))</f>
        <v>0.95</v>
      </c>
      <c r="N41" s="138">
        <f>IFERROR(IF(B41="","",AVERAGEIFS('Stock Guide'!$U:$U,'Stock Guide'!$B:$B,B41)),"-")</f>
        <v>-1.4783759927E-2</v>
      </c>
      <c r="O41" s="138">
        <f>IFERROR(IF(B41="","",AVERAGEIFS('Stock Guide'!$V:$V,'Stock Guide'!$B:$B,B41)),"-")</f>
        <v>7.0350425191999993E-2</v>
      </c>
      <c r="P41" s="138">
        <f>IFERROR(IF(B41="","",AVERAGEIFS('Stock Guide'!$W:$W,'Stock Guide'!$B:$B,B41)),"-")</f>
        <v>0.15124008206</v>
      </c>
    </row>
    <row r="42" spans="2:16" ht="16.5" customHeight="1" x14ac:dyDescent="0.2">
      <c r="B42" s="131" t="s">
        <v>562</v>
      </c>
      <c r="C42" s="132" t="str">
        <f>IF(B42="","",(VLOOKUP(B42,'Stock Guide'!$B:$D,3,0)))</f>
        <v>Kinea Securities FII</v>
      </c>
      <c r="D42" s="133">
        <f>IF(B42="","",SUMIFS('Stock Guide'!$J:$J,'Stock Guide'!$B:$B,B42))</f>
        <v>9.01</v>
      </c>
      <c r="E42" s="134">
        <f>IF(B42="","",SUMIFS('Stock Guide'!$H:$H,'Stock Guide'!$B:$B,B42))</f>
        <v>1.512E-2</v>
      </c>
      <c r="F42" s="135">
        <f>IF(B42="","",SUMIFS('Stock Guide'!I:I,'Stock Guide'!$B:$B,B42))</f>
        <v>4607763.0177999996</v>
      </c>
      <c r="G42" s="136">
        <f>IF(B42="","",SUMIFS('Stock Guide'!$M:$M,'Stock Guide'!$B:$B,B42))</f>
        <v>1821843488.8</v>
      </c>
      <c r="H42" s="136">
        <f>IF(B42="","",SUMIFS('Stock Guide'!$N:$N,'Stock Guide'!$B:$B,B42))</f>
        <v>1765949116.4000001</v>
      </c>
      <c r="I42" s="137">
        <f>IF(B42="","",SUMIFS('Stock Guide'!$O:$O,'Stock Guide'!$B:$B,B42))</f>
        <v>1.0316511794597707</v>
      </c>
      <c r="J42" s="137">
        <f>IF(B42="","",SUMIFS('Stock Guide'!$P:$P,'Stock Guide'!$B:$B,B42))</f>
        <v>0.99107418992999996</v>
      </c>
      <c r="K42" s="134">
        <f>IF(B42="","",SUMIFS('Stock Guide'!$Q:$Q,'Stock Guide'!$B:$B,B42))</f>
        <v>0.12763596004</v>
      </c>
      <c r="L42" s="134">
        <f>IF(B42="","",SUMIFS('Stock Guide'!$R:$R,'Stock Guide'!$B:$B,B42))</f>
        <v>0.146503884572697</v>
      </c>
      <c r="M42" s="133">
        <f>IF(B42="","",SUMIFS('Stock Guide'!$T:$T,'Stock Guide'!$B:$B,B42))</f>
        <v>0.11</v>
      </c>
      <c r="N42" s="138">
        <f>IFERROR(IF(B42="","",AVERAGEIFS('Stock Guide'!$U:$U,'Stock Guide'!$B:$B,B42)),"-")</f>
        <v>3.3407572373000002E-3</v>
      </c>
      <c r="O42" s="138">
        <f>IFERROR(IF(B42="","",AVERAGEIFS('Stock Guide'!$V:$V,'Stock Guide'!$B:$B,B42)),"-")</f>
        <v>0.11688185839</v>
      </c>
      <c r="P42" s="138">
        <f>IFERROR(IF(B42="","",AVERAGEIFS('Stock Guide'!$W:$W,'Stock Guide'!$B:$B,B42)),"-")</f>
        <v>0.18141714892999999</v>
      </c>
    </row>
    <row r="43" spans="2:16" ht="16.5" customHeight="1" x14ac:dyDescent="0.2">
      <c r="B43" s="131" t="s">
        <v>564</v>
      </c>
      <c r="C43" s="132" t="str">
        <f>IF(B43="","",(VLOOKUP(B43,'Stock Guide'!$B:$D,3,0)))</f>
        <v>Kinea Unique HY CDI FII</v>
      </c>
      <c r="D43" s="133">
        <f>IF(B43="","",SUMIFS('Stock Guide'!$J:$J,'Stock Guide'!$B:$B,B43))</f>
        <v>104.01</v>
      </c>
      <c r="E43" s="134">
        <f>IF(B43="","",SUMIFS('Stock Guide'!$H:$H,'Stock Guide'!$B:$B,B43))</f>
        <v>1.511E-2</v>
      </c>
      <c r="F43" s="135">
        <f>IF(B43="","",SUMIFS('Stock Guide'!I:I,'Stock Guide'!$B:$B,B43))</f>
        <v>4392161.8547999999</v>
      </c>
      <c r="G43" s="136">
        <f>IF(B43="","",SUMIFS('Stock Guide'!$M:$M,'Stock Guide'!$B:$B,B43))</f>
        <v>2234626767.3000002</v>
      </c>
      <c r="H43" s="136">
        <f>IF(B43="","",SUMIFS('Stock Guide'!$N:$N,'Stock Guide'!$B:$B,B43))</f>
        <v>2160369702.5999999</v>
      </c>
      <c r="I43" s="137">
        <f>IF(B43="","",SUMIFS('Stock Guide'!$O:$O,'Stock Guide'!$B:$B,B43))</f>
        <v>1.0343723875643285</v>
      </c>
      <c r="J43" s="137">
        <f>IF(B43="","",SUMIFS('Stock Guide'!$P:$P,'Stock Guide'!$B:$B,B43))</f>
        <v>1.0253458311000001</v>
      </c>
      <c r="K43" s="134">
        <f>IF(B43="","",SUMIFS('Stock Guide'!$Q:$Q,'Stock Guide'!$B:$B,B43))</f>
        <v>0.14200557639</v>
      </c>
      <c r="L43" s="134">
        <f>IF(B43="","",SUMIFS('Stock Guide'!$R:$R,'Stock Guide'!$B:$B,B43))</f>
        <v>0.14998557830977791</v>
      </c>
      <c r="M43" s="133">
        <f>IF(B43="","",SUMIFS('Stock Guide'!$T:$T,'Stock Guide'!$B:$B,B43))</f>
        <v>1.3</v>
      </c>
      <c r="N43" s="138">
        <f>IFERROR(IF(B43="","",AVERAGEIFS('Stock Guide'!$U:$U,'Stock Guide'!$B:$B,B43)),"-")</f>
        <v>-4.0218328058E-3</v>
      </c>
      <c r="O43" s="138">
        <f>IFERROR(IF(B43="","",AVERAGEIFS('Stock Guide'!$V:$V,'Stock Guide'!$B:$B,B43)),"-")</f>
        <v>8.4058862728999997E-2</v>
      </c>
      <c r="P43" s="138">
        <f>IFERROR(IF(B43="","",AVERAGEIFS('Stock Guide'!$W:$W,'Stock Guide'!$B:$B,B43)),"-")</f>
        <v>0.14128900418000001</v>
      </c>
    </row>
    <row r="44" spans="2:16" ht="16.5" customHeight="1" x14ac:dyDescent="0.2">
      <c r="B44" s="131" t="s">
        <v>570</v>
      </c>
      <c r="C44" s="132" t="str">
        <f>IF(B44="","",(VLOOKUP(B44,'Stock Guide'!$B:$D,3,0)))</f>
        <v>Life Capital Partners FII</v>
      </c>
      <c r="D44" s="133">
        <f>IF(B44="","",SUMIFS('Stock Guide'!$J:$J,'Stock Guide'!$B:$B,B44))</f>
        <v>6.85</v>
      </c>
      <c r="E44" s="134">
        <f>IF(B44="","",SUMIFS('Stock Guide'!$H:$H,'Stock Guide'!$B:$B,B44))</f>
        <v>1.8400000000000001E-3</v>
      </c>
      <c r="F44" s="135">
        <f>IF(B44="","",SUMIFS('Stock Guide'!I:I,'Stock Guide'!$B:$B,B44))</f>
        <v>789548.69707999995</v>
      </c>
      <c r="G44" s="136">
        <f>IF(B44="","",SUMIFS('Stock Guide'!$M:$M,'Stock Guide'!$B:$B,B44))</f>
        <v>272366850.39999998</v>
      </c>
      <c r="H44" s="136">
        <f>IF(B44="","",SUMIFS('Stock Guide'!$N:$N,'Stock Guide'!$B:$B,B44))</f>
        <v>388454787.00999999</v>
      </c>
      <c r="I44" s="137">
        <f>IF(B44="","",SUMIFS('Stock Guide'!$O:$O,'Stock Guide'!$B:$B,B44))</f>
        <v>0.70115457321674979</v>
      </c>
      <c r="J44" s="137">
        <f>IF(B44="","",SUMIFS('Stock Guide'!$P:$P,'Stock Guide'!$B:$B,B44))</f>
        <v>0.83461002344000002</v>
      </c>
      <c r="K44" s="134">
        <f>IF(B44="","",SUMIFS('Stock Guide'!$Q:$Q,'Stock Guide'!$B:$B,B44))</f>
        <v>0.20948905109999999</v>
      </c>
      <c r="L44" s="134">
        <f>IF(B44="","",SUMIFS('Stock Guide'!$R:$R,'Stock Guide'!$B:$B,B44))</f>
        <v>0.20145985401459854</v>
      </c>
      <c r="M44" s="133">
        <f>IF(B44="","",SUMIFS('Stock Guide'!$T:$T,'Stock Guide'!$B:$B,B44))</f>
        <v>0.115</v>
      </c>
      <c r="N44" s="138">
        <f>IFERROR(IF(B44="","",AVERAGEIFS('Stock Guide'!$U:$U,'Stock Guide'!$B:$B,B44)),"-")</f>
        <v>-4.3963712491999998E-2</v>
      </c>
      <c r="O44" s="138">
        <f>IFERROR(IF(B44="","",AVERAGEIFS('Stock Guide'!$V:$V,'Stock Guide'!$B:$B,B44)),"-")</f>
        <v>-9.7841437562999997E-2</v>
      </c>
      <c r="P44" s="138">
        <f>IFERROR(IF(B44="","",AVERAGEIFS('Stock Guide'!$W:$W,'Stock Guide'!$B:$B,B44)),"-")</f>
        <v>-4.8384662846000001E-2</v>
      </c>
    </row>
    <row r="45" spans="2:16" ht="16.5" customHeight="1" x14ac:dyDescent="0.2">
      <c r="B45" s="131" t="s">
        <v>576</v>
      </c>
      <c r="C45" s="132" t="str">
        <f>IF(B45="","",(VLOOKUP(B45,'Stock Guide'!$B:$D,3,0)))</f>
        <v>Manatí Capital Hedge Fund FII</v>
      </c>
      <c r="D45" s="133">
        <f>IF(B45="","",SUMIFS('Stock Guide'!$J:$J,'Stock Guide'!$B:$B,B45))</f>
        <v>8.98</v>
      </c>
      <c r="E45" s="134">
        <f>IF(B45="","",SUMIFS('Stock Guide'!$H:$H,'Stock Guide'!$B:$B,B45))</f>
        <v>2.2799999999999999E-3</v>
      </c>
      <c r="F45" s="135">
        <f>IF(B45="","",SUMIFS('Stock Guide'!I:I,'Stock Guide'!$B:$B,B45))</f>
        <v>1533840.3754</v>
      </c>
      <c r="G45" s="136">
        <f>IF(B45="","",SUMIFS('Stock Guide'!$M:$M,'Stock Guide'!$B:$B,B45))</f>
        <v>337074537.19999999</v>
      </c>
      <c r="H45" s="136">
        <f>IF(B45="","",SUMIFS('Stock Guide'!$N:$N,'Stock Guide'!$B:$B,B45))</f>
        <v>347535380.95999998</v>
      </c>
      <c r="I45" s="137">
        <f>IF(B45="","",SUMIFS('Stock Guide'!$O:$O,'Stock Guide'!$B:$B,B45))</f>
        <v>0.96989991715058221</v>
      </c>
      <c r="J45" s="137">
        <f>IF(B45="","",SUMIFS('Stock Guide'!$P:$P,'Stock Guide'!$B:$B,B45))</f>
        <v>0.97072714748</v>
      </c>
      <c r="K45" s="134">
        <f>IF(B45="","",SUMIFS('Stock Guide'!$Q:$Q,'Stock Guide'!$B:$B,B45))</f>
        <v>0.15089086860000001</v>
      </c>
      <c r="L45" s="134">
        <f>IF(B45="","",SUMIFS('Stock Guide'!$R:$R,'Stock Guide'!$B:$B,B45))</f>
        <v>0.16035634743875277</v>
      </c>
      <c r="M45" s="133">
        <f>IF(B45="","",SUMIFS('Stock Guide'!$T:$T,'Stock Guide'!$B:$B,B45))</f>
        <v>0.12</v>
      </c>
      <c r="N45" s="138">
        <f>IFERROR(IF(B45="","",AVERAGEIFS('Stock Guide'!$U:$U,'Stock Guide'!$B:$B,B45)),"-")</f>
        <v>-1.1013215858999999E-2</v>
      </c>
      <c r="O45" s="138">
        <f>IFERROR(IF(B45="","",AVERAGEIFS('Stock Guide'!$V:$V,'Stock Guide'!$B:$B,B45)),"-")</f>
        <v>7.0400082707999995E-2</v>
      </c>
      <c r="P45" s="138">
        <f>IFERROR(IF(B45="","",AVERAGEIFS('Stock Guide'!$W:$W,'Stock Guide'!$B:$B,B45)),"-")</f>
        <v>0.20473082099000001</v>
      </c>
    </row>
    <row r="46" spans="2:16" ht="16.5" customHeight="1" x14ac:dyDescent="0.2">
      <c r="B46" s="131" t="s">
        <v>255</v>
      </c>
      <c r="C46" s="132" t="str">
        <f>IF(B46="","",(VLOOKUP(B46,'Stock Guide'!$B:$D,3,0)))</f>
        <v>Mauá Capital Recebíveis Imobiliários FII</v>
      </c>
      <c r="D46" s="133">
        <f>IF(B46="","",SUMIFS('Stock Guide'!$J:$J,'Stock Guide'!$B:$B,B46))</f>
        <v>93.38</v>
      </c>
      <c r="E46" s="134">
        <f>IF(B46="","",SUMIFS('Stock Guide'!$H:$H,'Stock Guide'!$B:$B,B46))</f>
        <v>1.0710000000000001E-2</v>
      </c>
      <c r="F46" s="135">
        <f>IF(B46="","",SUMIFS('Stock Guide'!I:I,'Stock Guide'!$B:$B,B46))</f>
        <v>4539828.9226000002</v>
      </c>
      <c r="G46" s="136">
        <f>IF(B46="","",SUMIFS('Stock Guide'!$M:$M,'Stock Guide'!$B:$B,B46))</f>
        <v>1583727041.0999999</v>
      </c>
      <c r="H46" s="136">
        <f>IF(B46="","",SUMIFS('Stock Guide'!$N:$N,'Stock Guide'!$B:$B,B46))</f>
        <v>1594206894.8</v>
      </c>
      <c r="I46" s="137">
        <f>IF(B46="","",SUMIFS('Stock Guide'!$O:$O,'Stock Guide'!$B:$B,B46))</f>
        <v>0.99342629006675143</v>
      </c>
      <c r="J46" s="137">
        <f>IF(B46="","",SUMIFS('Stock Guide'!$P:$P,'Stock Guide'!$B:$B,B46))</f>
        <v>0.96319030724999999</v>
      </c>
      <c r="K46" s="134">
        <f>IF(B46="","",SUMIFS('Stock Guide'!$Q:$Q,'Stock Guide'!$B:$B,B46))</f>
        <v>0.12850717498</v>
      </c>
      <c r="L46" s="134">
        <f>IF(B46="","",SUMIFS('Stock Guide'!$R:$R,'Stock Guide'!$B:$B,B46))</f>
        <v>0.1285071749839366</v>
      </c>
      <c r="M46" s="133">
        <f>IF(B46="","",SUMIFS('Stock Guide'!$T:$T,'Stock Guide'!$B:$B,B46))</f>
        <v>1</v>
      </c>
      <c r="N46" s="138">
        <f>IFERROR(IF(B46="","",AVERAGEIFS('Stock Guide'!$U:$U,'Stock Guide'!$B:$B,B46)),"-")</f>
        <v>-4.2546667318999996E-3</v>
      </c>
      <c r="O46" s="138">
        <f>IFERROR(IF(B46="","",AVERAGEIFS('Stock Guide'!$V:$V,'Stock Guide'!$B:$B,B46)),"-")</f>
        <v>0.11080271396999999</v>
      </c>
      <c r="P46" s="138">
        <f>IFERROR(IF(B46="","",AVERAGEIFS('Stock Guide'!$W:$W,'Stock Guide'!$B:$B,B46)),"-")</f>
        <v>0.26147021172000001</v>
      </c>
    </row>
    <row r="47" spans="2:16" ht="16.5" customHeight="1" x14ac:dyDescent="0.2">
      <c r="B47" s="131" t="s">
        <v>586</v>
      </c>
      <c r="C47" s="132" t="str">
        <f>IF(B47="","",(VLOOKUP(B47,'Stock Guide'!$B:$D,3,0)))</f>
        <v>Maxi Renda FII</v>
      </c>
      <c r="D47" s="133">
        <f>IF(B47="","",SUMIFS('Stock Guide'!$J:$J,'Stock Guide'!$B:$B,B47))</f>
        <v>9.26</v>
      </c>
      <c r="E47" s="134">
        <f>IF(B47="","",SUMIFS('Stock Guide'!$H:$H,'Stock Guide'!$B:$B,B47))</f>
        <v>3.5499999999999997E-2</v>
      </c>
      <c r="F47" s="135">
        <f>IF(B47="","",SUMIFS('Stock Guide'!I:I,'Stock Guide'!$B:$B,B47))</f>
        <v>14751643.353</v>
      </c>
      <c r="G47" s="136">
        <f>IF(B47="","",SUMIFS('Stock Guide'!$M:$M,'Stock Guide'!$B:$B,B47))</f>
        <v>5252330088</v>
      </c>
      <c r="H47" s="136">
        <f>IF(B47="","",SUMIFS('Stock Guide'!$N:$N,'Stock Guide'!$B:$B,B47))</f>
        <v>5253747540</v>
      </c>
      <c r="I47" s="137">
        <f>IF(B47="","",SUMIFS('Stock Guide'!$O:$O,'Stock Guide'!$B:$B,B47))</f>
        <v>0.99973020172948779</v>
      </c>
      <c r="J47" s="137">
        <f>IF(B47="","",SUMIFS('Stock Guide'!$P:$P,'Stock Guide'!$B:$B,B47))</f>
        <v>1.0031959024999999</v>
      </c>
      <c r="K47" s="134">
        <f>IF(B47="","",SUMIFS('Stock Guide'!$Q:$Q,'Stock Guide'!$B:$B,B47))</f>
        <v>0.12904967603</v>
      </c>
      <c r="L47" s="134">
        <f>IF(B47="","",SUMIFS('Stock Guide'!$R:$R,'Stock Guide'!$B:$B,B47))</f>
        <v>0.12958963282937366</v>
      </c>
      <c r="M47" s="133">
        <f>IF(B47="","",SUMIFS('Stock Guide'!$T:$T,'Stock Guide'!$B:$B,B47))</f>
        <v>0.1</v>
      </c>
      <c r="N47" s="138">
        <f>IFERROR(IF(B47="","",AVERAGEIFS('Stock Guide'!$U:$U,'Stock Guide'!$B:$B,B47)),"-")</f>
        <v>-2.3206751054999999E-2</v>
      </c>
      <c r="O47" s="138">
        <f>IFERROR(IF(B47="","",AVERAGEIFS('Stock Guide'!$V:$V,'Stock Guide'!$B:$B,B47)),"-")</f>
        <v>5.4008422254000002E-2</v>
      </c>
      <c r="P47" s="138">
        <f>IFERROR(IF(B47="","",AVERAGEIFS('Stock Guide'!$W:$W,'Stock Guide'!$B:$B,B47)),"-")</f>
        <v>0.10108044334000001</v>
      </c>
    </row>
    <row r="48" spans="2:16" ht="16.5" customHeight="1" x14ac:dyDescent="0.2">
      <c r="B48" s="131" t="s">
        <v>594</v>
      </c>
      <c r="C48" s="132" t="str">
        <f>IF(B48="","",(VLOOKUP(B48,'Stock Guide'!$B:$D,3,0)))</f>
        <v>Ourinvest JPP FII</v>
      </c>
      <c r="D48" s="133">
        <f>IF(B48="","",SUMIFS('Stock Guide'!$J:$J,'Stock Guide'!$B:$B,B48))</f>
        <v>67.02</v>
      </c>
      <c r="E48" s="134">
        <f>IF(B48="","",SUMIFS('Stock Guide'!$H:$H,'Stock Guide'!$B:$B,B48))</f>
        <v>1.47E-3</v>
      </c>
      <c r="F48" s="135">
        <f>IF(B48="","",SUMIFS('Stock Guide'!I:I,'Stock Guide'!$B:$B,B48))</f>
        <v>633672.71215000004</v>
      </c>
      <c r="G48" s="136">
        <f>IF(B48="","",SUMIFS('Stock Guide'!$M:$M,'Stock Guide'!$B:$B,B48))</f>
        <v>217974775.68000001</v>
      </c>
      <c r="H48" s="136">
        <f>IF(B48="","",SUMIFS('Stock Guide'!$N:$N,'Stock Guide'!$B:$B,B48))</f>
        <v>319062700.11000001</v>
      </c>
      <c r="I48" s="137">
        <f>IF(B48="","",SUMIFS('Stock Guide'!$O:$O,'Stock Guide'!$B:$B,B48))</f>
        <v>0.68317222791899856</v>
      </c>
      <c r="J48" s="137">
        <f>IF(B48="","",SUMIFS('Stock Guide'!$P:$P,'Stock Guide'!$B:$B,B48))</f>
        <v>0.77608001919000003</v>
      </c>
      <c r="K48" s="134">
        <f>IF(B48="","",SUMIFS('Stock Guide'!$Q:$Q,'Stock Guide'!$B:$B,B48))</f>
        <v>0.20859444941999999</v>
      </c>
      <c r="L48" s="134">
        <f>IF(B48="","",SUMIFS('Stock Guide'!$R:$R,'Stock Guide'!$B:$B,B48))</f>
        <v>0.21486123545210384</v>
      </c>
      <c r="M48" s="133">
        <f>IF(B48="","",SUMIFS('Stock Guide'!$T:$T,'Stock Guide'!$B:$B,B48))</f>
        <v>1.2</v>
      </c>
      <c r="N48" s="138">
        <f>IFERROR(IF(B48="","",AVERAGEIFS('Stock Guide'!$U:$U,'Stock Guide'!$B:$B,B48)),"-")</f>
        <v>-5.7383966244000002E-2</v>
      </c>
      <c r="O48" s="138">
        <f>IFERROR(IF(B48="","",AVERAGEIFS('Stock Guide'!$V:$V,'Stock Guide'!$B:$B,B48)),"-")</f>
        <v>-5.1808079994E-2</v>
      </c>
      <c r="P48" s="138">
        <f>IFERROR(IF(B48="","",AVERAGEIFS('Stock Guide'!$W:$W,'Stock Guide'!$B:$B,B48)),"-")</f>
        <v>3.6484283894999997E-2</v>
      </c>
    </row>
    <row r="49" spans="2:16" ht="16.5" customHeight="1" x14ac:dyDescent="0.2">
      <c r="B49" s="131" t="s">
        <v>598</v>
      </c>
      <c r="C49" s="132" t="str">
        <f>IF(B49="","",(VLOOKUP(B49,'Stock Guide'!$B:$D,3,0)))</f>
        <v>Pátria Crédito Imobiliário</v>
      </c>
      <c r="D49" s="133">
        <f>IF(B49="","",SUMIFS('Stock Guide'!$J:$J,'Stock Guide'!$B:$B,B49))</f>
        <v>72.2</v>
      </c>
      <c r="E49" s="134">
        <f>IF(B49="","",SUMIFS('Stock Guide'!$H:$H,'Stock Guide'!$B:$B,B49))</f>
        <v>8.3000000000000001E-3</v>
      </c>
      <c r="F49" s="135">
        <f>IF(B49="","",SUMIFS('Stock Guide'!I:I,'Stock Guide'!$B:$B,B49))</f>
        <v>2933158.5122000002</v>
      </c>
      <c r="G49" s="136">
        <f>IF(B49="","",SUMIFS('Stock Guide'!$M:$M,'Stock Guide'!$B:$B,B49))</f>
        <v>1228245245.4000001</v>
      </c>
      <c r="H49" s="136">
        <f>IF(B49="","",SUMIFS('Stock Guide'!$N:$N,'Stock Guide'!$B:$B,B49))</f>
        <v>1572789435.3</v>
      </c>
      <c r="I49" s="137">
        <f>IF(B49="","",SUMIFS('Stock Guide'!$O:$O,'Stock Guide'!$B:$B,B49))</f>
        <v>0.7809343182456715</v>
      </c>
      <c r="J49" s="137">
        <f>IF(B49="","",SUMIFS('Stock Guide'!$P:$P,'Stock Guide'!$B:$B,B49))</f>
        <v>0.91350732886999997</v>
      </c>
      <c r="K49" s="134">
        <f>IF(B49="","",SUMIFS('Stock Guide'!$Q:$Q,'Stock Guide'!$B:$B,B49))</f>
        <v>0.15013850415999999</v>
      </c>
      <c r="L49" s="134">
        <f>IF(B49="","",SUMIFS('Stock Guide'!$R:$R,'Stock Guide'!$B:$B,B49))</f>
        <v>0.16620498614958448</v>
      </c>
      <c r="M49" s="133">
        <f>IF(B49="","",SUMIFS('Stock Guide'!$T:$T,'Stock Guide'!$B:$B,B49))</f>
        <v>1</v>
      </c>
      <c r="N49" s="138">
        <f>IFERROR(IF(B49="","",AVERAGEIFS('Stock Guide'!$U:$U,'Stock Guide'!$B:$B,B49)),"-")</f>
        <v>-3.6926046666000002E-2</v>
      </c>
      <c r="O49" s="138">
        <f>IFERROR(IF(B49="","",AVERAGEIFS('Stock Guide'!$V:$V,'Stock Guide'!$B:$B,B49)),"-")</f>
        <v>-6.8411915266999995E-2</v>
      </c>
      <c r="P49" s="138">
        <f>IFERROR(IF(B49="","",AVERAGEIFS('Stock Guide'!$W:$W,'Stock Guide'!$B:$B,B49)),"-")</f>
        <v>-2.3345896993999998E-2</v>
      </c>
    </row>
    <row r="50" spans="2:16" ht="16.5" customHeight="1" x14ac:dyDescent="0.2">
      <c r="B50" s="131" t="s">
        <v>602</v>
      </c>
      <c r="C50" s="132" t="str">
        <f>IF(B50="","",(VLOOKUP(B50,'Stock Guide'!$B:$D,3,0)))</f>
        <v>Paramis Hedge Fund FII</v>
      </c>
      <c r="D50" s="133">
        <f>IF(B50="","",SUMIFS('Stock Guide'!$J:$J,'Stock Guide'!$B:$B,B50))</f>
        <v>7.53</v>
      </c>
      <c r="E50" s="134">
        <f>IF(B50="","",SUMIFS('Stock Guide'!$H:$H,'Stock Guide'!$B:$B,B50))</f>
        <v>0</v>
      </c>
      <c r="F50" s="135">
        <f>IF(B50="","",SUMIFS('Stock Guide'!I:I,'Stock Guide'!$B:$B,B50))</f>
        <v>228852.44076999999</v>
      </c>
      <c r="G50" s="136">
        <f>IF(B50="","",SUMIFS('Stock Guide'!$M:$M,'Stock Guide'!$B:$B,B50))</f>
        <v>111468412.26000001</v>
      </c>
      <c r="H50" s="136">
        <f>IF(B50="","",SUMIFS('Stock Guide'!$N:$N,'Stock Guide'!$B:$B,B50))</f>
        <v>137728686.77000001</v>
      </c>
      <c r="I50" s="137">
        <f>IF(B50="","",SUMIFS('Stock Guide'!$O:$O,'Stock Guide'!$B:$B,B50))</f>
        <v>0.8093332977620461</v>
      </c>
      <c r="J50" s="137">
        <f>IF(B50="","",SUMIFS('Stock Guide'!$P:$P,'Stock Guide'!$B:$B,B50))</f>
        <v>0.92828621377999998</v>
      </c>
      <c r="K50" s="134">
        <f>IF(B50="","",SUMIFS('Stock Guide'!$Q:$Q,'Stock Guide'!$B:$B,B50))</f>
        <v>0.15059760956000001</v>
      </c>
      <c r="L50" s="134">
        <f>IF(B50="","",SUMIFS('Stock Guide'!$R:$R,'Stock Guide'!$B:$B,B50))</f>
        <v>0.14661354581673305</v>
      </c>
      <c r="M50" s="133">
        <f>IF(B50="","",SUMIFS('Stock Guide'!$T:$T,'Stock Guide'!$B:$B,B50))</f>
        <v>9.1999999999999998E-2</v>
      </c>
      <c r="N50" s="138">
        <f>IFERROR(IF(B50="","",AVERAGEIFS('Stock Guide'!$U:$U,'Stock Guide'!$B:$B,B50)),"-")</f>
        <v>-3.0638516992999999E-2</v>
      </c>
      <c r="O50" s="138">
        <f>IFERROR(IF(B50="","",AVERAGEIFS('Stock Guide'!$V:$V,'Stock Guide'!$B:$B,B50)),"-")</f>
        <v>-6.1173352668000003E-2</v>
      </c>
      <c r="P50" s="138">
        <f>IFERROR(IF(B50="","",AVERAGEIFS('Stock Guide'!$W:$W,'Stock Guide'!$B:$B,B50)),"-")</f>
        <v>0.1409224422</v>
      </c>
    </row>
    <row r="51" spans="2:16" ht="16.5" customHeight="1" x14ac:dyDescent="0.2">
      <c r="B51" s="131" t="s">
        <v>606</v>
      </c>
      <c r="C51" s="132" t="str">
        <f>IF(B51="","",(VLOOKUP(B51,'Stock Guide'!$B:$D,3,0)))</f>
        <v>Polo Crédito Imobiliário FII</v>
      </c>
      <c r="D51" s="133">
        <f>IF(B51="","",SUMIFS('Stock Guide'!$J:$J,'Stock Guide'!$B:$B,B51))</f>
        <v>8.2100000000000009</v>
      </c>
      <c r="E51" s="134">
        <f>IF(B51="","",SUMIFS('Stock Guide'!$H:$H,'Stock Guide'!$B:$B,B51))</f>
        <v>2.0699999999999998E-3</v>
      </c>
      <c r="F51" s="135">
        <f>IF(B51="","",SUMIFS('Stock Guide'!I:I,'Stock Guide'!$B:$B,B51))</f>
        <v>660923.27677</v>
      </c>
      <c r="G51" s="136">
        <f>IF(B51="","",SUMIFS('Stock Guide'!$M:$M,'Stock Guide'!$B:$B,B51))</f>
        <v>306099587.5</v>
      </c>
      <c r="H51" s="136">
        <f>IF(B51="","",SUMIFS('Stock Guide'!$N:$N,'Stock Guide'!$B:$B,B51))</f>
        <v>355468992.54000002</v>
      </c>
      <c r="I51" s="137">
        <f>IF(B51="","",SUMIFS('Stock Guide'!$O:$O,'Stock Guide'!$B:$B,B51))</f>
        <v>0.86111473552944395</v>
      </c>
      <c r="J51" s="137">
        <f>IF(B51="","",SUMIFS('Stock Guide'!$P:$P,'Stock Guide'!$B:$B,B51))</f>
        <v>0.84374946046999999</v>
      </c>
      <c r="K51" s="134">
        <f>IF(B51="","",SUMIFS('Stock Guide'!$Q:$Q,'Stock Guide'!$B:$B,B51))</f>
        <v>0.14482338611000001</v>
      </c>
      <c r="L51" s="134">
        <f>IF(B51="","",SUMIFS('Stock Guide'!$R:$R,'Stock Guide'!$B:$B,B51))</f>
        <v>0.14323995127892813</v>
      </c>
      <c r="M51" s="133">
        <f>IF(B51="","",SUMIFS('Stock Guide'!$T:$T,'Stock Guide'!$B:$B,B51))</f>
        <v>9.8000000000000004E-2</v>
      </c>
      <c r="N51" s="138">
        <f>IFERROR(IF(B51="","",AVERAGEIFS('Stock Guide'!$U:$U,'Stock Guide'!$B:$B,B51)),"-")</f>
        <v>-8.6935522821999997E-3</v>
      </c>
      <c r="O51" s="138">
        <f>IFERROR(IF(B51="","",AVERAGEIFS('Stock Guide'!$V:$V,'Stock Guide'!$B:$B,B51)),"-")</f>
        <v>0.10806327109</v>
      </c>
      <c r="P51" s="138">
        <f>IFERROR(IF(B51="","",AVERAGEIFS('Stock Guide'!$W:$W,'Stock Guide'!$B:$B,B51)),"-")</f>
        <v>0.22781136330999999</v>
      </c>
    </row>
    <row r="52" spans="2:16" ht="16.5" customHeight="1" x14ac:dyDescent="0.2">
      <c r="B52" s="131" t="s">
        <v>615</v>
      </c>
      <c r="C52" s="132" t="str">
        <f>IF(B52="","",(VLOOKUP(B52,'Stock Guide'!$B:$D,3,0)))</f>
        <v>Rio Bravo Crédito Imobiliário High Grade FII</v>
      </c>
      <c r="D52" s="133">
        <f>IF(B52="","",SUMIFS('Stock Guide'!$J:$J,'Stock Guide'!$B:$B,B52))</f>
        <v>54.58</v>
      </c>
      <c r="E52" s="134">
        <f>IF(B52="","",SUMIFS('Stock Guide'!$H:$H,'Stock Guide'!$B:$B,B52))</f>
        <v>0</v>
      </c>
      <c r="F52" s="135">
        <f>IF(B52="","",SUMIFS('Stock Guide'!I:I,'Stock Guide'!$B:$B,B52))</f>
        <v>329025.61523</v>
      </c>
      <c r="G52" s="136">
        <f>IF(B52="","",SUMIFS('Stock Guide'!$M:$M,'Stock Guide'!$B:$B,B52))</f>
        <v>118327093.06</v>
      </c>
      <c r="H52" s="136">
        <f>IF(B52="","",SUMIFS('Stock Guide'!$N:$N,'Stock Guide'!$B:$B,B52))</f>
        <v>187690970.75999999</v>
      </c>
      <c r="I52" s="137">
        <f>IF(B52="","",SUMIFS('Stock Guide'!$O:$O,'Stock Guide'!$B:$B,B52))</f>
        <v>0.63043572411005633</v>
      </c>
      <c r="J52" s="137">
        <f>IF(B52="","",SUMIFS('Stock Guide'!$P:$P,'Stock Guide'!$B:$B,B52))</f>
        <v>0.75802931405999996</v>
      </c>
      <c r="K52" s="134">
        <f>IF(B52="","",SUMIFS('Stock Guide'!$Q:$Q,'Stock Guide'!$B:$B,B52))</f>
        <v>0.17735434224999999</v>
      </c>
      <c r="L52" s="134">
        <f>IF(B52="","",SUMIFS('Stock Guide'!$R:$R,'Stock Guide'!$B:$B,B52))</f>
        <v>0.17588860388420668</v>
      </c>
      <c r="M52" s="133">
        <f>IF(B52="","",SUMIFS('Stock Guide'!$T:$T,'Stock Guide'!$B:$B,B52))</f>
        <v>0.8</v>
      </c>
      <c r="N52" s="138">
        <f>IFERROR(IF(B52="","",AVERAGEIFS('Stock Guide'!$U:$U,'Stock Guide'!$B:$B,B52)),"-")</f>
        <v>-8.2534879812E-2</v>
      </c>
      <c r="O52" s="138">
        <f>IFERROR(IF(B52="","",AVERAGEIFS('Stock Guide'!$V:$V,'Stock Guide'!$B:$B,B52)),"-")</f>
        <v>-9.3418147977999993E-2</v>
      </c>
      <c r="P52" s="138">
        <f>IFERROR(IF(B52="","",AVERAGEIFS('Stock Guide'!$W:$W,'Stock Guide'!$B:$B,B52)),"-")</f>
        <v>-4.803287145E-2</v>
      </c>
    </row>
    <row r="53" spans="2:16" ht="16.5" customHeight="1" x14ac:dyDescent="0.2">
      <c r="B53" s="131" t="s">
        <v>617</v>
      </c>
      <c r="C53" s="132" t="str">
        <f>IF(B53="","",(VLOOKUP(B53,'Stock Guide'!$B:$D,3,0)))</f>
        <v>Rio Bravo Crédito Imobiliário High Yield FII</v>
      </c>
      <c r="D53" s="133">
        <f>IF(B53="","",SUMIFS('Stock Guide'!$J:$J,'Stock Guide'!$B:$B,B53))</f>
        <v>62.28</v>
      </c>
      <c r="E53" s="134">
        <f>IF(B53="","",SUMIFS('Stock Guide'!$H:$H,'Stock Guide'!$B:$B,B53))</f>
        <v>0</v>
      </c>
      <c r="F53" s="135">
        <f>IF(B53="","",SUMIFS('Stock Guide'!I:I,'Stock Guide'!$B:$B,B53))</f>
        <v>372844.70292000001</v>
      </c>
      <c r="G53" s="136">
        <f>IF(B53="","",SUMIFS('Stock Guide'!$M:$M,'Stock Guide'!$B:$B,B53))</f>
        <v>117927491.40000001</v>
      </c>
      <c r="H53" s="136">
        <f>IF(B53="","",SUMIFS('Stock Guide'!$N:$N,'Stock Guide'!$B:$B,B53))</f>
        <v>175771393.46000001</v>
      </c>
      <c r="I53" s="137">
        <f>IF(B53="","",SUMIFS('Stock Guide'!$O:$O,'Stock Guide'!$B:$B,B53))</f>
        <v>0.67091401552116936</v>
      </c>
      <c r="J53" s="137">
        <f>IF(B53="","",SUMIFS('Stock Guide'!$P:$P,'Stock Guide'!$B:$B,B53))</f>
        <v>0.83216518993999999</v>
      </c>
      <c r="K53" s="134">
        <f>IF(B53="","",SUMIFS('Stock Guide'!$Q:$Q,'Stock Guide'!$B:$B,B53))</f>
        <v>0.2011881824</v>
      </c>
      <c r="L53" s="134">
        <f>IF(B53="","",SUMIFS('Stock Guide'!$R:$R,'Stock Guide'!$B:$B,B53))</f>
        <v>0.19267822736030826</v>
      </c>
      <c r="M53" s="133">
        <f>IF(B53="","",SUMIFS('Stock Guide'!$T:$T,'Stock Guide'!$B:$B,B53))</f>
        <v>1</v>
      </c>
      <c r="N53" s="138">
        <f>IFERROR(IF(B53="","",AVERAGEIFS('Stock Guide'!$U:$U,'Stock Guide'!$B:$B,B53)),"-")</f>
        <v>-8.7071240105000003E-2</v>
      </c>
      <c r="O53" s="138">
        <f>IFERROR(IF(B53="","",AVERAGEIFS('Stock Guide'!$V:$V,'Stock Guide'!$B:$B,B53)),"-")</f>
        <v>-0.10324700216</v>
      </c>
      <c r="P53" s="138">
        <f>IFERROR(IF(B53="","",AVERAGEIFS('Stock Guide'!$W:$W,'Stock Guide'!$B:$B,B53)),"-")</f>
        <v>-2.7232228608000002E-2</v>
      </c>
    </row>
    <row r="54" spans="2:16" ht="16.5" customHeight="1" x14ac:dyDescent="0.2">
      <c r="B54" s="131" t="s">
        <v>32</v>
      </c>
      <c r="C54" s="132" t="str">
        <f>IF(B54="","",(VLOOKUP(B54,'Stock Guide'!$B:$D,3,0)))</f>
        <v>FII RBR Rendimento High</v>
      </c>
      <c r="D54" s="133">
        <f>IF(B54="","",SUMIFS('Stock Guide'!$J:$J,'Stock Guide'!$B:$B,B54))</f>
        <v>75</v>
      </c>
      <c r="E54" s="134">
        <f>IF(B54="","",SUMIFS('Stock Guide'!$H:$H,'Stock Guide'!$B:$B,B54))</f>
        <v>8.26E-3</v>
      </c>
      <c r="F54" s="135">
        <f>IF(B54="","",SUMIFS('Stock Guide'!I:I,'Stock Guide'!$B:$B,B54))</f>
        <v>4149163.3065999998</v>
      </c>
      <c r="G54" s="136">
        <f>IF(B54="","",SUMIFS('Stock Guide'!$M:$M,'Stock Guide'!$B:$B,B54))</f>
        <v>1222520625</v>
      </c>
      <c r="H54" s="136">
        <f>IF(B54="","",SUMIFS('Stock Guide'!$N:$N,'Stock Guide'!$B:$B,B54))</f>
        <v>1498092893.8</v>
      </c>
      <c r="I54" s="137">
        <f>IF(B54="","",SUMIFS('Stock Guide'!$O:$O,'Stock Guide'!$B:$B,B54))</f>
        <v>0.81605128097163937</v>
      </c>
      <c r="J54" s="137">
        <f>IF(B54="","",SUMIFS('Stock Guide'!$P:$P,'Stock Guide'!$B:$B,B54))</f>
        <v>0.93550740217999995</v>
      </c>
      <c r="K54" s="134">
        <f>IF(B54="","",SUMIFS('Stock Guide'!$Q:$Q,'Stock Guide'!$B:$B,B54))</f>
        <v>0.13173333333000001</v>
      </c>
      <c r="L54" s="134">
        <f>IF(B54="","",SUMIFS('Stock Guide'!$R:$R,'Stock Guide'!$B:$B,B54))</f>
        <v>0.14400000000000002</v>
      </c>
      <c r="M54" s="133">
        <f>IF(B54="","",SUMIFS('Stock Guide'!$T:$T,'Stock Guide'!$B:$B,B54))</f>
        <v>0.9</v>
      </c>
      <c r="N54" s="138">
        <f>IFERROR(IF(B54="","",AVERAGEIFS('Stock Guide'!$U:$U,'Stock Guide'!$B:$B,B54)),"-")</f>
        <v>-4.5359408796E-4</v>
      </c>
      <c r="O54" s="138">
        <f>IFERROR(IF(B54="","",AVERAGEIFS('Stock Guide'!$V:$V,'Stock Guide'!$B:$B,B54)),"-")</f>
        <v>-7.0281296647000002E-2</v>
      </c>
      <c r="P54" s="138">
        <f>IFERROR(IF(B54="","",AVERAGEIFS('Stock Guide'!$W:$W,'Stock Guide'!$B:$B,B54)),"-")</f>
        <v>-2.3658732602E-2</v>
      </c>
    </row>
    <row r="55" spans="2:16" ht="16.5" customHeight="1" x14ac:dyDescent="0.2">
      <c r="B55" s="131" t="s">
        <v>33</v>
      </c>
      <c r="C55" s="132" t="str">
        <f>IF(B55="","",(VLOOKUP(B55,'Stock Guide'!$B:$D,3,0)))</f>
        <v>RBR Crédito Imobiliário Estruturado FII</v>
      </c>
      <c r="D55" s="133">
        <f>IF(B55="","",SUMIFS('Stock Guide'!$J:$J,'Stock Guide'!$B:$B,B55))</f>
        <v>76.87</v>
      </c>
      <c r="E55" s="134">
        <f>IF(B55="","",SUMIFS('Stock Guide'!$H:$H,'Stock Guide'!$B:$B,B55))</f>
        <v>6.6400000000000001E-3</v>
      </c>
      <c r="F55" s="135">
        <f>IF(B55="","",SUMIFS('Stock Guide'!I:I,'Stock Guide'!$B:$B,B55))</f>
        <v>4305788.1321999999</v>
      </c>
      <c r="G55" s="136">
        <f>IF(B55="","",SUMIFS('Stock Guide'!$M:$M,'Stock Guide'!$B:$B,B55))</f>
        <v>981592387.44000006</v>
      </c>
      <c r="H55" s="136">
        <f>IF(B55="","",SUMIFS('Stock Guide'!$N:$N,'Stock Guide'!$B:$B,B55))</f>
        <v>1289546006.5999999</v>
      </c>
      <c r="I55" s="137">
        <f>IF(B55="","",SUMIFS('Stock Guide'!$O:$O,'Stock Guide'!$B:$B,B55))</f>
        <v>0.76119221991005481</v>
      </c>
      <c r="J55" s="137">
        <f>IF(B55="","",SUMIFS('Stock Guide'!$P:$P,'Stock Guide'!$B:$B,B55))</f>
        <v>0.97514012064</v>
      </c>
      <c r="K55" s="134">
        <f>IF(B55="","",SUMIFS('Stock Guide'!$Q:$Q,'Stock Guide'!$B:$B,B55))</f>
        <v>0.17627162741999999</v>
      </c>
      <c r="L55" s="134">
        <f>IF(B55="","",SUMIFS('Stock Guide'!$R:$R,'Stock Guide'!$B:$B,B55))</f>
        <v>0.15610771432288278</v>
      </c>
      <c r="M55" s="133">
        <f>IF(B55="","",SUMIFS('Stock Guide'!$T:$T,'Stock Guide'!$B:$B,B55))</f>
        <v>1</v>
      </c>
      <c r="N55" s="138">
        <f>IFERROR(IF(B55="","",AVERAGEIFS('Stock Guide'!$U:$U,'Stock Guide'!$B:$B,B55)),"-")</f>
        <v>-8.1375576946999997E-2</v>
      </c>
      <c r="O55" s="138">
        <f>IFERROR(IF(B55="","",AVERAGEIFS('Stock Guide'!$V:$V,'Stock Guide'!$B:$B,B55)),"-")</f>
        <v>-0.13772419495999999</v>
      </c>
      <c r="P55" s="138">
        <f>IFERROR(IF(B55="","",AVERAGEIFS('Stock Guide'!$W:$W,'Stock Guide'!$B:$B,B55)),"-")</f>
        <v>-3.8285444644000001E-2</v>
      </c>
    </row>
    <row r="56" spans="2:16" ht="16.5" customHeight="1" x14ac:dyDescent="0.2">
      <c r="B56" s="131" t="s">
        <v>633</v>
      </c>
      <c r="C56" s="132" t="str">
        <f>IF(B56="","",(VLOOKUP(B56,'Stock Guide'!$B:$D,3,0)))</f>
        <v>Real Investor Recebíveis FII</v>
      </c>
      <c r="D56" s="133">
        <f>IF(B56="","",SUMIFS('Stock Guide'!$J:$J,'Stock Guide'!$B:$B,B56))</f>
        <v>95.5</v>
      </c>
      <c r="E56" s="134">
        <f>IF(B56="","",SUMIFS('Stock Guide'!$H:$H,'Stock Guide'!$B:$B,B56))</f>
        <v>0</v>
      </c>
      <c r="F56" s="135">
        <f>IF(B56="","",SUMIFS('Stock Guide'!I:I,'Stock Guide'!$B:$B,B56))</f>
        <v>47276.382615000002</v>
      </c>
      <c r="G56" s="136">
        <f>IF(B56="","",SUMIFS('Stock Guide'!$M:$M,'Stock Guide'!$B:$B,B56))</f>
        <v>40314752</v>
      </c>
      <c r="H56" s="136">
        <f>IF(B56="","",SUMIFS('Stock Guide'!$N:$N,'Stock Guide'!$B:$B,B56))</f>
        <v>41869292.119999997</v>
      </c>
      <c r="I56" s="137">
        <f>IF(B56="","",SUMIFS('Stock Guide'!$O:$O,'Stock Guide'!$B:$B,B56))</f>
        <v>0.96287159296735692</v>
      </c>
      <c r="J56" s="137">
        <f>IF(B56="","",SUMIFS('Stock Guide'!$P:$P,'Stock Guide'!$B:$B,B56))</f>
        <v>0.99902876572999999</v>
      </c>
      <c r="K56" s="134">
        <f>IF(B56="","",SUMIFS('Stock Guide'!$Q:$Q,'Stock Guide'!$B:$B,B56))</f>
        <v>0.14345549737999999</v>
      </c>
      <c r="L56" s="134">
        <f>IF(B56="","",SUMIFS('Stock Guide'!$R:$R,'Stock Guide'!$B:$B,B56))</f>
        <v>0.13821989528795814</v>
      </c>
      <c r="M56" s="133">
        <f>IF(B56="","",SUMIFS('Stock Guide'!$T:$T,'Stock Guide'!$B:$B,B56))</f>
        <v>1.1000000000000001</v>
      </c>
      <c r="N56" s="138">
        <f>IFERROR(IF(B56="","",AVERAGEIFS('Stock Guide'!$U:$U,'Stock Guide'!$B:$B,B56)),"-")</f>
        <v>-2.8278348533E-2</v>
      </c>
      <c r="O56" s="138">
        <f>IFERROR(IF(B56="","",AVERAGEIFS('Stock Guide'!$V:$V,'Stock Guide'!$B:$B,B56)),"-")</f>
        <v>3.0069586963000002E-2</v>
      </c>
      <c r="P56" s="138">
        <f>IFERROR(IF(B56="","",AVERAGEIFS('Stock Guide'!$W:$W,'Stock Guide'!$B:$B,B56)),"-")</f>
        <v>0.106352005</v>
      </c>
    </row>
    <row r="57" spans="2:16" ht="16.5" customHeight="1" x14ac:dyDescent="0.2">
      <c r="B57" s="131" t="s">
        <v>639</v>
      </c>
      <c r="C57" s="132" t="str">
        <f>IF(B57="","",(VLOOKUP(B57,'Stock Guide'!$B:$D,3,0)))</f>
        <v>FII REC Recebíveis Imobiliários</v>
      </c>
      <c r="D57" s="133">
        <f>IF(B57="","",SUMIFS('Stock Guide'!$J:$J,'Stock Guide'!$B:$B,B57))</f>
        <v>75.44</v>
      </c>
      <c r="E57" s="134">
        <f>IF(B57="","",SUMIFS('Stock Guide'!$H:$H,'Stock Guide'!$B:$B,B57))</f>
        <v>1.349E-2</v>
      </c>
      <c r="F57" s="135">
        <f>IF(B57="","",SUMIFS('Stock Guide'!I:I,'Stock Guide'!$B:$B,B57))</f>
        <v>3129776.3659999999</v>
      </c>
      <c r="G57" s="136">
        <f>IF(B57="","",SUMIFS('Stock Guide'!$M:$M,'Stock Guide'!$B:$B,B57))</f>
        <v>1994758076</v>
      </c>
      <c r="H57" s="136">
        <f>IF(B57="","",SUMIFS('Stock Guide'!$N:$N,'Stock Guide'!$B:$B,B57))</f>
        <v>2299737481.5</v>
      </c>
      <c r="I57" s="137">
        <f>IF(B57="","",SUMIFS('Stock Guide'!$O:$O,'Stock Guide'!$B:$B,B57))</f>
        <v>0.8673851220178932</v>
      </c>
      <c r="J57" s="137">
        <f>IF(B57="","",SUMIFS('Stock Guide'!$P:$P,'Stock Guide'!$B:$B,B57))</f>
        <v>0.92166893468</v>
      </c>
      <c r="K57" s="134">
        <f>IF(B57="","",SUMIFS('Stock Guide'!$Q:$Q,'Stock Guide'!$B:$B,B57))</f>
        <v>0.14433059384999999</v>
      </c>
      <c r="L57" s="134">
        <f>IF(B57="","",SUMIFS('Stock Guide'!$R:$R,'Stock Guide'!$B:$B,B57))</f>
        <v>0.17476670201484626</v>
      </c>
      <c r="M57" s="133">
        <f>IF(B57="","",SUMIFS('Stock Guide'!$T:$T,'Stock Guide'!$B:$B,B57))</f>
        <v>1.0987</v>
      </c>
      <c r="N57" s="138">
        <f>IFERROR(IF(B57="","",AVERAGEIFS('Stock Guide'!$U:$U,'Stock Guide'!$B:$B,B57)),"-")</f>
        <v>-4.3615983715000001E-2</v>
      </c>
      <c r="O57" s="138">
        <f>IFERROR(IF(B57="","",AVERAGEIFS('Stock Guide'!$V:$V,'Stock Guide'!$B:$B,B57)),"-")</f>
        <v>1.1988359887E-2</v>
      </c>
      <c r="P57" s="138">
        <f>IFERROR(IF(B57="","",AVERAGEIFS('Stock Guide'!$W:$W,'Stock Guide'!$B:$B,B57)),"-")</f>
        <v>6.0449884877000003E-2</v>
      </c>
    </row>
    <row r="58" spans="2:16" ht="16.5" customHeight="1" x14ac:dyDescent="0.2">
      <c r="B58" s="131" t="s">
        <v>648</v>
      </c>
      <c r="C58" s="132" t="str">
        <f>IF(B58="","",(VLOOKUP(B58,'Stock Guide'!$B:$D,3,0)))</f>
        <v>RBR Premium Recebíveis Imobiliários FII</v>
      </c>
      <c r="D58" s="133">
        <f>IF(B58="","",SUMIFS('Stock Guide'!$J:$J,'Stock Guide'!$B:$B,B58))</f>
        <v>71.44</v>
      </c>
      <c r="E58" s="134">
        <f>IF(B58="","",SUMIFS('Stock Guide'!$H:$H,'Stock Guide'!$B:$B,B58))</f>
        <v>1.6800000000000001E-3</v>
      </c>
      <c r="F58" s="135">
        <f>IF(B58="","",SUMIFS('Stock Guide'!I:I,'Stock Guide'!$B:$B,B58))</f>
        <v>896311.84108000004</v>
      </c>
      <c r="G58" s="136">
        <f>IF(B58="","",SUMIFS('Stock Guide'!$M:$M,'Stock Guide'!$B:$B,B58))</f>
        <v>248020248.31999999</v>
      </c>
      <c r="H58" s="136">
        <f>IF(B58="","",SUMIFS('Stock Guide'!$N:$N,'Stock Guide'!$B:$B,B58))</f>
        <v>345047877.29000002</v>
      </c>
      <c r="I58" s="137">
        <f>IF(B58="","",SUMIFS('Stock Guide'!$O:$O,'Stock Guide'!$B:$B,B58))</f>
        <v>0.71879951926656283</v>
      </c>
      <c r="J58" s="137">
        <f>IF(B58="","",SUMIFS('Stock Guide'!$P:$P,'Stock Guide'!$B:$B,B58))</f>
        <v>0.84035137091000001</v>
      </c>
      <c r="K58" s="134">
        <f>IF(B58="","",SUMIFS('Stock Guide'!$Q:$Q,'Stock Guide'!$B:$B,B58))</f>
        <v>0.15110582307000001</v>
      </c>
      <c r="L58" s="134">
        <f>IF(B58="","",SUMIFS('Stock Guide'!$R:$R,'Stock Guide'!$B:$B,B58))</f>
        <v>0.23516237402015677</v>
      </c>
      <c r="M58" s="133">
        <f>IF(B58="","",SUMIFS('Stock Guide'!$T:$T,'Stock Guide'!$B:$B,B58))</f>
        <v>1.4</v>
      </c>
      <c r="N58" s="138">
        <f>IFERROR(IF(B58="","",AVERAGEIFS('Stock Guide'!$U:$U,'Stock Guide'!$B:$B,B58)),"-")</f>
        <v>-6.9064373208999996E-2</v>
      </c>
      <c r="O58" s="138">
        <f>IFERROR(IF(B58="","",AVERAGEIFS('Stock Guide'!$V:$V,'Stock Guide'!$B:$B,B58)),"-")</f>
        <v>-8.9370447111999998E-2</v>
      </c>
      <c r="P58" s="138">
        <f>IFERROR(IF(B58="","",AVERAGEIFS('Stock Guide'!$W:$W,'Stock Guide'!$B:$B,B58)),"-")</f>
        <v>-2.6933605273E-2</v>
      </c>
    </row>
    <row r="59" spans="2:16" ht="16.5" customHeight="1" x14ac:dyDescent="0.2">
      <c r="B59" s="131" t="s">
        <v>650</v>
      </c>
      <c r="C59" s="132" t="str">
        <f>IF(B59="","",(VLOOKUP(B59,'Stock Guide'!$B:$D,3,0)))</f>
        <v>Riza Akin FII</v>
      </c>
      <c r="D59" s="133">
        <f>IF(B59="","",SUMIFS('Stock Guide'!$J:$J,'Stock Guide'!$B:$B,B59))</f>
        <v>76.19</v>
      </c>
      <c r="E59" s="134">
        <f>IF(B59="","",SUMIFS('Stock Guide'!$H:$H,'Stock Guide'!$B:$B,B59))</f>
        <v>4.5399999999999998E-3</v>
      </c>
      <c r="F59" s="135">
        <f>IF(B59="","",SUMIFS('Stock Guide'!I:I,'Stock Guide'!$B:$B,B59))</f>
        <v>1462289.0791</v>
      </c>
      <c r="G59" s="136">
        <f>IF(B59="","",SUMIFS('Stock Guide'!$M:$M,'Stock Guide'!$B:$B,B59))</f>
        <v>671072758.14999998</v>
      </c>
      <c r="H59" s="136">
        <f>IF(B59="","",SUMIFS('Stock Guide'!$N:$N,'Stock Guide'!$B:$B,B59))</f>
        <v>774807950.83000004</v>
      </c>
      <c r="I59" s="137">
        <f>IF(B59="","",SUMIFS('Stock Guide'!$O:$O,'Stock Guide'!$B:$B,B59))</f>
        <v>0.86611496104437824</v>
      </c>
      <c r="J59" s="137">
        <f>IF(B59="","",SUMIFS('Stock Guide'!$P:$P,'Stock Guide'!$B:$B,B59))</f>
        <v>0.92949179236000001</v>
      </c>
      <c r="K59" s="134">
        <f>IF(B59="","",SUMIFS('Stock Guide'!$Q:$Q,'Stock Guide'!$B:$B,B59))</f>
        <v>0.17128232051</v>
      </c>
      <c r="L59" s="134">
        <f>IF(B59="","",SUMIFS('Stock Guide'!$R:$R,'Stock Guide'!$B:$B,B59))</f>
        <v>0.16537603360021</v>
      </c>
      <c r="M59" s="133">
        <f>IF(B59="","",SUMIFS('Stock Guide'!$T:$T,'Stock Guide'!$B:$B,B59))</f>
        <v>1.05</v>
      </c>
      <c r="N59" s="138">
        <f>IFERROR(IF(B59="","",AVERAGEIFS('Stock Guide'!$U:$U,'Stock Guide'!$B:$B,B59)),"-")</f>
        <v>-2.4651075136000001E-2</v>
      </c>
      <c r="O59" s="138">
        <f>IFERROR(IF(B59="","",AVERAGEIFS('Stock Guide'!$V:$V,'Stock Guide'!$B:$B,B59)),"-")</f>
        <v>2.4612624079999999E-2</v>
      </c>
      <c r="P59" s="138">
        <f>IFERROR(IF(B59="","",AVERAGEIFS('Stock Guide'!$W:$W,'Stock Guide'!$B:$B,B59)),"-")</f>
        <v>0.11276792551000001</v>
      </c>
    </row>
    <row r="60" spans="2:16" ht="16.5" customHeight="1" x14ac:dyDescent="0.2">
      <c r="B60" s="131" t="s">
        <v>658</v>
      </c>
      <c r="C60" s="132" t="str">
        <f>IF(B60="","",(VLOOKUP(B60,'Stock Guide'!$B:$D,3,0)))</f>
        <v>Santander Papéis Imobiliários FII</v>
      </c>
      <c r="D60" s="133">
        <f>IF(B60="","",SUMIFS('Stock Guide'!$J:$J,'Stock Guide'!$B:$B,B60))</f>
        <v>8.7100000000000009</v>
      </c>
      <c r="E60" s="134">
        <f>IF(B60="","",SUMIFS('Stock Guide'!$H:$H,'Stock Guide'!$B:$B,B60))</f>
        <v>0</v>
      </c>
      <c r="F60" s="135">
        <f>IF(B60="","",SUMIFS('Stock Guide'!I:I,'Stock Guide'!$B:$B,B60))</f>
        <v>175277.35368999999</v>
      </c>
      <c r="G60" s="136">
        <f>IF(B60="","",SUMIFS('Stock Guide'!$M:$M,'Stock Guide'!$B:$B,B60))</f>
        <v>257496525.91</v>
      </c>
      <c r="H60" s="136">
        <f>IF(B60="","",SUMIFS('Stock Guide'!$N:$N,'Stock Guide'!$B:$B,B60))</f>
        <v>298661479.33999997</v>
      </c>
      <c r="I60" s="137">
        <f>IF(B60="","",SUMIFS('Stock Guide'!$O:$O,'Stock Guide'!$B:$B,B60))</f>
        <v>0.86216852095901764</v>
      </c>
      <c r="J60" s="137">
        <f>IF(B60="","",SUMIFS('Stock Guide'!$P:$P,'Stock Guide'!$B:$B,B60))</f>
        <v>0.90065729888000001</v>
      </c>
      <c r="K60" s="134">
        <f>IF(B60="","",SUMIFS('Stock Guide'!$Q:$Q,'Stock Guide'!$B:$B,B60))</f>
        <v>0.16507462686999999</v>
      </c>
      <c r="L60" s="134">
        <f>IF(B60="","",SUMIFS('Stock Guide'!$R:$R,'Stock Guide'!$B:$B,B60))</f>
        <v>0.15154994259471871</v>
      </c>
      <c r="M60" s="133">
        <f>IF(B60="","",SUMIFS('Stock Guide'!$T:$T,'Stock Guide'!$B:$B,B60))</f>
        <v>0.11</v>
      </c>
      <c r="N60" s="138">
        <f>IFERROR(IF(B60="","",AVERAGEIFS('Stock Guide'!$U:$U,'Stock Guide'!$B:$B,B60)),"-")</f>
        <v>-3.6504424777E-2</v>
      </c>
      <c r="O60" s="138">
        <f>IFERROR(IF(B60="","",AVERAGEIFS('Stock Guide'!$V:$V,'Stock Guide'!$B:$B,B60)),"-")</f>
        <v>5.4024011190999997E-2</v>
      </c>
      <c r="P60" s="138">
        <f>IFERROR(IF(B60="","",AVERAGEIFS('Stock Guide'!$W:$W,'Stock Guide'!$B:$B,B60)),"-")</f>
        <v>0.19710173315000001</v>
      </c>
    </row>
    <row r="61" spans="2:16" ht="16.5" customHeight="1" x14ac:dyDescent="0.2">
      <c r="B61" s="131" t="s">
        <v>665</v>
      </c>
      <c r="C61" s="132" t="str">
        <f>IF(B61="","",(VLOOKUP(B61,'Stock Guide'!$B:$D,3,0)))</f>
        <v>Suno Recebíveis Imobiliários FII</v>
      </c>
      <c r="D61" s="133">
        <f>IF(B61="","",SUMIFS('Stock Guide'!$J:$J,'Stock Guide'!$B:$B,B61))</f>
        <v>80.23</v>
      </c>
      <c r="E61" s="134">
        <f>IF(B61="","",SUMIFS('Stock Guide'!$H:$H,'Stock Guide'!$B:$B,B61))</f>
        <v>2.2799999999999999E-3</v>
      </c>
      <c r="F61" s="135">
        <f>IF(B61="","",SUMIFS('Stock Guide'!I:I,'Stock Guide'!$B:$B,B61))</f>
        <v>486482.92599999998</v>
      </c>
      <c r="G61" s="136">
        <f>IF(B61="","",SUMIFS('Stock Guide'!$M:$M,'Stock Guide'!$B:$B,B61))</f>
        <v>336966000</v>
      </c>
      <c r="H61" s="136">
        <f>IF(B61="","",SUMIFS('Stock Guide'!$N:$N,'Stock Guide'!$B:$B,B61))</f>
        <v>395913219.12</v>
      </c>
      <c r="I61" s="137">
        <f>IF(B61="","",SUMIFS('Stock Guide'!$O:$O,'Stock Guide'!$B:$B,B61))</f>
        <v>0.85111075793068358</v>
      </c>
      <c r="J61" s="137">
        <f>IF(B61="","",SUMIFS('Stock Guide'!$P:$P,'Stock Guide'!$B:$B,B61))</f>
        <v>0.85947696636000004</v>
      </c>
      <c r="K61" s="134">
        <f>IF(B61="","",SUMIFS('Stock Guide'!$Q:$Q,'Stock Guide'!$B:$B,B61))</f>
        <v>0.14956998629000001</v>
      </c>
      <c r="L61" s="134">
        <f>IF(B61="","",SUMIFS('Stock Guide'!$R:$R,'Stock Guide'!$B:$B,B61))</f>
        <v>0.14956998628941792</v>
      </c>
      <c r="M61" s="133">
        <f>IF(B61="","",SUMIFS('Stock Guide'!$T:$T,'Stock Guide'!$B:$B,B61))</f>
        <v>1</v>
      </c>
      <c r="N61" s="138">
        <f>IFERROR(IF(B61="","",AVERAGEIFS('Stock Guide'!$U:$U,'Stock Guide'!$B:$B,B61)),"-")</f>
        <v>-4.839465112E-2</v>
      </c>
      <c r="O61" s="138">
        <f>IFERROR(IF(B61="","",AVERAGEIFS('Stock Guide'!$V:$V,'Stock Guide'!$B:$B,B61)),"-")</f>
        <v>3.4105177617999999E-2</v>
      </c>
      <c r="P61" s="138">
        <f>IFERROR(IF(B61="","",AVERAGEIFS('Stock Guide'!$W:$W,'Stock Guide'!$B:$B,B61)),"-")</f>
        <v>0.11765469687000001</v>
      </c>
    </row>
    <row r="62" spans="2:16" ht="16.5" customHeight="1" x14ac:dyDescent="0.2">
      <c r="B62" s="131" t="s">
        <v>671</v>
      </c>
      <c r="C62" s="132" t="str">
        <f>IF(B62="","",(VLOOKUP(B62,'Stock Guide'!$B:$D,3,0)))</f>
        <v>Suno Multi FII</v>
      </c>
      <c r="D62" s="133">
        <f>IF(B62="","",SUMIFS('Stock Guide'!$J:$J,'Stock Guide'!$B:$B,B62))</f>
        <v>9.39</v>
      </c>
      <c r="E62" s="134">
        <f>IF(B62="","",SUMIFS('Stock Guide'!$H:$H,'Stock Guide'!$B:$B,B62))</f>
        <v>0</v>
      </c>
      <c r="F62" s="135">
        <f>IF(B62="","",SUMIFS('Stock Guide'!I:I,'Stock Guide'!$B:$B,B62))</f>
        <v>292560.26585000003</v>
      </c>
      <c r="G62" s="136">
        <f>IF(B62="","",SUMIFS('Stock Guide'!$M:$M,'Stock Guide'!$B:$B,B62))</f>
        <v>69657301.769999996</v>
      </c>
      <c r="H62" s="136">
        <f>IF(B62="","",SUMIFS('Stock Guide'!$N:$N,'Stock Guide'!$B:$B,B62))</f>
        <v>72108487.120000005</v>
      </c>
      <c r="I62" s="137">
        <f>IF(B62="","",SUMIFS('Stock Guide'!$O:$O,'Stock Guide'!$B:$B,B62))</f>
        <v>0.96600697854164042</v>
      </c>
      <c r="J62" s="137">
        <f>IF(B62="","",SUMIFS('Stock Guide'!$P:$P,'Stock Guide'!$B:$B,B62))</f>
        <v>1.0047641511000001</v>
      </c>
      <c r="K62" s="134">
        <f>IF(B62="","",SUMIFS('Stock Guide'!$Q:$Q,'Stock Guide'!$B:$B,B62))</f>
        <v>0.16826411076</v>
      </c>
      <c r="L62" s="134">
        <f>IF(B62="","",SUMIFS('Stock Guide'!$R:$R,'Stock Guide'!$B:$B,B62))</f>
        <v>0.12779552715654952</v>
      </c>
      <c r="M62" s="133">
        <f>IF(B62="","",SUMIFS('Stock Guide'!$T:$T,'Stock Guide'!$B:$B,B62))</f>
        <v>0.1</v>
      </c>
      <c r="N62" s="138">
        <f>IFERROR(IF(B62="","",AVERAGEIFS('Stock Guide'!$U:$U,'Stock Guide'!$B:$B,B62)),"-")</f>
        <v>1.1784150521E-2</v>
      </c>
      <c r="O62" s="138">
        <f>IFERROR(IF(B62="","",AVERAGEIFS('Stock Guide'!$V:$V,'Stock Guide'!$B:$B,B62)),"-")</f>
        <v>8.2488560722000004E-2</v>
      </c>
      <c r="P62" s="138">
        <f>IFERROR(IF(B62="","",AVERAGEIFS('Stock Guide'!$W:$W,'Stock Guide'!$B:$B,B62)),"-")</f>
        <v>0.16058207114</v>
      </c>
    </row>
    <row r="63" spans="2:16" ht="16.5" customHeight="1" x14ac:dyDescent="0.2">
      <c r="B63" s="131" t="s">
        <v>675</v>
      </c>
      <c r="C63" s="132" t="str">
        <f>IF(B63="","",(VLOOKUP(B63,'Stock Guide'!$B:$D,3,0)))</f>
        <v>SPX Syn Multiestratégia FII</v>
      </c>
      <c r="D63" s="133">
        <f>IF(B63="","",SUMIFS('Stock Guide'!$J:$J,'Stock Guide'!$B:$B,B63))</f>
        <v>7.44</v>
      </c>
      <c r="E63" s="134">
        <f>IF(B63="","",SUMIFS('Stock Guide'!$H:$H,'Stock Guide'!$B:$B,B63))</f>
        <v>1.0200000000000001E-3</v>
      </c>
      <c r="F63" s="135">
        <f>IF(B63="","",SUMIFS('Stock Guide'!I:I,'Stock Guide'!$B:$B,B63))</f>
        <v>436341.20014999999</v>
      </c>
      <c r="G63" s="136">
        <f>IF(B63="","",SUMIFS('Stock Guide'!$M:$M,'Stock Guide'!$B:$B,B63))</f>
        <v>150206457.59999999</v>
      </c>
      <c r="H63" s="136">
        <f>IF(B63="","",SUMIFS('Stock Guide'!$N:$N,'Stock Guide'!$B:$B,B63))</f>
        <v>189756870.25</v>
      </c>
      <c r="I63" s="137">
        <f>IF(B63="","",SUMIFS('Stock Guide'!$O:$O,'Stock Guide'!$B:$B,B63))</f>
        <v>0.79157322421110066</v>
      </c>
      <c r="J63" s="137">
        <f>IF(B63="","",SUMIFS('Stock Guide'!$P:$P,'Stock Guide'!$B:$B,B63))</f>
        <v>0.97114561290000001</v>
      </c>
      <c r="K63" s="134">
        <f>IF(B63="","",SUMIFS('Stock Guide'!$Q:$Q,'Stock Guide'!$B:$B,B63))</f>
        <v>0.16223118280000001</v>
      </c>
      <c r="L63" s="134">
        <f>IF(B63="","",SUMIFS('Stock Guide'!$R:$R,'Stock Guide'!$B:$B,B63))</f>
        <v>0.1596774193548387</v>
      </c>
      <c r="M63" s="133">
        <f>IF(B63="","",SUMIFS('Stock Guide'!$T:$T,'Stock Guide'!$B:$B,B63))</f>
        <v>9.9000000000000005E-2</v>
      </c>
      <c r="N63" s="138">
        <f>IFERROR(IF(B63="","",AVERAGEIFS('Stock Guide'!$U:$U,'Stock Guide'!$B:$B,B63)),"-")</f>
        <v>-2.9900379854E-2</v>
      </c>
      <c r="O63" s="138">
        <f>IFERROR(IF(B63="","",AVERAGEIFS('Stock Guide'!$V:$V,'Stock Guide'!$B:$B,B63)),"-")</f>
        <v>-0.11516808111</v>
      </c>
      <c r="P63" s="138">
        <f>IFERROR(IF(B63="","",AVERAGEIFS('Stock Guide'!$W:$W,'Stock Guide'!$B:$B,B63)),"-")</f>
        <v>2.9689017259E-2</v>
      </c>
    </row>
    <row r="64" spans="2:16" ht="16.5" customHeight="1" x14ac:dyDescent="0.2">
      <c r="B64" s="131" t="s">
        <v>699</v>
      </c>
      <c r="C64" s="132" t="str">
        <f>IF(B64="","",(VLOOKUP(B64,'Stock Guide'!$B:$D,3,0)))</f>
        <v>Urca Prime Renda FII</v>
      </c>
      <c r="D64" s="133">
        <f>IF(B64="","",SUMIFS('Stock Guide'!$J:$J,'Stock Guide'!$B:$B,B64))</f>
        <v>19.57</v>
      </c>
      <c r="E64" s="134">
        <f>IF(B64="","",SUMIFS('Stock Guide'!$H:$H,'Stock Guide'!$B:$B,B64))</f>
        <v>1.5499999999999999E-3</v>
      </c>
      <c r="F64" s="135">
        <f>IF(B64="","",SUMIFS('Stock Guide'!I:I,'Stock Guide'!$B:$B,B64))</f>
        <v>717779.83907999995</v>
      </c>
      <c r="G64" s="136">
        <f>IF(B64="","",SUMIFS('Stock Guide'!$M:$M,'Stock Guide'!$B:$B,B64))</f>
        <v>229632325.15000001</v>
      </c>
      <c r="H64" s="136">
        <f>IF(B64="","",SUMIFS('Stock Guide'!$N:$N,'Stock Guide'!$B:$B,B64))</f>
        <v>1088533069.4000001</v>
      </c>
      <c r="I64" s="137">
        <f>IF(B64="","",SUMIFS('Stock Guide'!$O:$O,'Stock Guide'!$B:$B,B64))</f>
        <v>0.21095576386721393</v>
      </c>
      <c r="J64" s="137">
        <f>IF(B64="","",SUMIFS('Stock Guide'!$P:$P,'Stock Guide'!$B:$B,B64))</f>
        <v>0.36588766566999997</v>
      </c>
      <c r="K64" s="134">
        <f>IF(B64="","",SUMIFS('Stock Guide'!$Q:$Q,'Stock Guide'!$B:$B,B64))</f>
        <v>0.20899335718000001</v>
      </c>
      <c r="L64" s="134">
        <f>IF(B64="","",SUMIFS('Stock Guide'!$R:$R,'Stock Guide'!$B:$B,B64))</f>
        <v>0.1839550332141032</v>
      </c>
      <c r="M64" s="133">
        <f>IF(B64="","",SUMIFS('Stock Guide'!$T:$T,'Stock Guide'!$B:$B,B64))</f>
        <v>0.3</v>
      </c>
      <c r="N64" s="138">
        <f>IFERROR(IF(B64="","",AVERAGEIFS('Stock Guide'!$U:$U,'Stock Guide'!$B:$B,B64)),"-")</f>
        <v>1.9270833332000002E-2</v>
      </c>
      <c r="O64" s="138">
        <f>IFERROR(IF(B64="","",AVERAGEIFS('Stock Guide'!$V:$V,'Stock Guide'!$B:$B,B64)),"-")</f>
        <v>-0.43886262446000002</v>
      </c>
      <c r="P64" s="138">
        <f>IFERROR(IF(B64="","",AVERAGEIFS('Stock Guide'!$W:$W,'Stock Guide'!$B:$B,B64)),"-")</f>
        <v>-0.33544374366000002</v>
      </c>
    </row>
    <row r="65" spans="2:16" ht="16.5" customHeight="1" x14ac:dyDescent="0.2">
      <c r="B65" s="131" t="s">
        <v>702</v>
      </c>
      <c r="C65" s="132" t="str">
        <f>IF(B65="","",(VLOOKUP(B65,'Stock Guide'!$B:$D,3,0)))</f>
        <v>Vectis Juros Real FII</v>
      </c>
      <c r="D65" s="133">
        <f>IF(B65="","",SUMIFS('Stock Guide'!$J:$J,'Stock Guide'!$B:$B,B65))</f>
        <v>67.260000000000005</v>
      </c>
      <c r="E65" s="134">
        <f>IF(B65="","",SUMIFS('Stock Guide'!$H:$H,'Stock Guide'!$B:$B,B65))</f>
        <v>6.6899999999999998E-3</v>
      </c>
      <c r="F65" s="135">
        <f>IF(B65="","",SUMIFS('Stock Guide'!I:I,'Stock Guide'!$B:$B,B65))</f>
        <v>2544730.2333999998</v>
      </c>
      <c r="G65" s="136">
        <f>IF(B65="","",SUMIFS('Stock Guide'!$M:$M,'Stock Guide'!$B:$B,B65))</f>
        <v>990334222.20000005</v>
      </c>
      <c r="H65" s="136">
        <f>IF(B65="","",SUMIFS('Stock Guide'!$N:$N,'Stock Guide'!$B:$B,B65))</f>
        <v>1360371537.2</v>
      </c>
      <c r="I65" s="137">
        <f>IF(B65="","",SUMIFS('Stock Guide'!$O:$O,'Stock Guide'!$B:$B,B65))</f>
        <v>0.72798804967528696</v>
      </c>
      <c r="J65" s="137">
        <f>IF(B65="","",SUMIFS('Stock Guide'!$P:$P,'Stock Guide'!$B:$B,B65))</f>
        <v>0.85565231722000001</v>
      </c>
      <c r="K65" s="134">
        <f>IF(B65="","",SUMIFS('Stock Guide'!$Q:$Q,'Stock Guide'!$B:$B,B65))</f>
        <v>0.16681534344000001</v>
      </c>
      <c r="L65" s="134">
        <f>IF(B65="","",SUMIFS('Stock Guide'!$R:$R,'Stock Guide'!$B:$B,B65))</f>
        <v>0.22301516503122212</v>
      </c>
      <c r="M65" s="133">
        <f>IF(B65="","",SUMIFS('Stock Guide'!$T:$T,'Stock Guide'!$B:$B,B65))</f>
        <v>1.25</v>
      </c>
      <c r="N65" s="138">
        <f>IFERROR(IF(B65="","",AVERAGEIFS('Stock Guide'!$U:$U,'Stock Guide'!$B:$B,B65)),"-")</f>
        <v>-4.4737963358000003E-2</v>
      </c>
      <c r="O65" s="138">
        <f>IFERROR(IF(B65="","",AVERAGEIFS('Stock Guide'!$V:$V,'Stock Guide'!$B:$B,B65)),"-")</f>
        <v>-8.5819749456000002E-2</v>
      </c>
      <c r="P65" s="138">
        <f>IFERROR(IF(B65="","",AVERAGEIFS('Stock Guide'!$W:$W,'Stock Guide'!$B:$B,B65)),"-")</f>
        <v>-2.2662034865E-2</v>
      </c>
    </row>
    <row r="66" spans="2:16" ht="16.5" customHeight="1" x14ac:dyDescent="0.2">
      <c r="B66" s="131" t="s">
        <v>704</v>
      </c>
      <c r="C66" s="132" t="str">
        <f>IF(B66="","",(VLOOKUP(B66,'Stock Guide'!$B:$D,3,0)))</f>
        <v>Vinci Credit Securities FII</v>
      </c>
      <c r="D66" s="133">
        <f>IF(B66="","",SUMIFS('Stock Guide'!$J:$J,'Stock Guide'!$B:$B,B66))</f>
        <v>7.44</v>
      </c>
      <c r="E66" s="134">
        <f>IF(B66="","",SUMIFS('Stock Guide'!$H:$H,'Stock Guide'!$B:$B,B66))</f>
        <v>0</v>
      </c>
      <c r="F66" s="135">
        <f>IF(B66="","",SUMIFS('Stock Guide'!I:I,'Stock Guide'!$B:$B,B66))</f>
        <v>256492.52108000001</v>
      </c>
      <c r="G66" s="136">
        <f>IF(B66="","",SUMIFS('Stock Guide'!$M:$M,'Stock Guide'!$B:$B,B66))</f>
        <v>152844852.72</v>
      </c>
      <c r="H66" s="136">
        <f>IF(B66="","",SUMIFS('Stock Guide'!$N:$N,'Stock Guide'!$B:$B,B66))</f>
        <v>195740680.43000001</v>
      </c>
      <c r="I66" s="137">
        <f>IF(B66="","",SUMIFS('Stock Guide'!$O:$O,'Stock Guide'!$B:$B,B66))</f>
        <v>0.78085379280501566</v>
      </c>
      <c r="J66" s="137">
        <f>IF(B66="","",SUMIFS('Stock Guide'!$P:$P,'Stock Guide'!$B:$B,B66))</f>
        <v>0.76865679187000002</v>
      </c>
      <c r="K66" s="134">
        <f>IF(B66="","",SUMIFS('Stock Guide'!$Q:$Q,'Stock Guide'!$B:$B,B66))</f>
        <v>0.14784946236999999</v>
      </c>
      <c r="L66" s="134">
        <f>IF(B66="","",SUMIFS('Stock Guide'!$R:$R,'Stock Guide'!$B:$B,B66))</f>
        <v>0.15322580645161288</v>
      </c>
      <c r="M66" s="133">
        <f>IF(B66="","",SUMIFS('Stock Guide'!$T:$T,'Stock Guide'!$B:$B,B66))</f>
        <v>9.5000000000000001E-2</v>
      </c>
      <c r="N66" s="138">
        <f>IFERROR(IF(B66="","",AVERAGEIFS('Stock Guide'!$U:$U,'Stock Guide'!$B:$B,B66)),"-")</f>
        <v>4.8625792810999997E-2</v>
      </c>
      <c r="O66" s="138">
        <f>IFERROR(IF(B66="","",AVERAGEIFS('Stock Guide'!$V:$V,'Stock Guide'!$B:$B,B66)),"-")</f>
        <v>0.1105279332</v>
      </c>
      <c r="P66" s="138">
        <f>IFERROR(IF(B66="","",AVERAGEIFS('Stock Guide'!$W:$W,'Stock Guide'!$B:$B,B66)),"-")</f>
        <v>0.20718490534</v>
      </c>
    </row>
    <row r="67" spans="2:16" ht="16.5" customHeight="1" x14ac:dyDescent="0.2">
      <c r="B67" s="131" t="s">
        <v>710</v>
      </c>
      <c r="C67" s="132" t="str">
        <f>IF(B67="","",(VLOOKUP(B67,'Stock Guide'!$B:$D,3,0)))</f>
        <v>Valora CRI Índice de Preço FII</v>
      </c>
      <c r="D67" s="133">
        <f>IF(B67="","",SUMIFS('Stock Guide'!$J:$J,'Stock Guide'!$B:$B,B67))</f>
        <v>74.040000000000006</v>
      </c>
      <c r="E67" s="134">
        <f>IF(B67="","",SUMIFS('Stock Guide'!$H:$H,'Stock Guide'!$B:$B,B67))</f>
        <v>5.8999999999999999E-3</v>
      </c>
      <c r="F67" s="135">
        <f>IF(B67="","",SUMIFS('Stock Guide'!I:I,'Stock Guide'!$B:$B,B67))</f>
        <v>1953992.2023</v>
      </c>
      <c r="G67" s="136">
        <f>IF(B67="","",SUMIFS('Stock Guide'!$M:$M,'Stock Guide'!$B:$B,B67))</f>
        <v>872727767.88</v>
      </c>
      <c r="H67" s="136">
        <f>IF(B67="","",SUMIFS('Stock Guide'!$N:$N,'Stock Guide'!$B:$B,B67))</f>
        <v>1068558167.4</v>
      </c>
      <c r="I67" s="137">
        <f>IF(B67="","",SUMIFS('Stock Guide'!$O:$O,'Stock Guide'!$B:$B,B67))</f>
        <v>0.81673398276811493</v>
      </c>
      <c r="J67" s="137">
        <f>IF(B67="","",SUMIFS('Stock Guide'!$P:$P,'Stock Guide'!$B:$B,B67))</f>
        <v>0.88822119945</v>
      </c>
      <c r="K67" s="134">
        <f>IF(B67="","",SUMIFS('Stock Guide'!$Q:$Q,'Stock Guide'!$B:$B,B67))</f>
        <v>0.13911399244</v>
      </c>
      <c r="L67" s="134">
        <f>IF(B67="","",SUMIFS('Stock Guide'!$R:$R,'Stock Guide'!$B:$B,B67))</f>
        <v>0.17179902755267423</v>
      </c>
      <c r="M67" s="133">
        <f>IF(B67="","",SUMIFS('Stock Guide'!$T:$T,'Stock Guide'!$B:$B,B67))</f>
        <v>1.06</v>
      </c>
      <c r="N67" s="138">
        <f>IFERROR(IF(B67="","",AVERAGEIFS('Stock Guide'!$U:$U,'Stock Guide'!$B:$B,B67)),"-")</f>
        <v>-3.9647433805E-2</v>
      </c>
      <c r="O67" s="138">
        <f>IFERROR(IF(B67="","",AVERAGEIFS('Stock Guide'!$V:$V,'Stock Guide'!$B:$B,B67)),"-")</f>
        <v>1.0001011176E-2</v>
      </c>
      <c r="P67" s="138">
        <f>IFERROR(IF(B67="","",AVERAGEIFS('Stock Guide'!$W:$W,'Stock Guide'!$B:$B,B67)),"-")</f>
        <v>4.3628514710000003E-2</v>
      </c>
    </row>
    <row r="68" spans="2:16" ht="16.5" customHeight="1" x14ac:dyDescent="0.2">
      <c r="B68" s="131" t="s">
        <v>712</v>
      </c>
      <c r="C68" s="132" t="str">
        <f>IF(B68="","",(VLOOKUP(B68,'Stock Guide'!$B:$D,3,0)))</f>
        <v>Valora CRI CDI FII</v>
      </c>
      <c r="D68" s="133">
        <f>IF(B68="","",SUMIFS('Stock Guide'!$J:$J,'Stock Guide'!$B:$B,B68))</f>
        <v>9.43</v>
      </c>
      <c r="E68" s="134">
        <f>IF(B68="","",SUMIFS('Stock Guide'!$H:$H,'Stock Guide'!$B:$B,B68))</f>
        <v>9.3200000000000002E-3</v>
      </c>
      <c r="F68" s="135">
        <f>IF(B68="","",SUMIFS('Stock Guide'!I:I,'Stock Guide'!$B:$B,B68))</f>
        <v>4366060.5526000001</v>
      </c>
      <c r="G68" s="136">
        <f>IF(B68="","",SUMIFS('Stock Guide'!$M:$M,'Stock Guide'!$B:$B,B68))</f>
        <v>1377735136.4000001</v>
      </c>
      <c r="H68" s="136">
        <f>IF(B68="","",SUMIFS('Stock Guide'!$N:$N,'Stock Guide'!$B:$B,B68))</f>
        <v>1432802943.9000001</v>
      </c>
      <c r="I68" s="137">
        <f>IF(B68="","",SUMIFS('Stock Guide'!$O:$O,'Stock Guide'!$B:$B,B68))</f>
        <v>0.96156637747399587</v>
      </c>
      <c r="J68" s="137">
        <f>IF(B68="","",SUMIFS('Stock Guide'!$P:$P,'Stock Guide'!$B:$B,B68))</f>
        <v>1.0012870517000001</v>
      </c>
      <c r="K68" s="134">
        <f>IF(B68="","",SUMIFS('Stock Guide'!$Q:$Q,'Stock Guide'!$B:$B,B68))</f>
        <v>0.16012725345000001</v>
      </c>
      <c r="L68" s="134">
        <f>IF(B68="","",SUMIFS('Stock Guide'!$R:$R,'Stock Guide'!$B:$B,B68))</f>
        <v>0.16542948038176034</v>
      </c>
      <c r="M68" s="133">
        <f>IF(B68="","",SUMIFS('Stock Guide'!$T:$T,'Stock Guide'!$B:$B,B68))</f>
        <v>0.13</v>
      </c>
      <c r="N68" s="138">
        <f>IFERROR(IF(B68="","",AVERAGEIFS('Stock Guide'!$U:$U,'Stock Guide'!$B:$B,B68)),"-")</f>
        <v>1.0777917103000001E-2</v>
      </c>
      <c r="O68" s="138">
        <f>IFERROR(IF(B68="","",AVERAGEIFS('Stock Guide'!$V:$V,'Stock Guide'!$B:$B,B68)),"-")</f>
        <v>6.2549944302999996E-2</v>
      </c>
      <c r="P68" s="138">
        <f>IFERROR(IF(B68="","",AVERAGEIFS('Stock Guide'!$W:$W,'Stock Guide'!$B:$B,B68)),"-")</f>
        <v>0.15998753368999999</v>
      </c>
    </row>
    <row r="69" spans="2:16" ht="16.5" customHeight="1" x14ac:dyDescent="0.2">
      <c r="B69" s="131" t="s">
        <v>726</v>
      </c>
      <c r="C69" s="132" t="str">
        <f>IF(B69="","",(VLOOKUP(B69,'Stock Guide'!$B:$D,3,0)))</f>
        <v>Fator Verità FII</v>
      </c>
      <c r="D69" s="133">
        <f>IF(B69="","",SUMIFS('Stock Guide'!$J:$J,'Stock Guide'!$B:$B,B69))</f>
        <v>69.75</v>
      </c>
      <c r="E69" s="134">
        <f>IF(B69="","",SUMIFS('Stock Guide'!$H:$H,'Stock Guide'!$B:$B,B69))</f>
        <v>7.3499999999999998E-3</v>
      </c>
      <c r="F69" s="135">
        <f>IF(B69="","",SUMIFS('Stock Guide'!I:I,'Stock Guide'!$B:$B,B69))</f>
        <v>2137614.5915000001</v>
      </c>
      <c r="G69" s="136">
        <f>IF(B69="","",SUMIFS('Stock Guide'!$M:$M,'Stock Guide'!$B:$B,B69))</f>
        <v>1087571574</v>
      </c>
      <c r="H69" s="136">
        <f>IF(B69="","",SUMIFS('Stock Guide'!$N:$N,'Stock Guide'!$B:$B,B69))</f>
        <v>1296540830.9000001</v>
      </c>
      <c r="I69" s="137">
        <f>IF(B69="","",SUMIFS('Stock Guide'!$O:$O,'Stock Guide'!$B:$B,B69))</f>
        <v>0.83882554878357118</v>
      </c>
      <c r="J69" s="137">
        <f>IF(B69="","",SUMIFS('Stock Guide'!$P:$P,'Stock Guide'!$B:$B,B69))</f>
        <v>0.96942006774</v>
      </c>
      <c r="K69" s="134">
        <f>IF(B69="","",SUMIFS('Stock Guide'!$Q:$Q,'Stock Guide'!$B:$B,B69))</f>
        <v>0.14623655914</v>
      </c>
      <c r="L69" s="134">
        <f>IF(B69="","",SUMIFS('Stock Guide'!$R:$R,'Stock Guide'!$B:$B,B69))</f>
        <v>0.14623655913978495</v>
      </c>
      <c r="M69" s="133">
        <f>IF(B69="","",SUMIFS('Stock Guide'!$T:$T,'Stock Guide'!$B:$B,B69))</f>
        <v>0.85</v>
      </c>
      <c r="N69" s="138">
        <f>IFERROR(IF(B69="","",AVERAGEIFS('Stock Guide'!$U:$U,'Stock Guide'!$B:$B,B69)),"-")</f>
        <v>-3.3264033264000001E-2</v>
      </c>
      <c r="O69" s="138">
        <f>IFERROR(IF(B69="","",AVERAGEIFS('Stock Guide'!$V:$V,'Stock Guide'!$B:$B,B69)),"-")</f>
        <v>-7.7347736338000003E-2</v>
      </c>
      <c r="P69" s="138">
        <f>IFERROR(IF(B69="","",AVERAGEIFS('Stock Guide'!$W:$W,'Stock Guide'!$B:$B,B69)),"-")</f>
        <v>5.2075238385E-2</v>
      </c>
    </row>
    <row r="70" spans="2:16" ht="16.5" customHeight="1" x14ac:dyDescent="0.2">
      <c r="B70" s="131" t="s">
        <v>731</v>
      </c>
      <c r="C70" s="132" t="str">
        <f>IF(B70="","",(VLOOKUP(B70,'Stock Guide'!$B:$D,3,0)))</f>
        <v>Versalhes Recebíveis Imobiliários FII</v>
      </c>
      <c r="D70" s="133">
        <f>IF(B70="","",SUMIFS('Stock Guide'!$J:$J,'Stock Guide'!$B:$B,B70))</f>
        <v>1.62</v>
      </c>
      <c r="E70" s="134">
        <f>IF(B70="","",SUMIFS('Stock Guide'!$H:$H,'Stock Guide'!$B:$B,B70))</f>
        <v>0</v>
      </c>
      <c r="F70" s="135">
        <f>IF(B70="","",SUMIFS('Stock Guide'!I:I,'Stock Guide'!$B:$B,B70))</f>
        <v>71997.867845999994</v>
      </c>
      <c r="G70" s="136">
        <f>IF(B70="","",SUMIFS('Stock Guide'!$M:$M,'Stock Guide'!$B:$B,B70))</f>
        <v>48379827.420000002</v>
      </c>
      <c r="H70" s="136">
        <f>IF(B70="","",SUMIFS('Stock Guide'!$N:$N,'Stock Guide'!$B:$B,B70))</f>
        <v>343098392.05000001</v>
      </c>
      <c r="I70" s="137">
        <f>IF(B70="","",SUMIFS('Stock Guide'!$O:$O,'Stock Guide'!$B:$B,B70))</f>
        <v>0.1410086101859363</v>
      </c>
      <c r="J70" s="137">
        <f>IF(B70="","",SUMIFS('Stock Guide'!$P:$P,'Stock Guide'!$B:$B,B70))</f>
        <v>0.21026534250000001</v>
      </c>
      <c r="K70" s="134">
        <f>IF(B70="","",SUMIFS('Stock Guide'!$Q:$Q,'Stock Guide'!$B:$B,B70))</f>
        <v>0.20679012346</v>
      </c>
      <c r="L70" s="134">
        <f>IF(B70="","",SUMIFS('Stock Guide'!$R:$R,'Stock Guide'!$B:$B,B70))</f>
        <v>0.16296296296296295</v>
      </c>
      <c r="M70" s="133">
        <f>IF(B70="","",SUMIFS('Stock Guide'!$T:$T,'Stock Guide'!$B:$B,B70))</f>
        <v>2.1999999999999999E-2</v>
      </c>
      <c r="N70" s="138">
        <f>IFERROR(IF(B70="","",AVERAGEIFS('Stock Guide'!$U:$U,'Stock Guide'!$B:$B,B70)),"-")</f>
        <v>-8.9108910890000004E-2</v>
      </c>
      <c r="O70" s="138">
        <f>IFERROR(IF(B70="","",AVERAGEIFS('Stock Guide'!$V:$V,'Stock Guide'!$B:$B,B70)),"-")</f>
        <v>-0.15569640430000001</v>
      </c>
      <c r="P70" s="138">
        <f>IFERROR(IF(B70="","",AVERAGEIFS('Stock Guide'!$W:$W,'Stock Guide'!$B:$B,B70)),"-")</f>
        <v>-0.23958971743999999</v>
      </c>
    </row>
    <row r="71" spans="2:16" ht="16.5" customHeight="1" x14ac:dyDescent="0.2">
      <c r="B71" s="131" t="s">
        <v>756</v>
      </c>
      <c r="C71" s="132" t="str">
        <f>IF(B71="","",(VLOOKUP(B71,'Stock Guide'!$B:$D,3,0)))</f>
        <v>V2 Recebíveis Imobiliários FII</v>
      </c>
      <c r="D71" s="133">
        <f>IF(B71="","",SUMIFS('Stock Guide'!$J:$J,'Stock Guide'!$B:$B,B71))</f>
        <v>7.63</v>
      </c>
      <c r="E71" s="134">
        <f>IF(B71="","",SUMIFS('Stock Guide'!$H:$H,'Stock Guide'!$B:$B,B71))</f>
        <v>0</v>
      </c>
      <c r="F71" s="135">
        <f>IF(B71="","",SUMIFS('Stock Guide'!I:I,'Stock Guide'!$B:$B,B71))</f>
        <v>204010.65753999999</v>
      </c>
      <c r="G71" s="136">
        <f>IF(B71="","",SUMIFS('Stock Guide'!$M:$M,'Stock Guide'!$B:$B,B71))</f>
        <v>139468449.53999999</v>
      </c>
      <c r="H71" s="136">
        <f>IF(B71="","",SUMIFS('Stock Guide'!$N:$N,'Stock Guide'!$B:$B,B71))</f>
        <v>186981463.03</v>
      </c>
      <c r="I71" s="137">
        <f>IF(B71="","",SUMIFS('Stock Guide'!$O:$O,'Stock Guide'!$B:$B,B71))</f>
        <v>0.74589452494348685</v>
      </c>
      <c r="J71" s="137">
        <f>IF(B71="","",SUMIFS('Stock Guide'!$P:$P,'Stock Guide'!$B:$B,B71))</f>
        <v>0.90505496602000002</v>
      </c>
      <c r="K71" s="134">
        <f>IF(B71="","",SUMIFS('Stock Guide'!$Q:$Q,'Stock Guide'!$B:$B,B71))</f>
        <v>0.15958726513999999</v>
      </c>
      <c r="L71" s="134">
        <f>IF(B71="","",SUMIFS('Stock Guide'!$R:$R,'Stock Guide'!$B:$B,B71))</f>
        <v>0.15727391874180865</v>
      </c>
      <c r="M71" s="133">
        <f>IF(B71="","",SUMIFS('Stock Guide'!$T:$T,'Stock Guide'!$B:$B,B71))</f>
        <v>0.1</v>
      </c>
      <c r="N71" s="138">
        <f>IFERROR(IF(B71="","",AVERAGEIFS('Stock Guide'!$U:$U,'Stock Guide'!$B:$B,B71)),"-")</f>
        <v>-0.16361467613</v>
      </c>
      <c r="O71" s="138">
        <f>IFERROR(IF(B71="","",AVERAGEIFS('Stock Guide'!$V:$V,'Stock Guide'!$B:$B,B71)),"-")</f>
        <v>-9.3805906723000002E-2</v>
      </c>
      <c r="P71" s="138">
        <f>IFERROR(IF(B71="","",AVERAGEIFS('Stock Guide'!$W:$W,'Stock Guide'!$B:$B,B71)),"-")</f>
        <v>-0.11057157684</v>
      </c>
    </row>
    <row r="72" spans="2:16" ht="16.5" customHeight="1" x14ac:dyDescent="0.2">
      <c r="B72" s="131" t="s">
        <v>733</v>
      </c>
      <c r="C72" s="132" t="str">
        <f>IF(B72="","",(VLOOKUP(B72,'Stock Guide'!$B:$D,3,0)))</f>
        <v>WHG Real Estate FII</v>
      </c>
      <c r="D72" s="133">
        <f>IF(B72="","",SUMIFS('Stock Guide'!$J:$J,'Stock Guide'!$B:$B,B72))</f>
        <v>8.3000000000000007</v>
      </c>
      <c r="E72" s="134">
        <f>IF(B72="","",SUMIFS('Stock Guide'!$H:$H,'Stock Guide'!$B:$B,B72))</f>
        <v>1.74E-3</v>
      </c>
      <c r="F72" s="135">
        <f>IF(B72="","",SUMIFS('Stock Guide'!I:I,'Stock Guide'!$B:$B,B72))</f>
        <v>266707.41061999998</v>
      </c>
      <c r="G72" s="136">
        <f>IF(B72="","",SUMIFS('Stock Guide'!$M:$M,'Stock Guide'!$B:$B,B72))</f>
        <v>256572745.68000001</v>
      </c>
      <c r="H72" s="136">
        <f>IF(B72="","",SUMIFS('Stock Guide'!$N:$N,'Stock Guide'!$B:$B,B72))</f>
        <v>295309027.56</v>
      </c>
      <c r="I72" s="137">
        <f>IF(B72="","",SUMIFS('Stock Guide'!$O:$O,'Stock Guide'!$B:$B,B72))</f>
        <v>0.8688279792864454</v>
      </c>
      <c r="J72" s="137">
        <f>IF(B72="","",SUMIFS('Stock Guide'!$P:$P,'Stock Guide'!$B:$B,B72))</f>
        <v>0.94028391596000005</v>
      </c>
      <c r="K72" s="134">
        <f>IF(B72="","",SUMIFS('Stock Guide'!$Q:$Q,'Stock Guide'!$B:$B,B72))</f>
        <v>0.14457831325000001</v>
      </c>
      <c r="L72" s="134">
        <f>IF(B72="","",SUMIFS('Stock Guide'!$R:$R,'Stock Guide'!$B:$B,B72))</f>
        <v>0.14457831325301204</v>
      </c>
      <c r="M72" s="133">
        <f>IF(B72="","",SUMIFS('Stock Guide'!$T:$T,'Stock Guide'!$B:$B,B72))</f>
        <v>0.1</v>
      </c>
      <c r="N72" s="138">
        <f>IFERROR(IF(B72="","",AVERAGEIFS('Stock Guide'!$U:$U,'Stock Guide'!$B:$B,B72)),"-")</f>
        <v>-7.0548712207E-2</v>
      </c>
      <c r="O72" s="138">
        <f>IFERROR(IF(B72="","",AVERAGEIFS('Stock Guide'!$V:$V,'Stock Guide'!$B:$B,B72)),"-")</f>
        <v>-3.2803146108000003E-2</v>
      </c>
      <c r="P72" s="138">
        <f>IFERROR(IF(B72="","",AVERAGEIFS('Stock Guide'!$W:$W,'Stock Guide'!$B:$B,B72)),"-")</f>
        <v>9.9025743927999996E-2</v>
      </c>
    </row>
    <row r="73" spans="2:16" ht="16.5" customHeight="1" x14ac:dyDescent="0.2">
      <c r="B73" s="131" t="s">
        <v>755</v>
      </c>
      <c r="C73" s="132" t="str">
        <f>IF(B73="","",(VLOOKUP(B73,'Stock Guide'!$B:$D,3,0)))</f>
        <v>-</v>
      </c>
      <c r="D73" s="133">
        <f>IF(B73="","",SUMIFS('Stock Guide'!$J:$J,'Stock Guide'!$B:$B,B73))</f>
        <v>66.84</v>
      </c>
      <c r="E73" s="134">
        <f>IF(B73="","",SUMIFS('Stock Guide'!$H:$H,'Stock Guide'!$B:$B,B73))</f>
        <v>0</v>
      </c>
      <c r="F73" s="135">
        <f>IF(B73="","",SUMIFS('Stock Guide'!I:I,'Stock Guide'!$B:$B,B73))</f>
        <v>105869.68953</v>
      </c>
      <c r="G73" s="136">
        <f>IF(B73="","",SUMIFS('Stock Guide'!$M:$M,'Stock Guide'!$B:$B,B73))</f>
        <v>32200637.879999999</v>
      </c>
      <c r="H73" s="136">
        <f>IF(B73="","",SUMIFS('Stock Guide'!$N:$N,'Stock Guide'!$B:$B,B73))</f>
        <v>36315644.600000001</v>
      </c>
      <c r="I73" s="137">
        <f>IF(B73="","",SUMIFS('Stock Guide'!$O:$O,'Stock Guide'!$B:$B,B73))</f>
        <v>0.8866877687199306</v>
      </c>
      <c r="J73" s="137">
        <f>IF(B73="","",SUMIFS('Stock Guide'!$P:$P,'Stock Guide'!$B:$B,B73))</f>
        <v>0.98257897755000001</v>
      </c>
      <c r="K73" s="134">
        <f>IF(B73="","",SUMIFS('Stock Guide'!$Q:$Q,'Stock Guide'!$B:$B,B73))</f>
        <v>0.10372407031</v>
      </c>
      <c r="L73" s="134">
        <f>IF(B73="","",SUMIFS('Stock Guide'!$R:$R,'Stock Guide'!$B:$B,B73))</f>
        <v>6.8430578563734287E-2</v>
      </c>
      <c r="M73" s="133">
        <f>IF(B73="","",SUMIFS('Stock Guide'!$T:$T,'Stock Guide'!$B:$B,B73))</f>
        <v>0.38115832259999999</v>
      </c>
      <c r="N73" s="138">
        <f>IFERROR(IF(B73="","",AVERAGEIFS('Stock Guide'!$U:$U,'Stock Guide'!$B:$B,B73)),"-")</f>
        <v>-2.0355639100999998E-2</v>
      </c>
      <c r="O73" s="138">
        <f>IFERROR(IF(B73="","",AVERAGEIFS('Stock Guide'!$V:$V,'Stock Guide'!$B:$B,B73)),"-")</f>
        <v>-0.12727890566</v>
      </c>
      <c r="P73" s="138">
        <f>IFERROR(IF(B73="","",AVERAGEIFS('Stock Guide'!$W:$W,'Stock Guide'!$B:$B,B73)),"-")</f>
        <v>-2.7345860103000001E-2</v>
      </c>
    </row>
    <row r="74" spans="2:16" ht="16.5" customHeight="1" x14ac:dyDescent="0.2">
      <c r="B74" s="131" t="s">
        <v>736</v>
      </c>
      <c r="C74" s="132" t="str">
        <f>IF(B74="","",(VLOOKUP(B74,'Stock Guide'!$B:$D,3,0)))</f>
        <v>XP Crédito Imobiliário FII</v>
      </c>
      <c r="D74" s="133">
        <f>IF(B74="","",SUMIFS('Stock Guide'!$J:$J,'Stock Guide'!$B:$B,B74))</f>
        <v>76.989999999999995</v>
      </c>
      <c r="E74" s="134">
        <f>IF(B74="","",SUMIFS('Stock Guide'!$H:$H,'Stock Guide'!$B:$B,B74))</f>
        <v>4.5300000000000002E-3</v>
      </c>
      <c r="F74" s="135">
        <f>IF(B74="","",SUMIFS('Stock Guide'!I:I,'Stock Guide'!$B:$B,B74))</f>
        <v>1835113.0234000001</v>
      </c>
      <c r="G74" s="136">
        <f>IF(B74="","",SUMIFS('Stock Guide'!$M:$M,'Stock Guide'!$B:$B,B74))</f>
        <v>669932488.47000003</v>
      </c>
      <c r="H74" s="136">
        <f>IF(B74="","",SUMIFS('Stock Guide'!$N:$N,'Stock Guide'!$B:$B,B74))</f>
        <v>757543686.35000002</v>
      </c>
      <c r="I74" s="137">
        <f>IF(B74="","",SUMIFS('Stock Guide'!$O:$O,'Stock Guide'!$B:$B,B74))</f>
        <v>0.88434832279821562</v>
      </c>
      <c r="J74" s="137">
        <f>IF(B74="","",SUMIFS('Stock Guide'!$P:$P,'Stock Guide'!$B:$B,B74))</f>
        <v>0.91979795595000002</v>
      </c>
      <c r="K74" s="134">
        <f>IF(B74="","",SUMIFS('Stock Guide'!$Q:$Q,'Stock Guide'!$B:$B,B74))</f>
        <v>0.14079750617</v>
      </c>
      <c r="L74" s="134">
        <f>IF(B74="","",SUMIFS('Stock Guide'!$R:$R,'Stock Guide'!$B:$B,B74))</f>
        <v>0.14495389011559945</v>
      </c>
      <c r="M74" s="133">
        <f>IF(B74="","",SUMIFS('Stock Guide'!$T:$T,'Stock Guide'!$B:$B,B74))</f>
        <v>0.93</v>
      </c>
      <c r="N74" s="138">
        <f>IFERROR(IF(B74="","",AVERAGEIFS('Stock Guide'!$U:$U,'Stock Guide'!$B:$B,B74)),"-")</f>
        <v>-5.6610709473000002E-2</v>
      </c>
      <c r="O74" s="138">
        <f>IFERROR(IF(B74="","",AVERAGEIFS('Stock Guide'!$V:$V,'Stock Guide'!$B:$B,B74)),"-")</f>
        <v>1.0486620364999999E-2</v>
      </c>
      <c r="P74" s="138">
        <f>IFERROR(IF(B74="","",AVERAGEIFS('Stock Guide'!$W:$W,'Stock Guide'!$B:$B,B74)),"-")</f>
        <v>7.4142622928999993E-2</v>
      </c>
    </row>
    <row r="75" spans="2:16" ht="16.5" customHeight="1" x14ac:dyDescent="0.2">
      <c r="B75" s="131"/>
      <c r="C75" s="132" t="str">
        <f>IF(B75="","",(VLOOKUP(B75,'Stock Guide'!$B:$D,3,0)))</f>
        <v/>
      </c>
      <c r="D75" s="133" t="str">
        <f>IF(B75="","",SUMIFS('Stock Guide'!$J:$J,'Stock Guide'!$B:$B,B75))</f>
        <v/>
      </c>
      <c r="E75" s="134" t="str">
        <f>IF(B75="","",SUMIFS('Stock Guide'!$H:$H,'Stock Guide'!$B:$B,B75))</f>
        <v/>
      </c>
      <c r="F75" s="135" t="str">
        <f>IF(B75="","",SUMIFS('Stock Guide'!I:I,'Stock Guide'!$B:$B,B75))</f>
        <v/>
      </c>
      <c r="G75" s="136" t="str">
        <f>IF(B75="","",SUMIFS('Stock Guide'!$M:$M,'Stock Guide'!$B:$B,B75))</f>
        <v/>
      </c>
      <c r="H75" s="136" t="str">
        <f>IF(B75="","",SUMIFS('Stock Guide'!$N:$N,'Stock Guide'!$B:$B,B75))</f>
        <v/>
      </c>
      <c r="I75" s="137" t="str">
        <f>IF(B75="","",SUMIFS('Stock Guide'!$O:$O,'Stock Guide'!$B:$B,B75))</f>
        <v/>
      </c>
      <c r="J75" s="137" t="str">
        <f>IF(B75="","",SUMIFS('Stock Guide'!$P:$P,'Stock Guide'!$B:$B,B75))</f>
        <v/>
      </c>
      <c r="K75" s="134" t="str">
        <f>IF(B75="","",SUMIFS('Stock Guide'!$Q:$Q,'Stock Guide'!$B:$B,B75))</f>
        <v/>
      </c>
      <c r="L75" s="134" t="str">
        <f>IF(B75="","",SUMIFS('Stock Guide'!$R:$R,'Stock Guide'!$B:$B,B75))</f>
        <v/>
      </c>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tr">
        <f>IF(B76="","",(VLOOKUP(B76,'Stock Guide'!$B:$D,3,0)))</f>
        <v/>
      </c>
      <c r="D76" s="133" t="str">
        <f>IF(B76="","",SUMIFS('Stock Guide'!$J:$J,'Stock Guide'!$B:$B,B76))</f>
        <v/>
      </c>
      <c r="E76" s="134" t="str">
        <f>IF(B76="","",SUMIFS('Stock Guide'!$H:$H,'Stock Guide'!$B:$B,B76))</f>
        <v/>
      </c>
      <c r="F76" s="135" t="str">
        <f>IF(B76="","",SUMIFS('Stock Guide'!I:I,'Stock Guide'!$B:$B,B76))</f>
        <v/>
      </c>
      <c r="G76" s="136" t="str">
        <f>IF(B76="","",SUMIFS('Stock Guide'!$M:$M,'Stock Guide'!$B:$B,B76))</f>
        <v/>
      </c>
      <c r="H76" s="136" t="str">
        <f>IF(B76="","",SUMIFS('Stock Guide'!$N:$N,'Stock Guide'!$B:$B,B76))</f>
        <v/>
      </c>
      <c r="I76" s="137" t="str">
        <f>IF(B76="","",SUMIFS('Stock Guide'!$O:$O,'Stock Guide'!$B:$B,B76))</f>
        <v/>
      </c>
      <c r="J76" s="137" t="str">
        <f>IF(B76="","",SUMIFS('Stock Guide'!$P:$P,'Stock Guide'!$B:$B,B76))</f>
        <v/>
      </c>
      <c r="K76" s="134" t="str">
        <f>IF(B76="","",SUMIFS('Stock Guide'!$Q:$Q,'Stock Guide'!$B:$B,B76))</f>
        <v/>
      </c>
      <c r="L76" s="134" t="str">
        <f>IF(B76="","",SUMIFS('Stock Guide'!$R:$R,'Stock Guide'!$B:$B,B76))</f>
        <v/>
      </c>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tr">
        <f>IF(B77="","",(VLOOKUP(B77,'Stock Guide'!$B:$D,3,0)))</f>
        <v/>
      </c>
      <c r="D77" s="133" t="str">
        <f>IF(B77="","",SUMIFS('Stock Guide'!$J:$J,'Stock Guide'!$B:$B,B77))</f>
        <v/>
      </c>
      <c r="E77" s="134" t="str">
        <f>IF(B77="","",SUMIFS('Stock Guide'!$H:$H,'Stock Guide'!$B:$B,B77))</f>
        <v/>
      </c>
      <c r="F77" s="135" t="str">
        <f>IF(B77="","",SUMIFS('Stock Guide'!I:I,'Stock Guide'!$B:$B,B77))</f>
        <v/>
      </c>
      <c r="G77" s="136" t="str">
        <f>IF(B77="","",SUMIFS('Stock Guide'!$M:$M,'Stock Guide'!$B:$B,B77))</f>
        <v/>
      </c>
      <c r="H77" s="136" t="str">
        <f>IF(B77="","",SUMIFS('Stock Guide'!$N:$N,'Stock Guide'!$B:$B,B77))</f>
        <v/>
      </c>
      <c r="I77" s="137" t="str">
        <f>IF(B77="","",SUMIFS('Stock Guide'!$O:$O,'Stock Guide'!$B:$B,B77))</f>
        <v/>
      </c>
      <c r="J77" s="137" t="str">
        <f>IF(B77="","",SUMIFS('Stock Guide'!$P:$P,'Stock Guide'!$B:$B,B77))</f>
        <v/>
      </c>
      <c r="K77" s="134" t="str">
        <f>IF(B77="","",SUMIFS('Stock Guide'!$Q:$Q,'Stock Guide'!$B:$B,B77))</f>
        <v/>
      </c>
      <c r="L77" s="134" t="str">
        <f>IF(B77="","",SUMIFS('Stock Guide'!$R:$R,'Stock Guide'!$B:$B,B77))</f>
        <v/>
      </c>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tr">
        <f>IF(B78="","",(VLOOKUP(B78,'Stock Guide'!$B:$D,3,0)))</f>
        <v/>
      </c>
      <c r="D78" s="133" t="str">
        <f>IF(B78="","",SUMIFS('Stock Guide'!$J:$J,'Stock Guide'!$B:$B,B78))</f>
        <v/>
      </c>
      <c r="E78" s="134" t="str">
        <f>IF(B78="","",SUMIFS('Stock Guide'!$H:$H,'Stock Guide'!$B:$B,B78))</f>
        <v/>
      </c>
      <c r="F78" s="135" t="str">
        <f>IF(B78="","",SUMIFS('Stock Guide'!I:I,'Stock Guide'!$B:$B,B78))</f>
        <v/>
      </c>
      <c r="G78" s="136" t="str">
        <f>IF(B78="","",SUMIFS('Stock Guide'!$M:$M,'Stock Guide'!$B:$B,B78))</f>
        <v/>
      </c>
      <c r="H78" s="136" t="str">
        <f>IF(B78="","",SUMIFS('Stock Guide'!$N:$N,'Stock Guide'!$B:$B,B78))</f>
        <v/>
      </c>
      <c r="I78" s="137" t="str">
        <f>IF(B78="","",SUMIFS('Stock Guide'!$O:$O,'Stock Guide'!$B:$B,B78))</f>
        <v/>
      </c>
      <c r="J78" s="137" t="str">
        <f>IF(B78="","",SUMIFS('Stock Guide'!$P:$P,'Stock Guide'!$B:$B,B78))</f>
        <v/>
      </c>
      <c r="K78" s="134" t="str">
        <f>IF(B78="","",SUMIFS('Stock Guide'!$Q:$Q,'Stock Guide'!$B:$B,B78))</f>
        <v/>
      </c>
      <c r="L78" s="134" t="str">
        <f>IF(B78="","",SUMIFS('Stock Guide'!$R:$R,'Stock Guide'!$B:$B,B78))</f>
        <v/>
      </c>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tr">
        <f>IF(B79="","",(VLOOKUP(B79,'Stock Guide'!$B:$D,3,0)))</f>
        <v/>
      </c>
      <c r="D79" s="133" t="str">
        <f>IF(B79="","",SUMIFS('Stock Guide'!$J:$J,'Stock Guide'!$B:$B,B79))</f>
        <v/>
      </c>
      <c r="E79" s="134" t="str">
        <f>IF(B79="","",SUMIFS('Stock Guide'!$H:$H,'Stock Guide'!$B:$B,B79))</f>
        <v/>
      </c>
      <c r="F79" s="135" t="str">
        <f>IF(B79="","",SUMIFS('Stock Guide'!I:I,'Stock Guide'!$B:$B,B79))</f>
        <v/>
      </c>
      <c r="G79" s="136" t="str">
        <f>IF(B79="","",SUMIFS('Stock Guide'!$M:$M,'Stock Guide'!$B:$B,B79))</f>
        <v/>
      </c>
      <c r="H79" s="136" t="str">
        <f>IF(B79="","",SUMIFS('Stock Guide'!$N:$N,'Stock Guide'!$B:$B,B79))</f>
        <v/>
      </c>
      <c r="I79" s="137" t="str">
        <f>IF(B79="","",SUMIFS('Stock Guide'!$O:$O,'Stock Guide'!$B:$B,B79))</f>
        <v/>
      </c>
      <c r="J79" s="137" t="str">
        <f>IF(B79="","",SUMIFS('Stock Guide'!$P:$P,'Stock Guide'!$B:$B,B79))</f>
        <v/>
      </c>
      <c r="K79" s="134" t="str">
        <f>IF(B79="","",SUMIFS('Stock Guide'!$Q:$Q,'Stock Guide'!$B:$B,B79))</f>
        <v/>
      </c>
      <c r="L79" s="134" t="str">
        <f>IF(B79="","",SUMIFS('Stock Guide'!$R:$R,'Stock Guide'!$B:$B,B79))</f>
        <v/>
      </c>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tr">
        <f>IF(B80="","",(VLOOKUP(B80,'Stock Guide'!$B:$D,3,0)))</f>
        <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t="str">
        <f>IF(B81="","",(VLOOKUP(B81,'Stock Guide'!$B:$D,3,0)))</f>
        <v/>
      </c>
      <c r="D81" s="133"/>
      <c r="E81" s="134" t="s">
        <v>111</v>
      </c>
      <c r="F81" s="135" t="s">
        <v>111</v>
      </c>
      <c r="G81" s="136" t="s">
        <v>111</v>
      </c>
      <c r="H81" s="136" t="str">
        <f>IF(B81="","",SUMIFS('Stock Guide'!$N:$N,'Stock Guide'!$B:$B,B81))</f>
        <v/>
      </c>
      <c r="I81" s="137" t="s">
        <v>111</v>
      </c>
      <c r="J81" s="137" t="s">
        <v>111</v>
      </c>
      <c r="K81" s="134" t="s">
        <v>111</v>
      </c>
      <c r="L81" s="134"/>
      <c r="M81" s="133"/>
      <c r="N81" s="138" t="s">
        <v>111</v>
      </c>
      <c r="O81" s="138" t="s">
        <v>111</v>
      </c>
      <c r="P81" s="138" t="s">
        <v>111</v>
      </c>
    </row>
    <row r="82" spans="2:16" ht="16.5" customHeight="1" x14ac:dyDescent="0.2">
      <c r="B82" s="131"/>
      <c r="C82" s="132" t="str">
        <f>IF(B82="","",(VLOOKUP(B82,'Stock Guide'!$B:$D,3,0)))</f>
        <v/>
      </c>
      <c r="D82" s="133"/>
      <c r="E82" s="134" t="s">
        <v>111</v>
      </c>
      <c r="F82" s="135" t="s">
        <v>111</v>
      </c>
      <c r="G82" s="136" t="s">
        <v>111</v>
      </c>
      <c r="H82" s="136" t="str">
        <f>IF(B82="","",SUMIFS('Stock Guide'!$N:$N,'Stock Guide'!$B:$B,B82))</f>
        <v/>
      </c>
      <c r="I82" s="137" t="s">
        <v>111</v>
      </c>
      <c r="J82" s="137" t="s">
        <v>111</v>
      </c>
      <c r="K82" s="134" t="s">
        <v>111</v>
      </c>
      <c r="L82" s="134"/>
      <c r="M82" s="133"/>
      <c r="N82" s="138" t="s">
        <v>111</v>
      </c>
      <c r="O82" s="138" t="s">
        <v>111</v>
      </c>
      <c r="P82" s="138" t="s">
        <v>111</v>
      </c>
    </row>
    <row r="83" spans="2:16" ht="16.5" hidden="1" customHeight="1" x14ac:dyDescent="0.2">
      <c r="B83" s="82"/>
      <c r="C83" s="132" t="str">
        <f>IF(B83="","",(VLOOKUP(B83,'Stock Guide'!$B:$D,3,0)))</f>
        <v/>
      </c>
      <c r="E83" s="140" t="s">
        <v>111</v>
      </c>
      <c r="F83" s="135" t="s">
        <v>111</v>
      </c>
      <c r="G83" s="136" t="s">
        <v>111</v>
      </c>
      <c r="I83" s="141" t="s">
        <v>111</v>
      </c>
      <c r="J83" s="141" t="s">
        <v>111</v>
      </c>
      <c r="K83" s="140" t="s">
        <v>111</v>
      </c>
      <c r="L83" s="140"/>
      <c r="M83" s="140"/>
      <c r="N83" s="138" t="s">
        <v>111</v>
      </c>
      <c r="O83" s="140" t="s">
        <v>111</v>
      </c>
      <c r="P83" s="140" t="s">
        <v>111</v>
      </c>
    </row>
    <row r="84" spans="2:16" ht="16.5" hidden="1" customHeight="1" x14ac:dyDescent="0.2">
      <c r="B84" s="82"/>
      <c r="C84" s="132" t="str">
        <f>IF(B84="","",(VLOOKUP(B84,'Stock Guide'!$B:$D,3,0)))</f>
        <v/>
      </c>
      <c r="E84" s="140" t="s">
        <v>111</v>
      </c>
      <c r="F84" s="135" t="s">
        <v>111</v>
      </c>
      <c r="G84" s="136" t="s">
        <v>111</v>
      </c>
      <c r="I84" s="141" t="s">
        <v>111</v>
      </c>
      <c r="J84" s="141" t="s">
        <v>111</v>
      </c>
      <c r="K84" s="140" t="s">
        <v>111</v>
      </c>
      <c r="L84" s="140"/>
      <c r="M84" s="140"/>
      <c r="N84" s="138" t="s">
        <v>111</v>
      </c>
      <c r="O84" s="140" t="s">
        <v>111</v>
      </c>
      <c r="P84" s="140" t="s">
        <v>111</v>
      </c>
    </row>
    <row r="85" spans="2:16" ht="16.5" hidden="1" customHeight="1" x14ac:dyDescent="0.2">
      <c r="B85" s="82"/>
      <c r="C85" s="132" t="str">
        <f>IF(B85="","",(VLOOKUP(B85,'Stock Guide'!$B:$D,3,0)))</f>
        <v/>
      </c>
      <c r="E85" s="140" t="s">
        <v>111</v>
      </c>
      <c r="F85" s="135" t="s">
        <v>111</v>
      </c>
      <c r="G85" s="136" t="s">
        <v>111</v>
      </c>
      <c r="I85" s="141" t="s">
        <v>111</v>
      </c>
      <c r="J85" s="141" t="s">
        <v>111</v>
      </c>
      <c r="K85" s="140" t="s">
        <v>111</v>
      </c>
      <c r="L85" s="140"/>
      <c r="M85" s="140"/>
      <c r="N85" s="138" t="s">
        <v>111</v>
      </c>
      <c r="O85" s="140" t="s">
        <v>111</v>
      </c>
      <c r="P85" s="140" t="s">
        <v>111</v>
      </c>
    </row>
    <row r="86" spans="2:16" ht="16.5" hidden="1" customHeight="1" x14ac:dyDescent="0.2">
      <c r="C86" s="132" t="str">
        <f>IF(B86="","",(VLOOKUP(B86,'Stock Guide'!$B:$D,3,0)))</f>
        <v/>
      </c>
      <c r="E86" s="140" t="s">
        <v>111</v>
      </c>
      <c r="F86" s="135" t="s">
        <v>111</v>
      </c>
      <c r="G86" s="136" t="s">
        <v>111</v>
      </c>
      <c r="I86" s="141" t="s">
        <v>111</v>
      </c>
      <c r="J86" s="141" t="s">
        <v>111</v>
      </c>
      <c r="K86" s="140" t="s">
        <v>111</v>
      </c>
      <c r="L86" s="140"/>
      <c r="M86" s="140"/>
      <c r="N86" s="138" t="s">
        <v>111</v>
      </c>
      <c r="O86" s="140" t="s">
        <v>111</v>
      </c>
      <c r="P86" s="140" t="s">
        <v>111</v>
      </c>
    </row>
    <row r="87" spans="2:16" ht="16.5" hidden="1" customHeight="1" x14ac:dyDescent="0.2">
      <c r="C87" s="132" t="str">
        <f>IF(B87="","",(VLOOKUP(B87,'Stock Guide'!$B:$D,3,0)))</f>
        <v/>
      </c>
      <c r="E87" s="140" t="s">
        <v>111</v>
      </c>
      <c r="F87" s="135" t="s">
        <v>111</v>
      </c>
      <c r="G87" s="136" t="s">
        <v>111</v>
      </c>
      <c r="I87" s="141" t="s">
        <v>111</v>
      </c>
      <c r="J87" s="141" t="s">
        <v>111</v>
      </c>
      <c r="K87" s="140" t="s">
        <v>111</v>
      </c>
      <c r="L87" s="140"/>
      <c r="M87" s="140"/>
      <c r="N87" s="138" t="s">
        <v>111</v>
      </c>
      <c r="O87" s="140" t="s">
        <v>111</v>
      </c>
      <c r="P87" s="140" t="s">
        <v>111</v>
      </c>
    </row>
    <row r="88" spans="2:16" ht="16.5" hidden="1" customHeight="1" x14ac:dyDescent="0.2">
      <c r="C88" s="132" t="str">
        <f>IF(B88="","",(VLOOKUP(B88,'Stock Guide'!$B:$D,3,0)))</f>
        <v/>
      </c>
      <c r="E88" s="140" t="s">
        <v>111</v>
      </c>
      <c r="F88" s="135" t="s">
        <v>111</v>
      </c>
      <c r="G88" s="136" t="s">
        <v>111</v>
      </c>
      <c r="I88" s="141" t="s">
        <v>111</v>
      </c>
      <c r="J88" s="141" t="s">
        <v>111</v>
      </c>
      <c r="K88" s="140" t="s">
        <v>111</v>
      </c>
      <c r="L88" s="140"/>
      <c r="M88" s="140"/>
      <c r="N88" s="138" t="s">
        <v>111</v>
      </c>
      <c r="O88" s="140" t="s">
        <v>111</v>
      </c>
      <c r="P88" s="140" t="s">
        <v>111</v>
      </c>
    </row>
    <row r="89" spans="2:16" ht="16.5" hidden="1" customHeight="1" x14ac:dyDescent="0.2">
      <c r="C89" s="132" t="str">
        <f>IF(B89="","",(VLOOKUP(B89,'Stock Guide'!$B:$D,3,0)))</f>
        <v/>
      </c>
      <c r="E89" s="140" t="s">
        <v>111</v>
      </c>
      <c r="F89" s="135" t="s">
        <v>111</v>
      </c>
      <c r="G89" s="136" t="s">
        <v>111</v>
      </c>
      <c r="I89" s="141" t="s">
        <v>111</v>
      </c>
      <c r="J89" s="141" t="s">
        <v>111</v>
      </c>
      <c r="K89" s="140" t="s">
        <v>111</v>
      </c>
      <c r="L89" s="140"/>
      <c r="M89" s="140"/>
      <c r="N89" s="138" t="s">
        <v>111</v>
      </c>
      <c r="O89" s="140" t="s">
        <v>111</v>
      </c>
      <c r="P89" s="140" t="s">
        <v>111</v>
      </c>
    </row>
    <row r="90" spans="2:16" ht="16.5" hidden="1" customHeight="1" x14ac:dyDescent="0.2"/>
    <row r="91" spans="2:16" ht="16.5" hidden="1" customHeight="1" x14ac:dyDescent="0.2"/>
    <row r="92" spans="2:16" ht="16.5" hidden="1" customHeight="1" x14ac:dyDescent="0.2"/>
    <row r="93" spans="2:16" ht="16.5" hidden="1" customHeight="1" x14ac:dyDescent="0.2"/>
    <row r="94" spans="2:16" ht="16.5" hidden="1" customHeight="1" x14ac:dyDescent="0.2"/>
    <row r="95" spans="2:16" ht="16.5" hidden="1" customHeight="1" x14ac:dyDescent="0.2"/>
    <row r="96" spans="2:16" ht="16.5" hidden="1" customHeight="1" x14ac:dyDescent="0.2"/>
    <row r="97" ht="16.5" hidden="1" customHeight="1" x14ac:dyDescent="0.2"/>
    <row r="98" ht="16.5" hidden="1" customHeight="1" x14ac:dyDescent="0.2"/>
    <row r="99" ht="16.5" hidden="1" customHeight="1" x14ac:dyDescent="0.2"/>
    <row r="100" ht="16.5" hidden="1" customHeight="1" x14ac:dyDescent="0.2"/>
    <row r="101" ht="16.5" hidden="1" customHeight="1" x14ac:dyDescent="0.2"/>
    <row r="102" ht="16.5" hidden="1" customHeight="1" x14ac:dyDescent="0.2"/>
    <row r="103" ht="16.5" hidden="1" customHeight="1" x14ac:dyDescent="0.2"/>
    <row r="104" ht="16.5" hidden="1" customHeight="1" x14ac:dyDescent="0.2"/>
    <row r="105" ht="16.5" hidden="1" customHeight="1" x14ac:dyDescent="0.2"/>
    <row r="106" ht="16.5" hidden="1" customHeight="1" x14ac:dyDescent="0.2"/>
    <row r="107" ht="16.5" hidden="1" customHeight="1" x14ac:dyDescent="0.2"/>
    <row r="108" ht="16.5" hidden="1" customHeight="1" x14ac:dyDescent="0.2"/>
    <row r="109" ht="16.5" hidden="1" customHeight="1" x14ac:dyDescent="0.2"/>
    <row r="110" ht="16.5" hidden="1" customHeight="1" x14ac:dyDescent="0.2"/>
    <row r="111" ht="16.5" hidden="1" customHeight="1" x14ac:dyDescent="0.2"/>
    <row r="112" ht="16.5" hidden="1" customHeight="1" x14ac:dyDescent="0.2"/>
    <row r="113" ht="16.5" hidden="1" customHeight="1" x14ac:dyDescent="0.2"/>
    <row r="114" ht="16.5" hidden="1" customHeight="1" x14ac:dyDescent="0.2"/>
    <row r="115" ht="16.5" hidden="1" customHeight="1" x14ac:dyDescent="0.2"/>
    <row r="116" ht="16.5" hidden="1" customHeight="1" x14ac:dyDescent="0.2"/>
    <row r="117" ht="16.5" hidden="1" customHeight="1" x14ac:dyDescent="0.2"/>
    <row r="118" ht="16.5" hidden="1" customHeight="1" x14ac:dyDescent="0.2"/>
    <row r="119" ht="16.5" hidden="1" customHeight="1" x14ac:dyDescent="0.2"/>
    <row r="120" ht="16.5" hidden="1" customHeight="1" x14ac:dyDescent="0.2"/>
    <row r="121" ht="16.5" hidden="1" customHeight="1" x14ac:dyDescent="0.2"/>
    <row r="122" ht="16.5" hidden="1" customHeight="1" x14ac:dyDescent="0.2"/>
    <row r="123" ht="16.5" hidden="1" customHeight="1" x14ac:dyDescent="0.2"/>
    <row r="124" ht="16.5" hidden="1" customHeight="1" x14ac:dyDescent="0.2"/>
    <row r="125" ht="16.5" hidden="1" customHeight="1" x14ac:dyDescent="0.2"/>
    <row r="126" ht="16.5" hidden="1" customHeight="1" x14ac:dyDescent="0.2"/>
    <row r="127" ht="16.5" hidden="1" customHeight="1" x14ac:dyDescent="0.2"/>
    <row r="128" ht="16.5" hidden="1" customHeight="1" x14ac:dyDescent="0.2"/>
    <row r="129" ht="16.5" hidden="1" customHeight="1" x14ac:dyDescent="0.2"/>
    <row r="130" ht="16.5" hidden="1" customHeight="1" x14ac:dyDescent="0.2"/>
    <row r="131" ht="16.5" hidden="1" customHeight="1" x14ac:dyDescent="0.2"/>
    <row r="132" ht="16.5" hidden="1" customHeight="1" x14ac:dyDescent="0.2"/>
    <row r="133" ht="16.5" hidden="1" customHeight="1" x14ac:dyDescent="0.2"/>
    <row r="134" ht="16.5" hidden="1" customHeight="1" x14ac:dyDescent="0.2"/>
    <row r="135" ht="16.5" hidden="1" customHeight="1" x14ac:dyDescent="0.2"/>
    <row r="136" ht="16.5" hidden="1" customHeight="1" x14ac:dyDescent="0.2"/>
    <row r="137" ht="16.5" hidden="1" customHeight="1" x14ac:dyDescent="0.2"/>
    <row r="138" ht="16.5" hidden="1" customHeight="1" x14ac:dyDescent="0.2"/>
    <row r="139" ht="16.5" hidden="1" customHeight="1" x14ac:dyDescent="0.2"/>
    <row r="140" ht="16.5" hidden="1" customHeight="1" x14ac:dyDescent="0.2"/>
    <row r="141" ht="16.5" hidden="1" customHeight="1" x14ac:dyDescent="0.2"/>
    <row r="142" ht="16.5" hidden="1" customHeight="1" x14ac:dyDescent="0.2"/>
    <row r="143" ht="16.5" hidden="1" customHeight="1" x14ac:dyDescent="0.2"/>
    <row r="144" ht="16.5" hidden="1" customHeight="1" x14ac:dyDescent="0.2"/>
    <row r="145" ht="16.5" hidden="1" customHeight="1" x14ac:dyDescent="0.2"/>
    <row r="146" ht="16.5" hidden="1" customHeight="1" x14ac:dyDescent="0.2"/>
    <row r="147" ht="16.5" hidden="1" customHeight="1" x14ac:dyDescent="0.2"/>
    <row r="148" ht="16.5" hidden="1" customHeight="1" x14ac:dyDescent="0.2"/>
    <row r="149" ht="16.5" hidden="1" customHeight="1" x14ac:dyDescent="0.2"/>
    <row r="150" ht="16.5" hidden="1" customHeight="1" x14ac:dyDescent="0.2"/>
    <row r="151" ht="16.5" hidden="1" customHeight="1" x14ac:dyDescent="0.2"/>
    <row r="152" ht="16.5" hidden="1" customHeight="1" x14ac:dyDescent="0.2"/>
    <row r="153" ht="16.5" hidden="1" customHeight="1" x14ac:dyDescent="0.2"/>
    <row r="154" ht="16.5" hidden="1" customHeight="1" x14ac:dyDescent="0.2"/>
    <row r="155" ht="16.5" hidden="1" customHeight="1" x14ac:dyDescent="0.2"/>
    <row r="156" ht="16.5" hidden="1" customHeight="1" x14ac:dyDescent="0.2"/>
    <row r="157" ht="16.5" hidden="1" customHeight="1" x14ac:dyDescent="0.2"/>
    <row r="158" ht="16.5" hidden="1" customHeight="1" x14ac:dyDescent="0.2"/>
    <row r="159" ht="16.5" hidden="1" customHeight="1" x14ac:dyDescent="0.2"/>
    <row r="160" ht="16.5" hidden="1" customHeight="1" x14ac:dyDescent="0.2"/>
    <row r="161" ht="16.5" hidden="1" customHeight="1" x14ac:dyDescent="0.2"/>
    <row r="162" ht="16.5" hidden="1" customHeight="1" x14ac:dyDescent="0.2"/>
    <row r="163" ht="16.5" hidden="1" customHeight="1" x14ac:dyDescent="0.2"/>
    <row r="164" ht="16.5" hidden="1" customHeight="1" x14ac:dyDescent="0.2"/>
    <row r="165" ht="16.5" hidden="1" customHeight="1" x14ac:dyDescent="0.2"/>
    <row r="166" ht="16.5" hidden="1" customHeight="1" x14ac:dyDescent="0.2"/>
    <row r="167" ht="16.5" hidden="1" customHeight="1" x14ac:dyDescent="0.2"/>
    <row r="168" ht="16.5" hidden="1" customHeight="1" x14ac:dyDescent="0.2"/>
    <row r="169" ht="16.5" hidden="1" customHeight="1" x14ac:dyDescent="0.2"/>
    <row r="170" ht="16.5" hidden="1" customHeight="1" x14ac:dyDescent="0.2"/>
    <row r="171" ht="16.5" hidden="1" customHeight="1" x14ac:dyDescent="0.2"/>
    <row r="172" ht="16.5" hidden="1" customHeight="1" x14ac:dyDescent="0.2"/>
    <row r="173" ht="16.5" hidden="1" customHeight="1" x14ac:dyDescent="0.2"/>
    <row r="174" ht="16.5" hidden="1" customHeight="1" x14ac:dyDescent="0.2"/>
    <row r="175" ht="16.5" hidden="1" customHeight="1" x14ac:dyDescent="0.2"/>
    <row r="176" ht="16.5" hidden="1" customHeight="1" x14ac:dyDescent="0.2"/>
    <row r="177" ht="16.5" hidden="1" customHeight="1" x14ac:dyDescent="0.2"/>
    <row r="178" ht="16.5" hidden="1" customHeight="1" x14ac:dyDescent="0.2"/>
    <row r="179" ht="16.5" hidden="1" customHeight="1" x14ac:dyDescent="0.2"/>
    <row r="180" ht="16.5" hidden="1" customHeight="1" x14ac:dyDescent="0.2"/>
    <row r="181" ht="16.5" hidden="1" customHeight="1" x14ac:dyDescent="0.2"/>
    <row r="182" ht="16.5" hidden="1" customHeight="1" x14ac:dyDescent="0.2"/>
    <row r="183" ht="16.5" hidden="1" customHeight="1" x14ac:dyDescent="0.2"/>
    <row r="184" ht="16.5" hidden="1" customHeight="1" x14ac:dyDescent="0.2"/>
    <row r="185" ht="16.5" hidden="1" customHeight="1" x14ac:dyDescent="0.2"/>
    <row r="186" ht="16.5" hidden="1" customHeight="1" x14ac:dyDescent="0.2"/>
    <row r="187" ht="16.5" hidden="1" customHeight="1" x14ac:dyDescent="0.2"/>
    <row r="188" ht="16.5" hidden="1" customHeight="1" x14ac:dyDescent="0.2"/>
    <row r="189" ht="16.5" hidden="1" customHeight="1" x14ac:dyDescent="0.2"/>
    <row r="190" ht="16.5" hidden="1" customHeight="1" x14ac:dyDescent="0.2"/>
    <row r="191" ht="16.5" hidden="1" customHeight="1" x14ac:dyDescent="0.2"/>
    <row r="192" ht="16.5" hidden="1" customHeight="1" x14ac:dyDescent="0.2"/>
    <row r="193" ht="16.5" hidden="1" customHeight="1" x14ac:dyDescent="0.2"/>
    <row r="194" ht="16.5" hidden="1" customHeight="1" x14ac:dyDescent="0.2"/>
    <row r="195" ht="16.5" hidden="1" customHeight="1" x14ac:dyDescent="0.2"/>
    <row r="196" ht="16.5" hidden="1" customHeight="1" x14ac:dyDescent="0.2"/>
    <row r="197" ht="16.5" hidden="1" customHeight="1" x14ac:dyDescent="0.2"/>
    <row r="198" ht="16.5" hidden="1" customHeight="1" x14ac:dyDescent="0.2"/>
    <row r="199" ht="16.5" hidden="1" customHeight="1" x14ac:dyDescent="0.2"/>
    <row r="200" ht="16.5" hidden="1" customHeight="1" x14ac:dyDescent="0.2"/>
    <row r="201" ht="16.5" hidden="1" customHeight="1" x14ac:dyDescent="0.2"/>
    <row r="202" ht="16.5" hidden="1" customHeight="1" x14ac:dyDescent="0.2"/>
    <row r="203" ht="16.5" hidden="1" customHeight="1" x14ac:dyDescent="0.2"/>
    <row r="204" ht="16.5" hidden="1" customHeight="1" x14ac:dyDescent="0.2"/>
    <row r="205" ht="16.5" hidden="1" customHeight="1" x14ac:dyDescent="0.2"/>
    <row r="206" ht="16.5" hidden="1" customHeight="1" x14ac:dyDescent="0.2"/>
    <row r="207" ht="16.5" hidden="1" customHeight="1" x14ac:dyDescent="0.2"/>
    <row r="208" ht="16.5" hidden="1" customHeight="1" x14ac:dyDescent="0.2"/>
    <row r="209" ht="16.5" hidden="1" customHeight="1" x14ac:dyDescent="0.2"/>
  </sheetData>
  <autoFilter ref="B9:P9" xr:uid="{AF9BA3E0-A044-4F85-8270-42DF85DC2527}"/>
  <mergeCells count="4">
    <mergeCell ref="B6:C6"/>
    <mergeCell ref="B8:C8"/>
    <mergeCell ref="B4:C4"/>
    <mergeCell ref="B7:C7"/>
  </mergeCells>
  <conditionalFormatting sqref="O89:P89">
    <cfRule type="cellIs" dxfId="201" priority="89" operator="lessThan">
      <formula>0</formula>
    </cfRule>
    <cfRule type="cellIs" dxfId="200" priority="90" operator="greaterThan">
      <formula>0</formula>
    </cfRule>
  </conditionalFormatting>
  <conditionalFormatting sqref="O89:P89">
    <cfRule type="notContainsBlanks" priority="88">
      <formula>LEN(TRIM(O89))&gt;0</formula>
    </cfRule>
  </conditionalFormatting>
  <conditionalFormatting sqref="I84">
    <cfRule type="notContainsBlanks" dxfId="199" priority="132">
      <formula>LEN(TRIM(I84))&gt;0</formula>
    </cfRule>
  </conditionalFormatting>
  <conditionalFormatting sqref="K84">
    <cfRule type="notContainsBlanks" dxfId="198" priority="129">
      <formula>LEN(TRIM(K84))&gt;0</formula>
    </cfRule>
  </conditionalFormatting>
  <conditionalFormatting sqref="J86">
    <cfRule type="notContainsBlanks" dxfId="197" priority="123">
      <formula>LEN(TRIM(J86))&gt;0</formula>
    </cfRule>
  </conditionalFormatting>
  <conditionalFormatting sqref="E88">
    <cfRule type="notContainsBlanks" dxfId="196" priority="117">
      <formula>LEN(TRIM(E88))&gt;0</formula>
    </cfRule>
  </conditionalFormatting>
  <conditionalFormatting sqref="O84:P84">
    <cfRule type="cellIs" dxfId="195" priority="133" operator="lessThan">
      <formula>0</formula>
    </cfRule>
    <cfRule type="cellIs" dxfId="194" priority="134" operator="greaterThan">
      <formula>0</formula>
    </cfRule>
  </conditionalFormatting>
  <conditionalFormatting sqref="O84:P84">
    <cfRule type="notContainsBlanks" dxfId="193" priority="135">
      <formula>LEN(TRIM(O84))&gt;0</formula>
    </cfRule>
  </conditionalFormatting>
  <conditionalFormatting sqref="E84">
    <cfRule type="notContainsBlanks" dxfId="192" priority="131">
      <formula>LEN(TRIM(E84))&gt;0</formula>
    </cfRule>
  </conditionalFormatting>
  <conditionalFormatting sqref="J84">
    <cfRule type="notContainsBlanks" dxfId="191" priority="130">
      <formula>LEN(TRIM(J84))&gt;0</formula>
    </cfRule>
  </conditionalFormatting>
  <conditionalFormatting sqref="O86:P86">
    <cfRule type="cellIs" dxfId="190" priority="126" operator="lessThan">
      <formula>0</formula>
    </cfRule>
    <cfRule type="cellIs" dxfId="189" priority="127" operator="greaterThan">
      <formula>0</formula>
    </cfRule>
  </conditionalFormatting>
  <conditionalFormatting sqref="O86:P86">
    <cfRule type="notContainsBlanks" dxfId="188" priority="128">
      <formula>LEN(TRIM(O86))&gt;0</formula>
    </cfRule>
  </conditionalFormatting>
  <conditionalFormatting sqref="I86">
    <cfRule type="notContainsBlanks" dxfId="187" priority="125">
      <formula>LEN(TRIM(I86))&gt;0</formula>
    </cfRule>
  </conditionalFormatting>
  <conditionalFormatting sqref="E86">
    <cfRule type="notContainsBlanks" dxfId="186" priority="124">
      <formula>LEN(TRIM(E86))&gt;0</formula>
    </cfRule>
  </conditionalFormatting>
  <conditionalFormatting sqref="K86">
    <cfRule type="notContainsBlanks" dxfId="185" priority="122">
      <formula>LEN(TRIM(K86))&gt;0</formula>
    </cfRule>
  </conditionalFormatting>
  <conditionalFormatting sqref="O88:P88">
    <cfRule type="cellIs" dxfId="184" priority="119" operator="lessThan">
      <formula>0</formula>
    </cfRule>
    <cfRule type="cellIs" dxfId="183" priority="120" operator="greaterThan">
      <formula>0</formula>
    </cfRule>
  </conditionalFormatting>
  <conditionalFormatting sqref="O88:P88">
    <cfRule type="notContainsBlanks" dxfId="182" priority="121">
      <formula>LEN(TRIM(O88))&gt;0</formula>
    </cfRule>
  </conditionalFormatting>
  <conditionalFormatting sqref="I88">
    <cfRule type="notContainsBlanks" dxfId="181" priority="118">
      <formula>LEN(TRIM(I88))&gt;0</formula>
    </cfRule>
  </conditionalFormatting>
  <conditionalFormatting sqref="J88">
    <cfRule type="notContainsBlanks" dxfId="180" priority="116">
      <formula>LEN(TRIM(J88))&gt;0</formula>
    </cfRule>
  </conditionalFormatting>
  <conditionalFormatting sqref="K88">
    <cfRule type="notContainsBlanks" dxfId="179" priority="115">
      <formula>LEN(TRIM(K88))&gt;0</formula>
    </cfRule>
  </conditionalFormatting>
  <conditionalFormatting sqref="O83:P83">
    <cfRule type="cellIs" dxfId="178" priority="98" operator="lessThan">
      <formula>0</formula>
    </cfRule>
    <cfRule type="cellIs" dxfId="177" priority="99" operator="greaterThan">
      <formula>0</formula>
    </cfRule>
  </conditionalFormatting>
  <conditionalFormatting sqref="O83:P83">
    <cfRule type="notContainsBlanks" priority="97">
      <formula>LEN(TRIM(O83))&gt;0</formula>
    </cfRule>
  </conditionalFormatting>
  <conditionalFormatting sqref="O85:P85">
    <cfRule type="cellIs" dxfId="176" priority="95" operator="lessThan">
      <formula>0</formula>
    </cfRule>
    <cfRule type="cellIs" dxfId="175" priority="96" operator="greaterThan">
      <formula>0</formula>
    </cfRule>
  </conditionalFormatting>
  <conditionalFormatting sqref="O85:P85">
    <cfRule type="notContainsBlanks" priority="94">
      <formula>LEN(TRIM(O85))&gt;0</formula>
    </cfRule>
  </conditionalFormatting>
  <conditionalFormatting sqref="O87:P87">
    <cfRule type="cellIs" dxfId="174" priority="92" operator="lessThan">
      <formula>0</formula>
    </cfRule>
    <cfRule type="cellIs" dxfId="173" priority="93" operator="greaterThan">
      <formula>0</formula>
    </cfRule>
  </conditionalFormatting>
  <conditionalFormatting sqref="O87:P87">
    <cfRule type="notContainsBlanks" priority="91">
      <formula>LEN(TRIM(O87))&gt;0</formula>
    </cfRule>
  </conditionalFormatting>
  <conditionalFormatting sqref="L84:M84">
    <cfRule type="notContainsBlanks" dxfId="172" priority="77">
      <formula>LEN(TRIM(L84))&gt;0</formula>
    </cfRule>
  </conditionalFormatting>
  <conditionalFormatting sqref="L86:M86">
    <cfRule type="notContainsBlanks" dxfId="171" priority="76">
      <formula>LEN(TRIM(L86))&gt;0</formula>
    </cfRule>
  </conditionalFormatting>
  <conditionalFormatting sqref="L88:M88">
    <cfRule type="notContainsBlanks" dxfId="170" priority="75">
      <formula>LEN(TRIM(L88))&gt;0</formula>
    </cfRule>
  </conditionalFormatting>
  <conditionalFormatting sqref="N10:O69">
    <cfRule type="cellIs" dxfId="169" priority="53" operator="lessThan">
      <formula>0</formula>
    </cfRule>
    <cfRule type="cellIs" dxfId="168" priority="54" operator="greaterThan">
      <formula>0</formula>
    </cfRule>
  </conditionalFormatting>
  <conditionalFormatting sqref="Q49:Q69">
    <cfRule type="cellIs" dxfId="167" priority="43" operator="lessThan">
      <formula>0</formula>
    </cfRule>
    <cfRule type="cellIs" dxfId="166" priority="44" operator="greaterThan">
      <formula>0</formula>
    </cfRule>
  </conditionalFormatting>
  <conditionalFormatting sqref="N83:N1048576">
    <cfRule type="cellIs" dxfId="165" priority="41" operator="lessThan">
      <formula>0</formula>
    </cfRule>
    <cfRule type="cellIs" dxfId="164" priority="42" operator="greaterThan">
      <formula>0</formula>
    </cfRule>
  </conditionalFormatting>
  <conditionalFormatting sqref="N8:P8">
    <cfRule type="cellIs" dxfId="163" priority="9" operator="lessThan">
      <formula>0</formula>
    </cfRule>
    <cfRule type="cellIs" dxfId="162" priority="10" operator="greaterThan">
      <formula>0</formula>
    </cfRule>
  </conditionalFormatting>
  <conditionalFormatting sqref="P10:P69">
    <cfRule type="cellIs" dxfId="161" priority="7" operator="lessThan">
      <formula>0</formula>
    </cfRule>
    <cfRule type="cellIs" dxfId="160" priority="8" operator="greaterThan">
      <formula>0</formula>
    </cfRule>
  </conditionalFormatting>
  <conditionalFormatting sqref="N70:O82">
    <cfRule type="cellIs" dxfId="159" priority="5" operator="lessThan">
      <formula>0</formula>
    </cfRule>
    <cfRule type="cellIs" dxfId="158" priority="6" operator="greaterThan">
      <formula>0</formula>
    </cfRule>
  </conditionalFormatting>
  <conditionalFormatting sqref="Q70:Q82">
    <cfRule type="cellIs" dxfId="157" priority="3" operator="lessThan">
      <formula>0</formula>
    </cfRule>
    <cfRule type="cellIs" dxfId="156" priority="4" operator="greaterThan">
      <formula>0</formula>
    </cfRule>
  </conditionalFormatting>
  <conditionalFormatting sqref="P70:P82">
    <cfRule type="cellIs" dxfId="155" priority="1" operator="lessThan">
      <formula>0</formula>
    </cfRule>
    <cfRule type="cellIs" dxfId="154" priority="2" operator="greaterThan">
      <formula>0</formula>
    </cfRule>
  </conditionalFormatting>
  <hyperlinks>
    <hyperlink ref="P2" location="'Stock Guide'!A1" display="Stock Guide" xr:uid="{FF9D3772-8556-4A4A-8B89-61A2FC7627A8}"/>
    <hyperlink ref="O2" location="Menu!A1" display="Menu" xr:uid="{414F6116-AF6E-412F-9983-B61AD739E644}"/>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68A84-8EBA-4806-B2E0-1900E4AF5693}">
  <sheetPr codeName="Sheet5">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35"/>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54"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Laje Corporativa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63</v>
      </c>
      <c r="C8" s="271"/>
      <c r="D8" s="170" t="s">
        <v>44</v>
      </c>
      <c r="E8" s="57">
        <f>SUMIFS('Stock Guide'!$H:$H,'Stock Guide'!$G:$G,B8)</f>
        <v>6.5319999999999989E-2</v>
      </c>
      <c r="F8" s="171">
        <f>AVERAGEIFS('Stock Guide'!I:I,'Stock Guide'!$G:$G,B8)</f>
        <v>1307854.3719937692</v>
      </c>
      <c r="G8" s="171">
        <f>AVERAGEIFS('Stock Guide'!$M:$M,'Stock Guide'!$G:$G,B8)</f>
        <v>477854106.31230766</v>
      </c>
      <c r="H8" s="171">
        <f>AVERAGEIFS('Stock Guide'!$N:$N,'Stock Guide'!$G:$G,B8)</f>
        <v>764936687.19730771</v>
      </c>
      <c r="I8" s="172">
        <f>AVERAGEIFS('Stock Guide'!$O:$O,'Stock Guide'!$G:$G,B8)</f>
        <v>0.63225560206228171</v>
      </c>
      <c r="J8" s="172">
        <f>AVERAGEIFS('Stock Guide'!$P:$P,'Stock Guide'!$G:$G,B8)</f>
        <v>0.67987344334461541</v>
      </c>
      <c r="K8" s="57">
        <f>AVERAGEIFS('Stock Guide'!$Q:$Q,'Stock Guide'!$G:$G,B8)</f>
        <v>0.11182231405433334</v>
      </c>
      <c r="L8" s="57">
        <f>AVERAGEIFS('Stock Guide'!$R:$R,'Stock Guide'!$G:$G,B8)</f>
        <v>0.13073000560884079</v>
      </c>
      <c r="M8" s="170" t="s">
        <v>44</v>
      </c>
      <c r="N8" s="57">
        <f>AVERAGEIFS('Stock Guide'!$U:$U,'Stock Guide'!$G:$G,$B8)</f>
        <v>-1.9245958884792306E-2</v>
      </c>
      <c r="O8" s="57">
        <f>AVERAGEIFS('Stock Guide'!$V:$V,'Stock Guide'!$G:$G,$B8)</f>
        <v>-8.2131217156923095E-3</v>
      </c>
      <c r="P8" s="57">
        <f>AVERAGEIFS('Stock Guide'!$W:$W,'Stock Guide'!$G:$G,$B8)</f>
        <v>0.12871187211499621</v>
      </c>
    </row>
    <row r="9" spans="1:16" s="5" customFormat="1" ht="16.5" customHeight="1" x14ac:dyDescent="0.2">
      <c r="A9" s="18"/>
      <c r="B9" s="118" t="s">
        <v>11</v>
      </c>
      <c r="C9" s="128" t="s">
        <v>63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341</v>
      </c>
      <c r="C10" s="132" t="str">
        <f>IF(B10="","",(VLOOKUP(B10,'Stock Guide'!$B:$D,3,0)))</f>
        <v>Autonomy Edifícios Corporativos FII</v>
      </c>
      <c r="D10" s="133">
        <f>IF(B10="","",SUMIFS('Stock Guide'!$J:$J,'Stock Guide'!$B:$B,B10))</f>
        <v>64.599999999999994</v>
      </c>
      <c r="E10" s="134">
        <f>IF(B10="","",SUMIFS('Stock Guide'!$H:$H,'Stock Guide'!$B:$B,B10))</f>
        <v>0</v>
      </c>
      <c r="F10" s="135">
        <f>IF(B10="","",SUMIFS('Stock Guide'!I:I,'Stock Guide'!$B:$B,B10))</f>
        <v>293365.46892000001</v>
      </c>
      <c r="G10" s="136">
        <f>IF(B10="","",SUMIFS('Stock Guide'!$M:$M,'Stock Guide'!$B:$B,B10))</f>
        <v>311694160.19999999</v>
      </c>
      <c r="H10" s="136">
        <f>IF(B10="","",SUMIFS('Stock Guide'!$N:$N,'Stock Guide'!$B:$B,B10))</f>
        <v>365706454.52999997</v>
      </c>
      <c r="I10" s="137">
        <f>IF(B10="","",SUMIFS('Stock Guide'!$O:$O,'Stock Guide'!$B:$B,B10))</f>
        <v>0.85230697008228717</v>
      </c>
      <c r="J10" s="137">
        <f>IF(B10="","",SUMIFS('Stock Guide'!$P:$P,'Stock Guide'!$B:$B,B10))</f>
        <v>0.68757596225999995</v>
      </c>
      <c r="K10" s="134">
        <f>IF(B10="","",SUMIFS('Stock Guide'!$Q:$Q,'Stock Guide'!$B:$B,B10))</f>
        <v>6.4396284829999997E-2</v>
      </c>
      <c r="L10" s="134">
        <f>IF(B10="","",SUMIFS('Stock Guide'!$R:$R,'Stock Guide'!$B:$B,B10))</f>
        <v>7.058823529411766E-2</v>
      </c>
      <c r="M10" s="133">
        <f>IF(B10="","",SUMIFS('Stock Guide'!$T:$T,'Stock Guide'!$B:$B,B10))</f>
        <v>0.38</v>
      </c>
      <c r="N10" s="138">
        <f>IFERROR(IF(B10="","",AVERAGEIFS('Stock Guide'!$U:$U,'Stock Guide'!$B:$B,B10)),"-")</f>
        <v>6.5654899372000003E-2</v>
      </c>
      <c r="O10" s="138">
        <f>IFERROR(IF(B10="","",AVERAGEIFS('Stock Guide'!$V:$V,'Stock Guide'!$B:$B,B10)),"-")</f>
        <v>0.27851466398000002</v>
      </c>
      <c r="P10" s="138">
        <f>IFERROR(IF(B10="","",AVERAGEIFS('Stock Guide'!$W:$W,'Stock Guide'!$B:$B,B10)),"-")</f>
        <v>0.50746661768000001</v>
      </c>
    </row>
    <row r="11" spans="1:16" ht="16.5" customHeight="1" x14ac:dyDescent="0.2">
      <c r="B11" s="131" t="s">
        <v>775</v>
      </c>
      <c r="C11" s="132" t="str">
        <f>IF(B11="","",(VLOOKUP(B11,'Stock Guide'!$B:$D,3,0)))</f>
        <v>Catuaí VBI Triple A FII</v>
      </c>
      <c r="D11" s="133">
        <f>IF(B11="","",SUMIFS('Stock Guide'!$J:$J,'Stock Guide'!$B:$B,B11))</f>
        <v>102.52</v>
      </c>
      <c r="E11" s="134">
        <f>IF(B11="","",SUMIFS('Stock Guide'!$H:$H,'Stock Guide'!$B:$B,B11))</f>
        <v>0</v>
      </c>
      <c r="F11" s="135">
        <f>IF(B11="","",SUMIFS('Stock Guide'!I:I,'Stock Guide'!$B:$B,B11))</f>
        <v>82219.908154000004</v>
      </c>
      <c r="G11" s="136">
        <f>IF(B11="","",SUMIFS('Stock Guide'!$M:$M,'Stock Guide'!$B:$B,B11))</f>
        <v>164032000</v>
      </c>
      <c r="H11" s="136">
        <f>IF(B11="","",SUMIFS('Stock Guide'!$N:$N,'Stock Guide'!$B:$B,B11))</f>
        <v>199025658.15000001</v>
      </c>
      <c r="I11" s="137">
        <f>IF(B11="","",SUMIFS('Stock Guide'!$O:$O,'Stock Guide'!$B:$B,B11))</f>
        <v>0.82417514166125116</v>
      </c>
      <c r="J11" s="137">
        <f>IF(B11="","",SUMIFS('Stock Guide'!$P:$P,'Stock Guide'!$B:$B,B11))</f>
        <v>0.73769598895999999</v>
      </c>
      <c r="K11" s="134">
        <f>IF(B11="","",SUMIFS('Stock Guide'!$Q:$Q,'Stock Guide'!$B:$B,B11))</f>
        <v>9.9492781895999999E-2</v>
      </c>
      <c r="L11" s="134">
        <f>IF(B11="","",SUMIFS('Stock Guide'!$R:$R,'Stock Guide'!$B:$B,B11))</f>
        <v>0.52672649239172853</v>
      </c>
      <c r="M11" s="133">
        <f>IF(B11="","",SUMIFS('Stock Guide'!$T:$T,'Stock Guide'!$B:$B,B11))</f>
        <v>4.5</v>
      </c>
      <c r="N11" s="138">
        <f>IFERROR(IF(B11="","",AVERAGEIFS('Stock Guide'!$U:$U,'Stock Guide'!$B:$B,B11)),"-")</f>
        <v>0.14381806</v>
      </c>
      <c r="O11" s="138">
        <f>IFERROR(IF(B11="","",AVERAGEIFS('Stock Guide'!$V:$V,'Stock Guide'!$B:$B,B11)),"-")</f>
        <v>0.17240820745999999</v>
      </c>
      <c r="P11" s="138">
        <f>IFERROR(IF(B11="","",AVERAGEIFS('Stock Guide'!$W:$W,'Stock Guide'!$B:$B,B11)),"-")</f>
        <v>0.21023194733</v>
      </c>
    </row>
    <row r="12" spans="1:16" ht="16.5" customHeight="1" x14ac:dyDescent="0.2">
      <c r="B12" s="131" t="s">
        <v>22</v>
      </c>
      <c r="C12" s="132" t="str">
        <f>IF(B12="","",(VLOOKUP(B12,'Stock Guide'!$B:$D,3,0)))</f>
        <v>BTG Pactual Corporate Offices FII</v>
      </c>
      <c r="D12" s="133">
        <f>IF(B12="","",SUMIFS('Stock Guide'!$J:$J,'Stock Guide'!$B:$B,B12))</f>
        <v>39.19</v>
      </c>
      <c r="E12" s="134">
        <f>IF(B12="","",SUMIFS('Stock Guide'!$H:$H,'Stock Guide'!$B:$B,B12))</f>
        <v>7.0600000000000003E-3</v>
      </c>
      <c r="F12" s="135">
        <f>IF(B12="","",SUMIFS('Stock Guide'!I:I,'Stock Guide'!$B:$B,B12))</f>
        <v>1254897.8038000001</v>
      </c>
      <c r="G12" s="136">
        <f>IF(B12="","",SUMIFS('Stock Guide'!$M:$M,'Stock Guide'!$B:$B,B12))</f>
        <v>1043951136.3</v>
      </c>
      <c r="H12" s="136">
        <f>IF(B12="","",SUMIFS('Stock Guide'!$N:$N,'Stock Guide'!$B:$B,B12))</f>
        <v>2157913144.8000002</v>
      </c>
      <c r="I12" s="137">
        <f>IF(B12="","",SUMIFS('Stock Guide'!$O:$O,'Stock Guide'!$B:$B,B12))</f>
        <v>0.48377810701772034</v>
      </c>
      <c r="J12" s="137">
        <f>IF(B12="","",SUMIFS('Stock Guide'!$P:$P,'Stock Guide'!$B:$B,B12))</f>
        <v>0.53699017782000003</v>
      </c>
      <c r="K12" s="134">
        <f>IF(B12="","",SUMIFS('Stock Guide'!$Q:$Q,'Stock Guide'!$B:$B,B12))</f>
        <v>0.12554223015999999</v>
      </c>
      <c r="L12" s="134">
        <f>IF(B12="","",SUMIFS('Stock Guide'!$R:$R,'Stock Guide'!$B:$B,B12))</f>
        <v>0.12554223016075527</v>
      </c>
      <c r="M12" s="133">
        <f>IF(B12="","",SUMIFS('Stock Guide'!$T:$T,'Stock Guide'!$B:$B,B12))</f>
        <v>0.41</v>
      </c>
      <c r="N12" s="138">
        <f>IFERROR(IF(B12="","",AVERAGEIFS('Stock Guide'!$U:$U,'Stock Guide'!$B:$B,B12)),"-")</f>
        <v>-1.8103262876999999E-2</v>
      </c>
      <c r="O12" s="138">
        <f>IFERROR(IF(B12="","",AVERAGEIFS('Stock Guide'!$V:$V,'Stock Guide'!$B:$B,B12)),"-")</f>
        <v>-8.2991444748000007E-2</v>
      </c>
      <c r="P12" s="138">
        <f>IFERROR(IF(B12="","",AVERAGEIFS('Stock Guide'!$W:$W,'Stock Guide'!$B:$B,B12)),"-")</f>
        <v>8.4784476302999998E-2</v>
      </c>
    </row>
    <row r="13" spans="1:16" ht="16.5" customHeight="1" x14ac:dyDescent="0.2">
      <c r="B13" s="131" t="s">
        <v>387</v>
      </c>
      <c r="C13" s="132" t="str">
        <f>IF(B13="","",(VLOOKUP(B13,'Stock Guide'!$B:$D,3,0)))</f>
        <v>BRPR Corporate Offices FII</v>
      </c>
      <c r="D13" s="133">
        <f>IF(B13="","",SUMIFS('Stock Guide'!$J:$J,'Stock Guide'!$B:$B,B13))</f>
        <v>58.3</v>
      </c>
      <c r="E13" s="134">
        <f>IF(B13="","",SUMIFS('Stock Guide'!$H:$H,'Stock Guide'!$B:$B,B13))</f>
        <v>4.5799999999999999E-3</v>
      </c>
      <c r="F13" s="135">
        <f>IF(B13="","",SUMIFS('Stock Guide'!I:I,'Stock Guide'!$B:$B,B13))</f>
        <v>760023.74523</v>
      </c>
      <c r="G13" s="136">
        <f>IF(B13="","",SUMIFS('Stock Guide'!$M:$M,'Stock Guide'!$B:$B,B13))</f>
        <v>676910339.60000002</v>
      </c>
      <c r="H13" s="136">
        <f>IF(B13="","",SUMIFS('Stock Guide'!$N:$N,'Stock Guide'!$B:$B,B13))</f>
        <v>1259237983.2</v>
      </c>
      <c r="I13" s="137">
        <f>IF(B13="","",SUMIFS('Stock Guide'!$O:$O,'Stock Guide'!$B:$B,B13))</f>
        <v>0.53755552852672239</v>
      </c>
      <c r="J13" s="137">
        <f>IF(B13="","",SUMIFS('Stock Guide'!$P:$P,'Stock Guide'!$B:$B,B13))</f>
        <v>0.51209534005000001</v>
      </c>
      <c r="K13" s="134">
        <f>IF(B13="","",SUMIFS('Stock Guide'!$Q:$Q,'Stock Guide'!$B:$B,B13))</f>
        <v>0.11132075471</v>
      </c>
      <c r="L13" s="134">
        <f>IF(B13="","",SUMIFS('Stock Guide'!$R:$R,'Stock Guide'!$B:$B,B13))</f>
        <v>0.11526586620926244</v>
      </c>
      <c r="M13" s="133">
        <f>IF(B13="","",SUMIFS('Stock Guide'!$T:$T,'Stock Guide'!$B:$B,B13))</f>
        <v>0.56000000000000005</v>
      </c>
      <c r="N13" s="138">
        <f>IFERROR(IF(B13="","",AVERAGEIFS('Stock Guide'!$U:$U,'Stock Guide'!$B:$B,B13)),"-")</f>
        <v>-1.9307354820999999E-2</v>
      </c>
      <c r="O13" s="138">
        <f>IFERROR(IF(B13="","",AVERAGEIFS('Stock Guide'!$V:$V,'Stock Guide'!$B:$B,B13)),"-")</f>
        <v>0.11714695093999999</v>
      </c>
      <c r="P13" s="138">
        <f>IFERROR(IF(B13="","",AVERAGEIFS('Stock Guide'!$W:$W,'Stock Guide'!$B:$B,B13)),"-")</f>
        <v>0.20502184567000001</v>
      </c>
    </row>
    <row r="14" spans="1:16" ht="16.5" customHeight="1" x14ac:dyDescent="0.2">
      <c r="B14" s="131" t="s">
        <v>405</v>
      </c>
      <c r="C14" s="132" t="str">
        <f>IF(B14="","",(VLOOKUP(B14,'Stock Guide'!$B:$D,3,0)))</f>
        <v>FII CENESP</v>
      </c>
      <c r="D14" s="133">
        <f>IF(B14="","",SUMIFS('Stock Guide'!$J:$J,'Stock Guide'!$B:$B,B14))</f>
        <v>1.38</v>
      </c>
      <c r="E14" s="134">
        <f>IF(B14="","",SUMIFS('Stock Guide'!$H:$H,'Stock Guide'!$B:$B,B14))</f>
        <v>0</v>
      </c>
      <c r="F14" s="135">
        <f>IF(B14="","",SUMIFS('Stock Guide'!I:I,'Stock Guide'!$B:$B,B14))</f>
        <v>33767.869077000003</v>
      </c>
      <c r="G14" s="136">
        <f>IF(B14="","",SUMIFS('Stock Guide'!$M:$M,'Stock Guide'!$B:$B,B14))</f>
        <v>47106058.5</v>
      </c>
      <c r="H14" s="136">
        <f>IF(B14="","",SUMIFS('Stock Guide'!$N:$N,'Stock Guide'!$B:$B,B14))</f>
        <v>218145756.41999999</v>
      </c>
      <c r="I14" s="137">
        <f>IF(B14="","",SUMIFS('Stock Guide'!$O:$O,'Stock Guide'!$B:$B,B14))</f>
        <v>0.21593845909753043</v>
      </c>
      <c r="J14" s="137">
        <f>IF(B14="","",SUMIFS('Stock Guide'!$P:$P,'Stock Guide'!$B:$B,B14))</f>
        <v>0.27288620185000001</v>
      </c>
      <c r="K14" s="134">
        <f>IF(B14="","",SUMIFS('Stock Guide'!$Q:$Q,'Stock Guide'!$B:$B,B14))</f>
        <v>6.6568612319000006E-2</v>
      </c>
      <c r="L14" s="134">
        <f>IF(B14="","",SUMIFS('Stock Guide'!$R:$R,'Stock Guide'!$B:$B,B14))</f>
        <v>0</v>
      </c>
      <c r="M14" s="133">
        <f>IF(B14="","",SUMIFS('Stock Guide'!$T:$T,'Stock Guide'!$B:$B,B14))</f>
        <v>0</v>
      </c>
      <c r="N14" s="138">
        <f>IFERROR(IF(B14="","",AVERAGEIFS('Stock Guide'!$U:$U,'Stock Guide'!$B:$B,B14)),"-")</f>
        <v>6.1538461538000001E-2</v>
      </c>
      <c r="O14" s="138">
        <f>IFERROR(IF(B14="","",AVERAGEIFS('Stock Guide'!$V:$V,'Stock Guide'!$B:$B,B14)),"-")</f>
        <v>-0.19493271291</v>
      </c>
      <c r="P14" s="138">
        <f>IFERROR(IF(B14="","",AVERAGEIFS('Stock Guide'!$W:$W,'Stock Guide'!$B:$B,B14)),"-")</f>
        <v>0.19170021140999999</v>
      </c>
    </row>
    <row r="15" spans="1:16" ht="16.5" customHeight="1" x14ac:dyDescent="0.2">
      <c r="B15" s="131" t="s">
        <v>777</v>
      </c>
      <c r="C15" s="132" t="str">
        <f>IF(B15="","",(VLOOKUP(B15,'Stock Guide'!$B:$D,3,0)))</f>
        <v>Capitânia Office FII</v>
      </c>
      <c r="D15" s="133">
        <f>IF(B15="","",SUMIFS('Stock Guide'!$J:$J,'Stock Guide'!$B:$B,B15))</f>
        <v>115</v>
      </c>
      <c r="E15" s="134">
        <f>IF(B15="","",SUMIFS('Stock Guide'!$H:$H,'Stock Guide'!$B:$B,B15))</f>
        <v>0</v>
      </c>
      <c r="F15" s="135">
        <f>IF(B15="","",SUMIFS('Stock Guide'!I:I,'Stock Guide'!$B:$B,B15))</f>
        <v>11259742.075999999</v>
      </c>
      <c r="G15" s="136">
        <f>IF(B15="","",SUMIFS('Stock Guide'!$M:$M,'Stock Guide'!$B:$B,B15))</f>
        <v>631267660</v>
      </c>
      <c r="H15" s="136">
        <f>IF(B15="","",SUMIFS('Stock Guide'!$N:$N,'Stock Guide'!$B:$B,B15))</f>
        <v>690645142.00999999</v>
      </c>
      <c r="I15" s="137">
        <f>IF(B15="","",SUMIFS('Stock Guide'!$O:$O,'Stock Guide'!$B:$B,B15))</f>
        <v>0.91402606288202881</v>
      </c>
      <c r="J15" s="137">
        <f>IF(B15="","",SUMIFS('Stock Guide'!$P:$P,'Stock Guide'!$B:$B,B15))</f>
        <v>1.0258315789000001</v>
      </c>
      <c r="K15" s="134">
        <f>IF(B15="","",SUMIFS('Stock Guide'!$Q:$Q,'Stock Guide'!$B:$B,B15))</f>
        <v>2.5565217391000001E-2</v>
      </c>
      <c r="L15" s="134">
        <f>IF(B15="","",SUMIFS('Stock Guide'!$R:$R,'Stock Guide'!$B:$B,B15))</f>
        <v>0</v>
      </c>
      <c r="M15" s="133">
        <f>IF(B15="","",SUMIFS('Stock Guide'!$T:$T,'Stock Guide'!$B:$B,B15))</f>
        <v>0</v>
      </c>
      <c r="N15" s="138">
        <f>IFERROR(IF(B15="","",AVERAGEIFS('Stock Guide'!$U:$U,'Stock Guide'!$B:$B,B15)),"-")</f>
        <v>0</v>
      </c>
      <c r="O15" s="138">
        <f>IFERROR(IF(B15="","",AVERAGEIFS('Stock Guide'!$V:$V,'Stock Guide'!$B:$B,B15)),"-")</f>
        <v>5.7915576661000001E-2</v>
      </c>
      <c r="P15" s="138">
        <f>IFERROR(IF(B15="","",AVERAGEIFS('Stock Guide'!$W:$W,'Stock Guide'!$B:$B,B15)),"-")</f>
        <v>9.3962080890999999E-2</v>
      </c>
    </row>
    <row r="16" spans="1:16" ht="16.5" customHeight="1" x14ac:dyDescent="0.2">
      <c r="B16" s="131" t="s">
        <v>421</v>
      </c>
      <c r="C16" s="132" t="str">
        <f>IF(B16="","",(VLOOKUP(B16,'Stock Guide'!$B:$D,3,0)))</f>
        <v>Caixa Imóveis Corporativos FII</v>
      </c>
      <c r="D16" s="133">
        <f>IF(B16="","",SUMIFS('Stock Guide'!$J:$J,'Stock Guide'!$B:$B,B16))</f>
        <v>69.88</v>
      </c>
      <c r="E16" s="134">
        <f>IF(B16="","",SUMIFS('Stock Guide'!$H:$H,'Stock Guide'!$B:$B,B16))</f>
        <v>0</v>
      </c>
      <c r="F16" s="135">
        <f>IF(B16="","",SUMIFS('Stock Guide'!I:I,'Stock Guide'!$B:$B,B16))</f>
        <v>192737.10691999999</v>
      </c>
      <c r="G16" s="136">
        <f>IF(B16="","",SUMIFS('Stock Guide'!$M:$M,'Stock Guide'!$B:$B,B16))</f>
        <v>274244060</v>
      </c>
      <c r="H16" s="136">
        <f>IF(B16="","",SUMIFS('Stock Guide'!$N:$N,'Stock Guide'!$B:$B,B16))</f>
        <v>381590023.51999998</v>
      </c>
      <c r="I16" s="137">
        <f>IF(B16="","",SUMIFS('Stock Guide'!$O:$O,'Stock Guide'!$B:$B,B16))</f>
        <v>0.71868770957432082</v>
      </c>
      <c r="J16" s="137">
        <f>IF(B16="","",SUMIFS('Stock Guide'!$P:$P,'Stock Guide'!$B:$B,B16))</f>
        <v>0.69635709227999998</v>
      </c>
      <c r="K16" s="134">
        <f>IF(B16="","",SUMIFS('Stock Guide'!$Q:$Q,'Stock Guide'!$B:$B,B16))</f>
        <v>0.12757584429999999</v>
      </c>
      <c r="L16" s="134">
        <f>IF(B16="","",SUMIFS('Stock Guide'!$R:$R,'Stock Guide'!$B:$B,B16))</f>
        <v>0.1287922152261019</v>
      </c>
      <c r="M16" s="133">
        <f>IF(B16="","",SUMIFS('Stock Guide'!$T:$T,'Stock Guide'!$B:$B,B16))</f>
        <v>0.75</v>
      </c>
      <c r="N16" s="138">
        <f>IFERROR(IF(B16="","",AVERAGEIFS('Stock Guide'!$U:$U,'Stock Guide'!$B:$B,B16)),"-")</f>
        <v>-1.8568775886E-3</v>
      </c>
      <c r="O16" s="138">
        <f>IFERROR(IF(B16="","",AVERAGEIFS('Stock Guide'!$V:$V,'Stock Guide'!$B:$B,B16)),"-")</f>
        <v>0.12180257529000001</v>
      </c>
      <c r="P16" s="138">
        <f>IFERROR(IF(B16="","",AVERAGEIFS('Stock Guide'!$W:$W,'Stock Guide'!$B:$B,B16)),"-")</f>
        <v>0.40220286976000003</v>
      </c>
    </row>
    <row r="17" spans="2:16" ht="16.5" customHeight="1" x14ac:dyDescent="0.2">
      <c r="B17" s="131" t="s">
        <v>800</v>
      </c>
      <c r="C17" s="132" t="str">
        <f>IF(B17="","",(VLOOKUP(B17,'Stock Guide'!$B:$D,3,0)))</f>
        <v>BM Edifício Galeria FII</v>
      </c>
      <c r="D17" s="133">
        <f>IF(B17="","",SUMIFS('Stock Guide'!$J:$J,'Stock Guide'!$B:$B,B17))</f>
        <v>13</v>
      </c>
      <c r="E17" s="134">
        <f>IF(B17="","",SUMIFS('Stock Guide'!$H:$H,'Stock Guide'!$B:$B,B17))</f>
        <v>0</v>
      </c>
      <c r="F17" s="135">
        <f>IF(B17="","",SUMIFS('Stock Guide'!I:I,'Stock Guide'!$B:$B,B17))</f>
        <v>43946.296769</v>
      </c>
      <c r="G17" s="136">
        <f>IF(B17="","",SUMIFS('Stock Guide'!$M:$M,'Stock Guide'!$B:$B,B17))</f>
        <v>49556715</v>
      </c>
      <c r="H17" s="136">
        <f>IF(B17="","",SUMIFS('Stock Guide'!$N:$N,'Stock Guide'!$B:$B,B17))</f>
        <v>162749617.62</v>
      </c>
      <c r="I17" s="137">
        <f>IF(B17="","",SUMIFS('Stock Guide'!$O:$O,'Stock Guide'!$B:$B,B17))</f>
        <v>0.30449666011325893</v>
      </c>
      <c r="J17" s="137">
        <f>IF(B17="","",SUMIFS('Stock Guide'!$P:$P,'Stock Guide'!$B:$B,B17))</f>
        <v>0.30373063181999999</v>
      </c>
      <c r="K17" s="134">
        <f>IF(B17="","",SUMIFS('Stock Guide'!$Q:$Q,'Stock Guide'!$B:$B,B17))</f>
        <v>2.7022956923E-2</v>
      </c>
      <c r="L17" s="134">
        <f>IF(B17="","",SUMIFS('Stock Guide'!$R:$R,'Stock Guide'!$B:$B,B17))</f>
        <v>3.692307692307692E-2</v>
      </c>
      <c r="M17" s="133">
        <f>IF(B17="","",SUMIFS('Stock Guide'!$T:$T,'Stock Guide'!$B:$B,B17))</f>
        <v>0.04</v>
      </c>
      <c r="N17" s="138">
        <f>IFERROR(IF(B17="","",AVERAGEIFS('Stock Guide'!$U:$U,'Stock Guide'!$B:$B,B17)),"-")</f>
        <v>-3.345724907E-2</v>
      </c>
      <c r="O17" s="138">
        <f>IFERROR(IF(B17="","",AVERAGEIFS('Stock Guide'!$V:$V,'Stock Guide'!$B:$B,B17)),"-")</f>
        <v>-2.677190867E-2</v>
      </c>
      <c r="P17" s="138">
        <f>IFERROR(IF(B17="","",AVERAGEIFS('Stock Guide'!$W:$W,'Stock Guide'!$B:$B,B17)),"-")</f>
        <v>-9.1588081304999999E-2</v>
      </c>
    </row>
    <row r="18" spans="2:16" ht="16.5" customHeight="1" x14ac:dyDescent="0.2">
      <c r="B18" s="131" t="s">
        <v>443</v>
      </c>
      <c r="C18" s="132" t="str">
        <f>IF(B18="","",(VLOOKUP(B18,'Stock Guide'!$B:$D,3,0)))</f>
        <v>BRC Renda Corporativa FII</v>
      </c>
      <c r="D18" s="133">
        <f>IF(B18="","",SUMIFS('Stock Guide'!$J:$J,'Stock Guide'!$B:$B,B18))</f>
        <v>77.58</v>
      </c>
      <c r="E18" s="134">
        <f>IF(B18="","",SUMIFS('Stock Guide'!$H:$H,'Stock Guide'!$B:$B,B18))</f>
        <v>2.7100000000000002E-3</v>
      </c>
      <c r="F18" s="135">
        <f>IF(B18="","",SUMIFS('Stock Guide'!I:I,'Stock Guide'!$B:$B,B18))</f>
        <v>2171285.6354999999</v>
      </c>
      <c r="G18" s="136">
        <f>IF(B18="","",SUMIFS('Stock Guide'!$M:$M,'Stock Guide'!$B:$B,B18))</f>
        <v>546991599.24000001</v>
      </c>
      <c r="H18" s="136">
        <f>IF(B18="","",SUMIFS('Stock Guide'!$N:$N,'Stock Guide'!$B:$B,B18))</f>
        <v>685395610.67999995</v>
      </c>
      <c r="I18" s="137">
        <f>IF(B18="","",SUMIFS('Stock Guide'!$O:$O,'Stock Guide'!$B:$B,B18))</f>
        <v>0.79806697142007443</v>
      </c>
      <c r="J18" s="137">
        <f>IF(B18="","",SUMIFS('Stock Guide'!$P:$P,'Stock Guide'!$B:$B,B18))</f>
        <v>0.88997073895000001</v>
      </c>
      <c r="K18" s="134">
        <f>IF(B18="","",SUMIFS('Stock Guide'!$Q:$Q,'Stock Guide'!$B:$B,B18))</f>
        <v>0.12374323279</v>
      </c>
      <c r="L18" s="134">
        <f>IF(B18="","",SUMIFS('Stock Guide'!$R:$R,'Stock Guide'!$B:$B,B18))</f>
        <v>0.1237432327919567</v>
      </c>
      <c r="M18" s="133">
        <f>IF(B18="","",SUMIFS('Stock Guide'!$T:$T,'Stock Guide'!$B:$B,B18))</f>
        <v>0.8</v>
      </c>
      <c r="N18" s="138">
        <f>IFERROR(IF(B18="","",AVERAGEIFS('Stock Guide'!$U:$U,'Stock Guide'!$B:$B,B18)),"-")</f>
        <v>-2.1412062568E-2</v>
      </c>
      <c r="O18" s="138">
        <f>IFERROR(IF(B18="","",AVERAGEIFS('Stock Guide'!$V:$V,'Stock Guide'!$B:$B,B18)),"-")</f>
        <v>-2.2305954874E-2</v>
      </c>
      <c r="P18" s="138">
        <f>IFERROR(IF(B18="","",AVERAGEIFS('Stock Guide'!$W:$W,'Stock Guide'!$B:$B,B18)),"-")</f>
        <v>6.0009908075E-2</v>
      </c>
    </row>
    <row r="19" spans="2:16" ht="16.5" customHeight="1" x14ac:dyDescent="0.2">
      <c r="B19" s="131" t="s">
        <v>458</v>
      </c>
      <c r="C19" s="132" t="str">
        <f>IF(B19="","",(VLOOKUP(B19,'Stock Guide'!$B:$D,3,0)))</f>
        <v>Continental Square Faria Lima FII</v>
      </c>
      <c r="D19" s="133">
        <f>IF(B19="","",SUMIFS('Stock Guide'!$J:$J,'Stock Guide'!$B:$B,B19))</f>
        <v>151.99</v>
      </c>
      <c r="E19" s="134">
        <f>IF(B19="","",SUMIFS('Stock Guide'!$H:$H,'Stock Guide'!$B:$B,B19))</f>
        <v>0</v>
      </c>
      <c r="F19" s="135">
        <f>IF(B19="","",SUMIFS('Stock Guide'!I:I,'Stock Guide'!$B:$B,B19))</f>
        <v>46743.643077000001</v>
      </c>
      <c r="G19" s="136">
        <f>IF(B19="","",SUMIFS('Stock Guide'!$M:$M,'Stock Guide'!$B:$B,B19))</f>
        <v>209848033.30000001</v>
      </c>
      <c r="H19" s="136">
        <f>IF(B19="","",SUMIFS('Stock Guide'!$N:$N,'Stock Guide'!$B:$B,B19))</f>
        <v>345893884.73000002</v>
      </c>
      <c r="I19" s="137">
        <f>IF(B19="","",SUMIFS('Stock Guide'!$O:$O,'Stock Guide'!$B:$B,B19))</f>
        <v>0.60668327069096495</v>
      </c>
      <c r="J19" s="137">
        <f>IF(B19="","",SUMIFS('Stock Guide'!$P:$P,'Stock Guide'!$B:$B,B19))</f>
        <v>0.63523566284999999</v>
      </c>
      <c r="K19" s="134">
        <f>IF(B19="","",SUMIFS('Stock Guide'!$Q:$Q,'Stock Guide'!$B:$B,B19))</f>
        <v>9.1650766497999997E-2</v>
      </c>
      <c r="L19" s="134">
        <f>IF(B19="","",SUMIFS('Stock Guide'!$R:$R,'Stock Guide'!$B:$B,B19))</f>
        <v>9.0795447068886093E-2</v>
      </c>
      <c r="M19" s="133">
        <f>IF(B19="","",SUMIFS('Stock Guide'!$T:$T,'Stock Guide'!$B:$B,B19))</f>
        <v>1.1499999999999999</v>
      </c>
      <c r="N19" s="138">
        <f>IFERROR(IF(B19="","",AVERAGEIFS('Stock Guide'!$U:$U,'Stock Guide'!$B:$B,B19)),"-")</f>
        <v>2.0983275066E-2</v>
      </c>
      <c r="O19" s="138">
        <f>IFERROR(IF(B19="","",AVERAGEIFS('Stock Guide'!$V:$V,'Stock Guide'!$B:$B,B19)),"-")</f>
        <v>1.5168083602000001E-2</v>
      </c>
      <c r="P19" s="138">
        <f>IFERROR(IF(B19="","",AVERAGEIFS('Stock Guide'!$W:$W,'Stock Guide'!$B:$B,B19)),"-")</f>
        <v>0.23554926832</v>
      </c>
    </row>
    <row r="20" spans="2:16" ht="16.5" customHeight="1" x14ac:dyDescent="0.2">
      <c r="B20" s="131" t="s">
        <v>478</v>
      </c>
      <c r="C20" s="132" t="str">
        <f>IF(B20="","",(VLOOKUP(B20,'Stock Guide'!$B:$D,3,0)))</f>
        <v>Green Towers FII</v>
      </c>
      <c r="D20" s="133">
        <f>IF(B20="","",SUMIFS('Stock Guide'!$J:$J,'Stock Guide'!$B:$B,B20))</f>
        <v>78.05</v>
      </c>
      <c r="E20" s="134">
        <f>IF(B20="","",SUMIFS('Stock Guide'!$H:$H,'Stock Guide'!$B:$B,B20))</f>
        <v>6.3400000000000001E-3</v>
      </c>
      <c r="F20" s="135">
        <f>IF(B20="","",SUMIFS('Stock Guide'!I:I,'Stock Guide'!$B:$B,B20))</f>
        <v>683578.75584999996</v>
      </c>
      <c r="G20" s="136">
        <f>IF(B20="","",SUMIFS('Stock Guide'!$M:$M,'Stock Guide'!$B:$B,B20))</f>
        <v>936600000</v>
      </c>
      <c r="H20" s="136">
        <f>IF(B20="","",SUMIFS('Stock Guide'!$N:$N,'Stock Guide'!$B:$B,B20))</f>
        <v>1216454221.7</v>
      </c>
      <c r="I20" s="137">
        <f>IF(B20="","",SUMIFS('Stock Guide'!$O:$O,'Stock Guide'!$B:$B,B20))</f>
        <v>0.769942660637979</v>
      </c>
      <c r="J20" s="137">
        <f>IF(B20="","",SUMIFS('Stock Guide'!$P:$P,'Stock Guide'!$B:$B,B20))</f>
        <v>0.80962466379999998</v>
      </c>
      <c r="K20" s="134">
        <f>IF(B20="","",SUMIFS('Stock Guide'!$Q:$Q,'Stock Guide'!$B:$B,B20))</f>
        <v>0.13837283791999999</v>
      </c>
      <c r="L20" s="134">
        <f>IF(B20="","",SUMIFS('Stock Guide'!$R:$R,'Stock Guide'!$B:$B,B20))</f>
        <v>1.4606021780909674E-2</v>
      </c>
      <c r="M20" s="133">
        <f>IF(B20="","",SUMIFS('Stock Guide'!$T:$T,'Stock Guide'!$B:$B,B20))</f>
        <v>9.5000000000000001E-2</v>
      </c>
      <c r="N20" s="138">
        <f>IFERROR(IF(B20="","",AVERAGEIFS('Stock Guide'!$U:$U,'Stock Guide'!$B:$B,B20)),"-")</f>
        <v>-1.6135131726999999E-2</v>
      </c>
      <c r="O20" s="138">
        <f>IFERROR(IF(B20="","",AVERAGEIFS('Stock Guide'!$V:$V,'Stock Guide'!$B:$B,B20)),"-")</f>
        <v>2.5378629654E-2</v>
      </c>
      <c r="P20" s="138">
        <f>IFERROR(IF(B20="","",AVERAGEIFS('Stock Guide'!$W:$W,'Stock Guide'!$B:$B,B20)),"-")</f>
        <v>0.17107412323999999</v>
      </c>
    </row>
    <row r="21" spans="2:16" ht="16.5" customHeight="1" x14ac:dyDescent="0.2">
      <c r="B21" s="131" t="s">
        <v>495</v>
      </c>
      <c r="C21" s="132" t="str">
        <f>IF(B21="","",(VLOOKUP(B21,'Stock Guide'!$B:$D,3,0)))</f>
        <v>CSHG Real Estate FII</v>
      </c>
      <c r="D21" s="133">
        <f>IF(B21="","",SUMIFS('Stock Guide'!$J:$J,'Stock Guide'!$B:$B,B21))</f>
        <v>115.42</v>
      </c>
      <c r="E21" s="134">
        <f>IF(B21="","",SUMIFS('Stock Guide'!$H:$H,'Stock Guide'!$B:$B,B21))</f>
        <v>9.2200000000000008E-3</v>
      </c>
      <c r="F21" s="135">
        <f>IF(B21="","",SUMIFS('Stock Guide'!I:I,'Stock Guide'!$B:$B,B21))</f>
        <v>2175603.8135000002</v>
      </c>
      <c r="G21" s="136">
        <f>IF(B21="","",SUMIFS('Stock Guide'!$M:$M,'Stock Guide'!$B:$B,B21))</f>
        <v>1364006667.0999999</v>
      </c>
      <c r="H21" s="136">
        <f>IF(B21="","",SUMIFS('Stock Guide'!$N:$N,'Stock Guide'!$B:$B,B21))</f>
        <v>1732940877.7</v>
      </c>
      <c r="I21" s="137">
        <f>IF(B21="","",SUMIFS('Stock Guide'!$O:$O,'Stock Guide'!$B:$B,B21))</f>
        <v>0.78710513708369656</v>
      </c>
      <c r="J21" s="137">
        <f>IF(B21="","",SUMIFS('Stock Guide'!$P:$P,'Stock Guide'!$B:$B,B21))</f>
        <v>0.82930299631000004</v>
      </c>
      <c r="K21" s="134">
        <f>IF(B21="","",SUMIFS('Stock Guide'!$Q:$Q,'Stock Guide'!$B:$B,B21))</f>
        <v>9.9636111592999996E-2</v>
      </c>
      <c r="L21" s="134">
        <f>IF(B21="","",SUMIFS('Stock Guide'!$R:$R,'Stock Guide'!$B:$B,B21))</f>
        <v>8.8372898977646858E-2</v>
      </c>
      <c r="M21" s="133">
        <f>IF(B21="","",SUMIFS('Stock Guide'!$T:$T,'Stock Guide'!$B:$B,B21))</f>
        <v>0.85</v>
      </c>
      <c r="N21" s="138">
        <f>IFERROR(IF(B21="","",AVERAGEIFS('Stock Guide'!$U:$U,'Stock Guide'!$B:$B,B21)),"-")</f>
        <v>-2.9676334594999999E-2</v>
      </c>
      <c r="O21" s="138">
        <f>IFERROR(IF(B21="","",AVERAGEIFS('Stock Guide'!$V:$V,'Stock Guide'!$B:$B,B21)),"-")</f>
        <v>-7.2185225389999998E-3</v>
      </c>
      <c r="P21" s="138">
        <f>IFERROR(IF(B21="","",AVERAGEIFS('Stock Guide'!$W:$W,'Stock Guide'!$B:$B,B21)),"-")</f>
        <v>0.14481985879000001</v>
      </c>
    </row>
    <row r="22" spans="2:16" ht="16.5" customHeight="1" x14ac:dyDescent="0.2">
      <c r="B22" s="131" t="s">
        <v>500</v>
      </c>
      <c r="C22" s="132" t="str">
        <f>IF(B22="","",(VLOOKUP(B22,'Stock Guide'!$B:$D,3,0)))</f>
        <v>Hedge Office Income FII</v>
      </c>
      <c r="D22" s="133">
        <f>IF(B22="","",SUMIFS('Stock Guide'!$J:$J,'Stock Guide'!$B:$B,B22))</f>
        <v>33</v>
      </c>
      <c r="E22" s="134">
        <f>IF(B22="","",SUMIFS('Stock Guide'!$H:$H,'Stock Guide'!$B:$B,B22))</f>
        <v>0</v>
      </c>
      <c r="F22" s="135">
        <f>IF(B22="","",SUMIFS('Stock Guide'!I:I,'Stock Guide'!$B:$B,B22))</f>
        <v>289964.60723000002</v>
      </c>
      <c r="G22" s="136">
        <f>IF(B22="","",SUMIFS('Stock Guide'!$M:$M,'Stock Guide'!$B:$B,B22))</f>
        <v>119071887</v>
      </c>
      <c r="H22" s="136">
        <f>IF(B22="","",SUMIFS('Stock Guide'!$N:$N,'Stock Guide'!$B:$B,B22))</f>
        <v>232411330.18000001</v>
      </c>
      <c r="I22" s="137">
        <f>IF(B22="","",SUMIFS('Stock Guide'!$O:$O,'Stock Guide'!$B:$B,B22))</f>
        <v>0.51233253950132351</v>
      </c>
      <c r="J22" s="137">
        <f>IF(B22="","",SUMIFS('Stock Guide'!$P:$P,'Stock Guide'!$B:$B,B22))</f>
        <v>0.51582508658000004</v>
      </c>
      <c r="K22" s="134">
        <f>IF(B22="","",SUMIFS('Stock Guide'!$Q:$Q,'Stock Guide'!$B:$B,B22))</f>
        <v>0</v>
      </c>
      <c r="L22" s="134">
        <f>IF(B22="","",SUMIFS('Stock Guide'!$R:$R,'Stock Guide'!$B:$B,B22))</f>
        <v>0</v>
      </c>
      <c r="M22" s="133">
        <f>IF(B22="","",SUMIFS('Stock Guide'!$T:$T,'Stock Guide'!$B:$B,B22))</f>
        <v>0</v>
      </c>
      <c r="N22" s="138">
        <f>IFERROR(IF(B22="","",AVERAGEIFS('Stock Guide'!$U:$U,'Stock Guide'!$B:$B,B22)),"-")</f>
        <v>-2.9411764706000001E-2</v>
      </c>
      <c r="O22" s="138">
        <f>IFERROR(IF(B22="","",AVERAGEIFS('Stock Guide'!$V:$V,'Stock Guide'!$B:$B,B22)),"-")</f>
        <v>9.7074468085000004E-2</v>
      </c>
      <c r="P22" s="138">
        <f>IFERROR(IF(B22="","",AVERAGEIFS('Stock Guide'!$W:$W,'Stock Guide'!$B:$B,B22)),"-")</f>
        <v>0.15384615385</v>
      </c>
    </row>
    <row r="23" spans="2:16" ht="16.5" customHeight="1" x14ac:dyDescent="0.2">
      <c r="B23" s="131" t="s">
        <v>544</v>
      </c>
      <c r="C23" s="132" t="str">
        <f>IF(B23="","",(VLOOKUP(B23,'Stock Guide'!$B:$D,3,0)))</f>
        <v>JS Real Estate Multigestão FII</v>
      </c>
      <c r="D23" s="133">
        <f>IF(B23="","",SUMIFS('Stock Guide'!$J:$J,'Stock Guide'!$B:$B,B23))</f>
        <v>57.65</v>
      </c>
      <c r="E23" s="134">
        <f>IF(B23="","",SUMIFS('Stock Guide'!$H:$H,'Stock Guide'!$B:$B,B23))</f>
        <v>8.09E-3</v>
      </c>
      <c r="F23" s="135">
        <f>IF(B23="","",SUMIFS('Stock Guide'!I:I,'Stock Guide'!$B:$B,B23))</f>
        <v>3336182.1025999999</v>
      </c>
      <c r="G23" s="136">
        <f>IF(B23="","",SUMIFS('Stock Guide'!$M:$M,'Stock Guide'!$B:$B,B23))</f>
        <v>1197236459.2</v>
      </c>
      <c r="H23" s="136">
        <f>IF(B23="","",SUMIFS('Stock Guide'!$N:$N,'Stock Guide'!$B:$B,B23))</f>
        <v>2109718538.7</v>
      </c>
      <c r="I23" s="137">
        <f>IF(B23="","",SUMIFS('Stock Guide'!$O:$O,'Stock Guide'!$B:$B,B23))</f>
        <v>0.56748634343315396</v>
      </c>
      <c r="J23" s="137">
        <f>IF(B23="","",SUMIFS('Stock Guide'!$P:$P,'Stock Guide'!$B:$B,B23))</f>
        <v>0.62337393606000002</v>
      </c>
      <c r="K23" s="134">
        <f>IF(B23="","",SUMIFS('Stock Guide'!$Q:$Q,'Stock Guide'!$B:$B,B23))</f>
        <v>0.1002601908</v>
      </c>
      <c r="L23" s="134">
        <f>IF(B23="","",SUMIFS('Stock Guide'!$R:$R,'Stock Guide'!$B:$B,B23))</f>
        <v>0.10407632263660016</v>
      </c>
      <c r="M23" s="133">
        <f>IF(B23="","",SUMIFS('Stock Guide'!$T:$T,'Stock Guide'!$B:$B,B23))</f>
        <v>0.5</v>
      </c>
      <c r="N23" s="138">
        <f>IFERROR(IF(B23="","",AVERAGEIFS('Stock Guide'!$U:$U,'Stock Guide'!$B:$B,B23)),"-")</f>
        <v>-1.9391052900000001E-2</v>
      </c>
      <c r="O23" s="138">
        <f>IFERROR(IF(B23="","",AVERAGEIFS('Stock Guide'!$V:$V,'Stock Guide'!$B:$B,B23)),"-")</f>
        <v>-7.9000180965E-2</v>
      </c>
      <c r="P23" s="138">
        <f>IFERROR(IF(B23="","",AVERAGEIFS('Stock Guide'!$W:$W,'Stock Guide'!$B:$B,B23)),"-")</f>
        <v>5.1922211113999998E-3</v>
      </c>
    </row>
    <row r="24" spans="2:16" ht="16.5" customHeight="1" x14ac:dyDescent="0.2">
      <c r="B24" s="131" t="s">
        <v>566</v>
      </c>
      <c r="C24" s="132" t="str">
        <f>IF(B24="","",(VLOOKUP(B24,'Stock Guide'!$B:$D,3,0)))</f>
        <v>Kinea Oportunidades Real Estate FII</v>
      </c>
      <c r="D24" s="133">
        <f>IF(B24="","",SUMIFS('Stock Guide'!$J:$J,'Stock Guide'!$B:$B,B24))</f>
        <v>63.98</v>
      </c>
      <c r="E24" s="134">
        <f>IF(B24="","",SUMIFS('Stock Guide'!$H:$H,'Stock Guide'!$B:$B,B24))</f>
        <v>4.1599999999999996E-3</v>
      </c>
      <c r="F24" s="135">
        <f>IF(B24="","",SUMIFS('Stock Guide'!I:I,'Stock Guide'!$B:$B,B24))</f>
        <v>2276455.4194999998</v>
      </c>
      <c r="G24" s="136">
        <f>IF(B24="","",SUMIFS('Stock Guide'!$M:$M,'Stock Guide'!$B:$B,B24))</f>
        <v>615807500</v>
      </c>
      <c r="H24" s="136">
        <f>IF(B24="","",SUMIFS('Stock Guide'!$N:$N,'Stock Guide'!$B:$B,B24))</f>
        <v>1032236454.4</v>
      </c>
      <c r="I24" s="137">
        <f>IF(B24="","",SUMIFS('Stock Guide'!$O:$O,'Stock Guide'!$B:$B,B24))</f>
        <v>0.59657600482434581</v>
      </c>
      <c r="J24" s="137">
        <f>IF(B24="","",SUMIFS('Stock Guide'!$P:$P,'Stock Guide'!$B:$B,B24))</f>
        <v>0.69097310056000005</v>
      </c>
      <c r="K24" s="134">
        <f>IF(B24="","",SUMIFS('Stock Guide'!$Q:$Q,'Stock Guide'!$B:$B,B24))</f>
        <v>0.16333229133999999</v>
      </c>
      <c r="L24" s="134">
        <f>IF(B24="","",SUMIFS('Stock Guide'!$R:$R,'Stock Guide'!$B:$B,B24))</f>
        <v>0.11253516723976242</v>
      </c>
      <c r="M24" s="133">
        <f>IF(B24="","",SUMIFS('Stock Guide'!$T:$T,'Stock Guide'!$B:$B,B24))</f>
        <v>0.6</v>
      </c>
      <c r="N24" s="138">
        <f>IFERROR(IF(B24="","",AVERAGEIFS('Stock Guide'!$U:$U,'Stock Guide'!$B:$B,B24)),"-")</f>
        <v>-2.8987706783999999E-2</v>
      </c>
      <c r="O24" s="138">
        <f>IFERROR(IF(B24="","",AVERAGEIFS('Stock Guide'!$V:$V,'Stock Guide'!$B:$B,B24)),"-")</f>
        <v>-7.230708626E-2</v>
      </c>
      <c r="P24" s="138">
        <f>IFERROR(IF(B24="","",AVERAGEIFS('Stock Guide'!$W:$W,'Stock Guide'!$B:$B,B24)),"-")</f>
        <v>5.9435424324000001E-2</v>
      </c>
    </row>
    <row r="25" spans="2:16" ht="16.5" customHeight="1" x14ac:dyDescent="0.2">
      <c r="B25" s="131" t="s">
        <v>596</v>
      </c>
      <c r="C25" s="132" t="str">
        <f>IF(B25="","",(VLOOKUP(B25,'Stock Guide'!$B:$D,3,0)))</f>
        <v>Pátria Edifícios Corporativos FII</v>
      </c>
      <c r="D25" s="133">
        <f>IF(B25="","",SUMIFS('Stock Guide'!$J:$J,'Stock Guide'!$B:$B,B25))</f>
        <v>39.479999999999997</v>
      </c>
      <c r="E25" s="134">
        <f>IF(B25="","",SUMIFS('Stock Guide'!$H:$H,'Stock Guide'!$B:$B,B25))</f>
        <v>0</v>
      </c>
      <c r="F25" s="135">
        <f>IF(B25="","",SUMIFS('Stock Guide'!I:I,'Stock Guide'!$B:$B,B25))</f>
        <v>962655.65553999995</v>
      </c>
      <c r="G25" s="136">
        <f>IF(B25="","",SUMIFS('Stock Guide'!$M:$M,'Stock Guide'!$B:$B,B25))</f>
        <v>137289094.31999999</v>
      </c>
      <c r="H25" s="136">
        <f>IF(B25="","",SUMIFS('Stock Guide'!$N:$N,'Stock Guide'!$B:$B,B25))</f>
        <v>119255736.81</v>
      </c>
      <c r="I25" s="137">
        <f>IF(B25="","",SUMIFS('Stock Guide'!$O:$O,'Stock Guide'!$B:$B,B25))</f>
        <v>1.151215849169009</v>
      </c>
      <c r="J25" s="137">
        <f>IF(B25="","",SUMIFS('Stock Guide'!$P:$P,'Stock Guide'!$B:$B,B25))</f>
        <v>1.2210604276000001</v>
      </c>
      <c r="K25" s="134">
        <f>IF(B25="","",SUMIFS('Stock Guide'!$Q:$Q,'Stock Guide'!$B:$B,B25))</f>
        <v>1.6210739615000001E-2</v>
      </c>
      <c r="L25" s="134">
        <f>IF(B25="","",SUMIFS('Stock Guide'!$R:$R,'Stock Guide'!$B:$B,B25))</f>
        <v>2.7355623100303948E-2</v>
      </c>
      <c r="M25" s="133">
        <f>IF(B25="","",SUMIFS('Stock Guide'!$T:$T,'Stock Guide'!$B:$B,B25))</f>
        <v>0.09</v>
      </c>
      <c r="N25" s="138">
        <f>IFERROR(IF(B25="","",AVERAGEIFS('Stock Guide'!$U:$U,'Stock Guide'!$B:$B,B25)),"-")</f>
        <v>-1.0774242046000001E-2</v>
      </c>
      <c r="O25" s="138">
        <f>IFERROR(IF(B25="","",AVERAGEIFS('Stock Guide'!$V:$V,'Stock Guide'!$B:$B,B25)),"-")</f>
        <v>-4.7972699724999998E-2</v>
      </c>
      <c r="P25" s="138">
        <f>IFERROR(IF(B25="","",AVERAGEIFS('Stock Guide'!$W:$W,'Stock Guide'!$B:$B,B25)),"-")</f>
        <v>3.4172951542E-2</v>
      </c>
    </row>
    <row r="26" spans="2:16" ht="16.5" customHeight="1" x14ac:dyDescent="0.2">
      <c r="B26" s="131" t="s">
        <v>94</v>
      </c>
      <c r="C26" s="132" t="str">
        <f>IF(B26="","",(VLOOKUP(B26,'Stock Guide'!$B:$D,3,0)))</f>
        <v>VBI Prime Properties</v>
      </c>
      <c r="D26" s="133">
        <f>IF(B26="","",SUMIFS('Stock Guide'!$J:$J,'Stock Guide'!$B:$B,B26))</f>
        <v>66.66</v>
      </c>
      <c r="E26" s="134">
        <f>IF(B26="","",SUMIFS('Stock Guide'!$H:$H,'Stock Guide'!$B:$B,B26))</f>
        <v>1.223E-2</v>
      </c>
      <c r="F26" s="135">
        <f>IF(B26="","",SUMIFS('Stock Guide'!I:I,'Stock Guide'!$B:$B,B26))</f>
        <v>3815492.1965000001</v>
      </c>
      <c r="G26" s="136">
        <f>IF(B26="","",SUMIFS('Stock Guide'!$M:$M,'Stock Guide'!$B:$B,B26))</f>
        <v>1808490266.2</v>
      </c>
      <c r="H26" s="136">
        <f>IF(B26="","",SUMIFS('Stock Guide'!$N:$N,'Stock Guide'!$B:$B,B26))</f>
        <v>2835393868.3000002</v>
      </c>
      <c r="I26" s="137">
        <f>IF(B26="","",SUMIFS('Stock Guide'!$O:$O,'Stock Guide'!$B:$B,B26))</f>
        <v>0.63782682413865333</v>
      </c>
      <c r="J26" s="137">
        <f>IF(B26="","",SUMIFS('Stock Guide'!$P:$P,'Stock Guide'!$B:$B,B26))</f>
        <v>0.75684104820999998</v>
      </c>
      <c r="K26" s="134">
        <f>IF(B26="","",SUMIFS('Stock Guide'!$Q:$Q,'Stock Guide'!$B:$B,B26))</f>
        <v>7.7257725772999997E-2</v>
      </c>
      <c r="L26" s="134">
        <f>IF(B26="","",SUMIFS('Stock Guide'!$R:$R,'Stock Guide'!$B:$B,B26))</f>
        <v>7.2007200720072009E-2</v>
      </c>
      <c r="M26" s="133">
        <f>IF(B26="","",SUMIFS('Stock Guide'!$T:$T,'Stock Guide'!$B:$B,B26))</f>
        <v>0.4</v>
      </c>
      <c r="N26" s="138">
        <f>IFERROR(IF(B26="","",AVERAGEIFS('Stock Guide'!$U:$U,'Stock Guide'!$B:$B,B26)),"-")</f>
        <v>-3.8372763992E-2</v>
      </c>
      <c r="O26" s="138">
        <f>IFERROR(IF(B26="","",AVERAGEIFS('Stock Guide'!$V:$V,'Stock Guide'!$B:$B,B26)),"-")</f>
        <v>-0.15062473000000001</v>
      </c>
      <c r="P26" s="138">
        <f>IFERROR(IF(B26="","",AVERAGEIFS('Stock Guide'!$W:$W,'Stock Guide'!$B:$B,B26)),"-")</f>
        <v>-4.2919194649E-2</v>
      </c>
    </row>
    <row r="27" spans="2:16" ht="16.5" customHeight="1" x14ac:dyDescent="0.2">
      <c r="B27" s="131" t="s">
        <v>631</v>
      </c>
      <c r="C27" s="132" t="str">
        <f>IF(B27="","",(VLOOKUP(B27,'Stock Guide'!$B:$D,3,0)))</f>
        <v>Rio Bravo Renda Corporativava FII</v>
      </c>
      <c r="D27" s="133">
        <f>IF(B27="","",SUMIFS('Stock Guide'!$J:$J,'Stock Guide'!$B:$B,B27))</f>
        <v>129.19999999999999</v>
      </c>
      <c r="E27" s="134">
        <f>IF(B27="","",SUMIFS('Stock Guide'!$H:$H,'Stock Guide'!$B:$B,B27))</f>
        <v>3.2200000000000002E-3</v>
      </c>
      <c r="F27" s="135">
        <f>IF(B27="","",SUMIFS('Stock Guide'!I:I,'Stock Guide'!$B:$B,B27))</f>
        <v>913909.60077000002</v>
      </c>
      <c r="G27" s="136">
        <f>IF(B27="","",SUMIFS('Stock Guide'!$M:$M,'Stock Guide'!$B:$B,B27))</f>
        <v>476837794</v>
      </c>
      <c r="H27" s="136">
        <f>IF(B27="","",SUMIFS('Stock Guide'!$N:$N,'Stock Guide'!$B:$B,B27))</f>
        <v>705549167.76999998</v>
      </c>
      <c r="I27" s="137">
        <f>IF(B27="","",SUMIFS('Stock Guide'!$O:$O,'Stock Guide'!$B:$B,B27))</f>
        <v>0.67583921260529789</v>
      </c>
      <c r="J27" s="137">
        <f>IF(B27="","",SUMIFS('Stock Guide'!$P:$P,'Stock Guide'!$B:$B,B27))</f>
        <v>0.70211070877000004</v>
      </c>
      <c r="K27" s="134">
        <f>IF(B27="","",SUMIFS('Stock Guide'!$Q:$Q,'Stock Guide'!$B:$B,B27))</f>
        <v>9.6130030960000001E-2</v>
      </c>
      <c r="L27" s="134">
        <f>IF(B27="","",SUMIFS('Stock Guide'!$R:$R,'Stock Guide'!$B:$B,B27))</f>
        <v>0.12074303405572757</v>
      </c>
      <c r="M27" s="133">
        <f>IF(B27="","",SUMIFS('Stock Guide'!$T:$T,'Stock Guide'!$B:$B,B27))</f>
        <v>1.3</v>
      </c>
      <c r="N27" s="138">
        <f>IFERROR(IF(B27="","",AVERAGEIFS('Stock Guide'!$U:$U,'Stock Guide'!$B:$B,B27)),"-")</f>
        <v>-5.1325354284000001E-2</v>
      </c>
      <c r="O27" s="138">
        <f>IFERROR(IF(B27="","",AVERAGEIFS('Stock Guide'!$V:$V,'Stock Guide'!$B:$B,B27)),"-")</f>
        <v>-2.4399990436E-2</v>
      </c>
      <c r="P27" s="138">
        <f>IFERROR(IF(B27="","",AVERAGEIFS('Stock Guide'!$W:$W,'Stock Guide'!$B:$B,B27)),"-")</f>
        <v>0.12860286577999999</v>
      </c>
    </row>
    <row r="28" spans="2:16" ht="16.5" customHeight="1" x14ac:dyDescent="0.2">
      <c r="B28" s="131" t="s">
        <v>642</v>
      </c>
      <c r="C28" s="132" t="str">
        <f>IF(B28="","",(VLOOKUP(B28,'Stock Guide'!$B:$D,3,0)))</f>
        <v>FII REC Renda Imobiliária</v>
      </c>
      <c r="D28" s="133">
        <f>IF(B28="","",SUMIFS('Stock Guide'!$J:$J,'Stock Guide'!$B:$B,B28))</f>
        <v>32.17</v>
      </c>
      <c r="E28" s="134">
        <f>IF(B28="","",SUMIFS('Stock Guide'!$H:$H,'Stock Guide'!$B:$B,B28))</f>
        <v>0</v>
      </c>
      <c r="F28" s="135">
        <f>IF(B28="","",SUMIFS('Stock Guide'!I:I,'Stock Guide'!$B:$B,B28))</f>
        <v>435086.45123000001</v>
      </c>
      <c r="G28" s="136">
        <f>IF(B28="","",SUMIFS('Stock Guide'!$M:$M,'Stock Guide'!$B:$B,B28))</f>
        <v>274844169.81</v>
      </c>
      <c r="H28" s="136">
        <f>IF(B28="","",SUMIFS('Stock Guide'!$N:$N,'Stock Guide'!$B:$B,B28))</f>
        <v>767238559</v>
      </c>
      <c r="I28" s="137">
        <f>IF(B28="","",SUMIFS('Stock Guide'!$O:$O,'Stock Guide'!$B:$B,B28))</f>
        <v>0.35822517857838793</v>
      </c>
      <c r="J28" s="137">
        <f>IF(B28="","",SUMIFS('Stock Guide'!$P:$P,'Stock Guide'!$B:$B,B28))</f>
        <v>0.42827952381000001</v>
      </c>
      <c r="K28" s="134">
        <f>IF(B28="","",SUMIFS('Stock Guide'!$Q:$Q,'Stock Guide'!$B:$B,B28))</f>
        <v>0.16288467515999999</v>
      </c>
      <c r="L28" s="134">
        <f>IF(B28="","",SUMIFS('Stock Guide'!$R:$R,'Stock Guide'!$B:$B,B28))</f>
        <v>0.16785825303077401</v>
      </c>
      <c r="M28" s="133">
        <f>IF(B28="","",SUMIFS('Stock Guide'!$T:$T,'Stock Guide'!$B:$B,B28))</f>
        <v>0.45</v>
      </c>
      <c r="N28" s="138">
        <f>IFERROR(IF(B28="","",AVERAGEIFS('Stock Guide'!$U:$U,'Stock Guide'!$B:$B,B28)),"-")</f>
        <v>-7.7415663511999994E-2</v>
      </c>
      <c r="O28" s="138">
        <f>IFERROR(IF(B28="","",AVERAGEIFS('Stock Guide'!$V:$V,'Stock Guide'!$B:$B,B28)),"-")</f>
        <v>-7.7684888610000002E-2</v>
      </c>
      <c r="P28" s="138">
        <f>IFERROR(IF(B28="","",AVERAGEIFS('Stock Guide'!$W:$W,'Stock Guide'!$B:$B,B28)),"-")</f>
        <v>0.19848971122</v>
      </c>
    </row>
    <row r="29" spans="2:16" ht="16.5" customHeight="1" x14ac:dyDescent="0.2">
      <c r="B29" s="131" t="s">
        <v>646</v>
      </c>
      <c r="C29" s="132" t="str">
        <f>IF(B29="","",(VLOOKUP(B29,'Stock Guide'!$B:$D,3,0)))</f>
        <v>Rio Negro FII</v>
      </c>
      <c r="D29" s="133">
        <f>IF(B29="","",SUMIFS('Stock Guide'!$J:$J,'Stock Guide'!$B:$B,B29))</f>
        <v>52.27</v>
      </c>
      <c r="E29" s="134">
        <f>IF(B29="","",SUMIFS('Stock Guide'!$H:$H,'Stock Guide'!$B:$B,B29))</f>
        <v>0</v>
      </c>
      <c r="F29" s="135">
        <f>IF(B29="","",SUMIFS('Stock Guide'!I:I,'Stock Guide'!$B:$B,B29))</f>
        <v>46457.481846000002</v>
      </c>
      <c r="G29" s="136">
        <f>IF(B29="","",SUMIFS('Stock Guide'!$M:$M,'Stock Guide'!$B:$B,B29))</f>
        <v>139874520</v>
      </c>
      <c r="H29" s="136">
        <f>IF(B29="","",SUMIFS('Stock Guide'!$N:$N,'Stock Guide'!$B:$B,B29))</f>
        <v>225181949.59</v>
      </c>
      <c r="I29" s="137">
        <f>IF(B29="","",SUMIFS('Stock Guide'!$O:$O,'Stock Guide'!$B:$B,B29))</f>
        <v>0.62116222128228527</v>
      </c>
      <c r="J29" s="137">
        <f>IF(B29="","",SUMIFS('Stock Guide'!$P:$P,'Stock Guide'!$B:$B,B29))</f>
        <v>0.61101124462</v>
      </c>
      <c r="K29" s="134">
        <f>IF(B29="","",SUMIFS('Stock Guide'!$Q:$Q,'Stock Guide'!$B:$B,B29))</f>
        <v>9.4126650086000005E-2</v>
      </c>
      <c r="L29" s="134">
        <f>IF(B29="","",SUMIFS('Stock Guide'!$R:$R,'Stock Guide'!$B:$B,B29))</f>
        <v>0.11938014157260379</v>
      </c>
      <c r="M29" s="133">
        <f>IF(B29="","",SUMIFS('Stock Guide'!$T:$T,'Stock Guide'!$B:$B,B29))</f>
        <v>0.52</v>
      </c>
      <c r="N29" s="138">
        <f>IFERROR(IF(B29="","",AVERAGEIFS('Stock Guide'!$U:$U,'Stock Guide'!$B:$B,B29)),"-")</f>
        <v>2.5304040800999999E-2</v>
      </c>
      <c r="O29" s="138">
        <f>IFERROR(IF(B29="","",AVERAGEIFS('Stock Guide'!$V:$V,'Stock Guide'!$B:$B,B29)),"-")</f>
        <v>9.7096861164000001E-2</v>
      </c>
      <c r="P29" s="138">
        <f>IFERROR(IF(B29="","",AVERAGEIFS('Stock Guide'!$W:$W,'Stock Guide'!$B:$B,B29)),"-")</f>
        <v>0.15097249630000001</v>
      </c>
    </row>
    <row r="30" spans="2:16" ht="16.5" customHeight="1" x14ac:dyDescent="0.2">
      <c r="B30" s="131" t="s">
        <v>673</v>
      </c>
      <c r="C30" s="132" t="str">
        <f>IF(B30="","",(VLOOKUP(B30,'Stock Guide'!$B:$D,3,0)))</f>
        <v>SP Downtown FII</v>
      </c>
      <c r="D30" s="133">
        <f>IF(B30="","",SUMIFS('Stock Guide'!$J:$J,'Stock Guide'!$B:$B,B30))</f>
        <v>29.06</v>
      </c>
      <c r="E30" s="134">
        <f>IF(B30="","",SUMIFS('Stock Guide'!$H:$H,'Stock Guide'!$B:$B,B30))</f>
        <v>0</v>
      </c>
      <c r="F30" s="135">
        <f>IF(B30="","",SUMIFS('Stock Guide'!I:I,'Stock Guide'!$B:$B,B30))</f>
        <v>80054.525691999996</v>
      </c>
      <c r="G30" s="136">
        <f>IF(B30="","",SUMIFS('Stock Guide'!$M:$M,'Stock Guide'!$B:$B,B30))</f>
        <v>52249880</v>
      </c>
      <c r="H30" s="136">
        <f>IF(B30="","",SUMIFS('Stock Guide'!$N:$N,'Stock Guide'!$B:$B,B30))</f>
        <v>96682195.909999996</v>
      </c>
      <c r="I30" s="137">
        <f>IF(B30="","",SUMIFS('Stock Guide'!$O:$O,'Stock Guide'!$B:$B,B30))</f>
        <v>0.54042918148692676</v>
      </c>
      <c r="J30" s="137">
        <f>IF(B30="","",SUMIFS('Stock Guide'!$P:$P,'Stock Guide'!$B:$B,B30))</f>
        <v>0.67240903823999998</v>
      </c>
      <c r="K30" s="134">
        <f>IF(B30="","",SUMIFS('Stock Guide'!$Q:$Q,'Stock Guide'!$B:$B,B30))</f>
        <v>0.20165175498999999</v>
      </c>
      <c r="L30" s="134">
        <f>IF(B30="","",SUMIFS('Stock Guide'!$R:$R,'Stock Guide'!$B:$B,B30))</f>
        <v>0.18582243633860979</v>
      </c>
      <c r="M30" s="133">
        <f>IF(B30="","",SUMIFS('Stock Guide'!$T:$T,'Stock Guide'!$B:$B,B30))</f>
        <v>0.45</v>
      </c>
      <c r="N30" s="138">
        <f>IFERROR(IF(B30="","",AVERAGEIFS('Stock Guide'!$U:$U,'Stock Guide'!$B:$B,B30)),"-")</f>
        <v>-0.22609853529000001</v>
      </c>
      <c r="O30" s="138">
        <f>IFERROR(IF(B30="","",AVERAGEIFS('Stock Guide'!$V:$V,'Stock Guide'!$B:$B,B30)),"-")</f>
        <v>-0.12652455702000001</v>
      </c>
      <c r="P30" s="138">
        <f>IFERROR(IF(B30="","",AVERAGEIFS('Stock Guide'!$W:$W,'Stock Guide'!$B:$B,B30)),"-")</f>
        <v>5.1688172025000003E-3</v>
      </c>
    </row>
    <row r="31" spans="2:16" ht="16.5" customHeight="1" x14ac:dyDescent="0.2">
      <c r="B31" s="131" t="s">
        <v>678</v>
      </c>
      <c r="C31" s="132" t="str">
        <f>IF(B31="","",(VLOOKUP(B31,'Stock Guide'!$B:$D,3,0)))</f>
        <v>Tellus Properties FII</v>
      </c>
      <c r="D31" s="133">
        <f>IF(B31="","",SUMIFS('Stock Guide'!$J:$J,'Stock Guide'!$B:$B,B31))</f>
        <v>7.61</v>
      </c>
      <c r="E31" s="134">
        <f>IF(B31="","",SUMIFS('Stock Guide'!$H:$H,'Stock Guide'!$B:$B,B31))</f>
        <v>2.1700000000000001E-3</v>
      </c>
      <c r="F31" s="135">
        <f>IF(B31="","",SUMIFS('Stock Guide'!I:I,'Stock Guide'!$B:$B,B31))</f>
        <v>1328059.7006000001</v>
      </c>
      <c r="G31" s="136">
        <f>IF(B31="","",SUMIFS('Stock Guide'!$M:$M,'Stock Guide'!$B:$B,B31))</f>
        <v>377584784.02999997</v>
      </c>
      <c r="H31" s="136">
        <f>IF(B31="","",SUMIFS('Stock Guide'!$N:$N,'Stock Guide'!$B:$B,B31))</f>
        <v>468116382.76999998</v>
      </c>
      <c r="I31" s="137">
        <f>IF(B31="","",SUMIFS('Stock Guide'!$O:$O,'Stock Guide'!$B:$B,B31))</f>
        <v>0.80660450675899331</v>
      </c>
      <c r="J31" s="137">
        <f>IF(B31="","",SUMIFS('Stock Guide'!$P:$P,'Stock Guide'!$B:$B,B31))</f>
        <v>0.90072833126999996</v>
      </c>
      <c r="K31" s="134">
        <f>IF(B31="","",SUMIFS('Stock Guide'!$Q:$Q,'Stock Guide'!$B:$B,B31))</f>
        <v>0.1544021025</v>
      </c>
      <c r="L31" s="134">
        <f>IF(B31="","",SUMIFS('Stock Guide'!$R:$R,'Stock Guide'!$B:$B,B31))</f>
        <v>0.19710906701708281</v>
      </c>
      <c r="M31" s="133">
        <f>IF(B31="","",SUMIFS('Stock Guide'!$T:$T,'Stock Guide'!$B:$B,B31))</f>
        <v>0.125</v>
      </c>
      <c r="N31" s="138">
        <f>IFERROR(IF(B31="","",AVERAGEIFS('Stock Guide'!$U:$U,'Stock Guide'!$B:$B,B31)),"-")</f>
        <v>-2.9955385596E-2</v>
      </c>
      <c r="O31" s="138">
        <f>IFERROR(IF(B31="","",AVERAGEIFS('Stock Guide'!$V:$V,'Stock Guide'!$B:$B,B31)),"-")</f>
        <v>-2.8740412412E-2</v>
      </c>
      <c r="P31" s="138">
        <f>IFERROR(IF(B31="","",AVERAGEIFS('Stock Guide'!$W:$W,'Stock Guide'!$B:$B,B31)),"-")</f>
        <v>0.1070095425</v>
      </c>
    </row>
    <row r="32" spans="2:16" ht="16.5" customHeight="1" x14ac:dyDescent="0.2">
      <c r="B32" s="131" t="s">
        <v>686</v>
      </c>
      <c r="C32" s="132" t="str">
        <f>IF(B32="","",(VLOOKUP(B32,'Stock Guide'!$B:$D,3,0)))</f>
        <v>RBR Top Offices FII</v>
      </c>
      <c r="D32" s="133">
        <f>IF(B32="","",SUMIFS('Stock Guide'!$J:$J,'Stock Guide'!$B:$B,B32))</f>
        <v>63.14</v>
      </c>
      <c r="E32" s="134">
        <f>IF(B32="","",SUMIFS('Stock Guide'!$H:$H,'Stock Guide'!$B:$B,B32))</f>
        <v>1.9300000000000001E-3</v>
      </c>
      <c r="F32" s="135">
        <f>IF(B32="","",SUMIFS('Stock Guide'!I:I,'Stock Guide'!$B:$B,B32))</f>
        <v>635241.16</v>
      </c>
      <c r="G32" s="136">
        <f>IF(B32="","",SUMIFS('Stock Guide'!$M:$M,'Stock Guide'!$B:$B,B32))</f>
        <v>285913073.60000002</v>
      </c>
      <c r="H32" s="136">
        <f>IF(B32="","",SUMIFS('Stock Guide'!$N:$N,'Stock Guide'!$B:$B,B32))</f>
        <v>464764801.41000003</v>
      </c>
      <c r="I32" s="137">
        <f>IF(B32="","",SUMIFS('Stock Guide'!$O:$O,'Stock Guide'!$B:$B,B32))</f>
        <v>0.61517798407409308</v>
      </c>
      <c r="J32" s="137">
        <f>IF(B32="","",SUMIFS('Stock Guide'!$P:$P,'Stock Guide'!$B:$B,B32))</f>
        <v>0.72474301869000002</v>
      </c>
      <c r="K32" s="134">
        <f>IF(B32="","",SUMIFS('Stock Guide'!$Q:$Q,'Stock Guide'!$B:$B,B32))</f>
        <v>0.16138739309</v>
      </c>
      <c r="L32" s="134">
        <f>IF(B32="","",SUMIFS('Stock Guide'!$R:$R,'Stock Guide'!$B:$B,B32))</f>
        <v>0.15964523281596452</v>
      </c>
      <c r="M32" s="133">
        <f>IF(B32="","",SUMIFS('Stock Guide'!$T:$T,'Stock Guide'!$B:$B,B32))</f>
        <v>0.84</v>
      </c>
      <c r="N32" s="138">
        <f>IFERROR(IF(B32="","",AVERAGEIFS('Stock Guide'!$U:$U,'Stock Guide'!$B:$B,B32)),"-")</f>
        <v>-5.0716375683999997E-2</v>
      </c>
      <c r="O32" s="138">
        <f>IFERROR(IF(B32="","",AVERAGEIFS('Stock Guide'!$V:$V,'Stock Guide'!$B:$B,B32)),"-")</f>
        <v>-9.3200853385000004E-2</v>
      </c>
      <c r="P32" s="138">
        <f>IFERROR(IF(B32="","",AVERAGEIFS('Stock Guide'!$W:$W,'Stock Guide'!$B:$B,B32)),"-")</f>
        <v>7.1007725187999998E-2</v>
      </c>
    </row>
    <row r="33" spans="2:16" ht="16.5" customHeight="1" x14ac:dyDescent="0.2">
      <c r="B33" s="131" t="s">
        <v>714</v>
      </c>
      <c r="C33" s="132" t="str">
        <f>IF(B33="","",(VLOOKUP(B33,'Stock Guide'!$B:$D,3,0)))</f>
        <v>Valora Renda Imobiliária FII</v>
      </c>
      <c r="D33" s="133">
        <f>IF(B33="","",SUMIFS('Stock Guide'!$J:$J,'Stock Guide'!$B:$B,B33))</f>
        <v>5.37</v>
      </c>
      <c r="E33" s="134">
        <f>IF(B33="","",SUMIFS('Stock Guide'!$H:$H,'Stock Guide'!$B:$B,B33))</f>
        <v>1.2700000000000001E-3</v>
      </c>
      <c r="F33" s="135">
        <f>IF(B33="","",SUMIFS('Stock Guide'!I:I,'Stock Guide'!$B:$B,B33))</f>
        <v>301749.67569</v>
      </c>
      <c r="G33" s="136">
        <f>IF(B33="","",SUMIFS('Stock Guide'!$M:$M,'Stock Guide'!$B:$B,B33))</f>
        <v>188066722.31999999</v>
      </c>
      <c r="H33" s="136">
        <f>IF(B33="","",SUMIFS('Stock Guide'!$N:$N,'Stock Guide'!$B:$B,B33))</f>
        <v>301058584.76999998</v>
      </c>
      <c r="I33" s="137">
        <f>IF(B33="","",SUMIFS('Stock Guide'!$O:$O,'Stock Guide'!$B:$B,B33))</f>
        <v>0.62468480167631657</v>
      </c>
      <c r="J33" s="137">
        <f>IF(B33="","",SUMIFS('Stock Guide'!$P:$P,'Stock Guide'!$B:$B,B33))</f>
        <v>0.98730640462999997</v>
      </c>
      <c r="K33" s="134">
        <f>IF(B33="","",SUMIFS('Stock Guide'!$Q:$Q,'Stock Guide'!$B:$B,B33))</f>
        <v>0.22625698323999999</v>
      </c>
      <c r="L33" s="134">
        <f>IF(B33="","",SUMIFS('Stock Guide'!$R:$R,'Stock Guide'!$B:$B,B33))</f>
        <v>0.16759776536312848</v>
      </c>
      <c r="M33" s="133">
        <f>IF(B33="","",SUMIFS('Stock Guide'!$T:$T,'Stock Guide'!$B:$B,B33))</f>
        <v>7.4999999999999997E-2</v>
      </c>
      <c r="N33" s="138">
        <f>IFERROR(IF(B33="","",AVERAGEIFS('Stock Guide'!$U:$U,'Stock Guide'!$B:$B,B33)),"-")</f>
        <v>-5.0397877983000001E-2</v>
      </c>
      <c r="O33" s="138">
        <f>IFERROR(IF(B33="","",AVERAGEIFS('Stock Guide'!$V:$V,'Stock Guide'!$B:$B,B33)),"-")</f>
        <v>-0.28821747434</v>
      </c>
      <c r="P33" s="138">
        <f>IFERROR(IF(B33="","",AVERAGEIFS('Stock Guide'!$W:$W,'Stock Guide'!$B:$B,B33)),"-")</f>
        <v>-0.25640676414000002</v>
      </c>
    </row>
    <row r="34" spans="2:16" ht="16.5" customHeight="1" x14ac:dyDescent="0.2">
      <c r="B34" s="131" t="s">
        <v>718</v>
      </c>
      <c r="C34" s="132" t="str">
        <f>IF(B34="","",(VLOOKUP(B34,'Stock Guide'!$B:$D,3,0)))</f>
        <v>Vinci Offices FII</v>
      </c>
      <c r="D34" s="133">
        <f>IF(B34="","",SUMIFS('Stock Guide'!$J:$J,'Stock Guide'!$B:$B,B34))</f>
        <v>4.18</v>
      </c>
      <c r="E34" s="134">
        <f>IF(B34="","",SUMIFS('Stock Guide'!$H:$H,'Stock Guide'!$B:$B,B34))</f>
        <v>2.3400000000000001E-3</v>
      </c>
      <c r="F34" s="135">
        <f>IF(B34="","",SUMIFS('Stock Guide'!I:I,'Stock Guide'!$B:$B,B34))</f>
        <v>490105.35092</v>
      </c>
      <c r="G34" s="136">
        <f>IF(B34="","",SUMIFS('Stock Guide'!$M:$M,'Stock Guide'!$B:$B,B34))</f>
        <v>346213913.10000002</v>
      </c>
      <c r="H34" s="136">
        <f>IF(B34="","",SUMIFS('Stock Guide'!$N:$N,'Stock Guide'!$B:$B,B34))</f>
        <v>813695317.48000002</v>
      </c>
      <c r="I34" s="137">
        <f>IF(B34="","",SUMIFS('Stock Guide'!$O:$O,'Stock Guide'!$B:$B,B34))</f>
        <v>0.42548347724578084</v>
      </c>
      <c r="J34" s="137">
        <f>IF(B34="","",SUMIFS('Stock Guide'!$P:$P,'Stock Guide'!$B:$B,B34))</f>
        <v>0.51644894370000005</v>
      </c>
      <c r="K34" s="134">
        <f>IF(B34="","",SUMIFS('Stock Guide'!$Q:$Q,'Stock Guide'!$B:$B,B34))</f>
        <v>0.12894736842000001</v>
      </c>
      <c r="L34" s="134">
        <f>IF(B34="","",SUMIFS('Stock Guide'!$R:$R,'Stock Guide'!$B:$B,B34))</f>
        <v>0.12057416267942586</v>
      </c>
      <c r="M34" s="133">
        <f>IF(B34="","",SUMIFS('Stock Guide'!$T:$T,'Stock Guide'!$B:$B,B34))</f>
        <v>4.2000000000000003E-2</v>
      </c>
      <c r="N34" s="138">
        <f>IFERROR(IF(B34="","",AVERAGEIFS('Stock Guide'!$U:$U,'Stock Guide'!$B:$B,B34)),"-")</f>
        <v>-8.0914687774000002E-2</v>
      </c>
      <c r="O34" s="138">
        <f>IFERROR(IF(B34="","",AVERAGEIFS('Stock Guide'!$V:$V,'Stock Guide'!$B:$B,B34)),"-")</f>
        <v>-0.13011970882000001</v>
      </c>
      <c r="P34" s="138">
        <f>IFERROR(IF(B34="","",AVERAGEIFS('Stock Guide'!$W:$W,'Stock Guide'!$B:$B,B34)),"-")</f>
        <v>-4.4836862943000003E-2</v>
      </c>
    </row>
    <row r="35" spans="2:16" ht="16.5" customHeight="1" x14ac:dyDescent="0.2">
      <c r="B35" s="131" t="s">
        <v>724</v>
      </c>
      <c r="C35" s="132" t="str">
        <f>IF(B35="","",(VLOOKUP(B35,'Stock Guide'!$B:$D,3,0)))</f>
        <v>V2 Prime Properties FII</v>
      </c>
      <c r="D35" s="133">
        <f>IF(B35="","",SUMIFS('Stock Guide'!$J:$J,'Stock Guide'!$B:$B,B35))</f>
        <v>20.3</v>
      </c>
      <c r="E35" s="134">
        <f>IF(B35="","",SUMIFS('Stock Guide'!$H:$H,'Stock Guide'!$B:$B,B35))</f>
        <v>0</v>
      </c>
      <c r="F35" s="135">
        <f>IF(B35="","",SUMIFS('Stock Guide'!I:I,'Stock Guide'!$B:$B,B35))</f>
        <v>94887.620922999995</v>
      </c>
      <c r="G35" s="136">
        <f>IF(B35="","",SUMIFS('Stock Guide'!$M:$M,'Stock Guide'!$B:$B,B35))</f>
        <v>148518271.30000001</v>
      </c>
      <c r="H35" s="136">
        <f>IF(B35="","",SUMIFS('Stock Guide'!$N:$N,'Stock Guide'!$B:$B,B35))</f>
        <v>301352604.98000002</v>
      </c>
      <c r="I35" s="137">
        <f>IF(B35="","",SUMIFS('Stock Guide'!$O:$O,'Stock Guide'!$B:$B,B35))</f>
        <v>0.49283885005691846</v>
      </c>
      <c r="J35" s="137">
        <f>IF(B35="","",SUMIFS('Stock Guide'!$P:$P,'Stock Guide'!$B:$B,B35))</f>
        <v>0.38830167837000001</v>
      </c>
      <c r="K35" s="134">
        <f>IF(B35="","",SUMIFS('Stock Guide'!$Q:$Q,'Stock Guide'!$B:$B,B35))</f>
        <v>0</v>
      </c>
      <c r="L35" s="134">
        <f>IF(B35="","",SUMIFS('Stock Guide'!$R:$R,'Stock Guide'!$B:$B,B35))</f>
        <v>0</v>
      </c>
      <c r="M35" s="133">
        <f>IF(B35="","",SUMIFS('Stock Guide'!$T:$T,'Stock Guide'!$B:$B,B35))</f>
        <v>0</v>
      </c>
      <c r="N35" s="138">
        <f>IFERROR(IF(B35="","",AVERAGEIFS('Stock Guide'!$U:$U,'Stock Guide'!$B:$B,B35)),"-")</f>
        <v>1.6016016016000001E-2</v>
      </c>
      <c r="O35" s="138">
        <f>IFERROR(IF(B35="","",AVERAGEIFS('Stock Guide'!$V:$V,'Stock Guide'!$B:$B,B35)),"-")</f>
        <v>0.25696594427000002</v>
      </c>
      <c r="P35" s="138">
        <f>IFERROR(IF(B35="","",AVERAGEIFS('Stock Guide'!$W:$W,'Stock Guide'!$B:$B,B35)),"-")</f>
        <v>0.56153846153999998</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x14ac:dyDescent="0.2">
      <c r="B69" s="131"/>
      <c r="C69" s="132"/>
      <c r="D69" s="133"/>
      <c r="E69" s="134"/>
      <c r="F69" s="135"/>
      <c r="G69" s="136"/>
      <c r="H69" s="136" t="str">
        <f>IF(B69="","",SUMIFS('Stock Guide'!$N:$N,'Stock Guide'!$B:$B,B69))</f>
        <v/>
      </c>
      <c r="I69" s="137"/>
      <c r="J69" s="137"/>
      <c r="K69" s="134"/>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x14ac:dyDescent="0.2">
      <c r="B80" s="131"/>
      <c r="C80" s="132"/>
      <c r="D80" s="133"/>
      <c r="E80" s="134"/>
      <c r="F80" s="135"/>
      <c r="G80" s="136"/>
      <c r="H80" s="136" t="str">
        <f>IF(B80="","",SUMIFS('Stock Guide'!$N:$N,'Stock Guide'!$B:$B,B80))</f>
        <v/>
      </c>
      <c r="I80" s="137"/>
      <c r="J80" s="137"/>
      <c r="K80" s="134"/>
      <c r="L80" s="134"/>
      <c r="M80" s="133"/>
      <c r="N80" s="138"/>
      <c r="O80" s="138"/>
      <c r="P80" s="138"/>
    </row>
    <row r="81" spans="2:16" x14ac:dyDescent="0.2">
      <c r="B81" s="131"/>
      <c r="C81" s="132"/>
      <c r="D81" s="133"/>
      <c r="E81" s="134"/>
      <c r="F81" s="135"/>
      <c r="G81" s="136"/>
      <c r="H81" s="136" t="str">
        <f>IF(B81="","",SUMIFS('Stock Guide'!$N:$N,'Stock Guide'!$B:$B,B81))</f>
        <v/>
      </c>
      <c r="I81" s="137"/>
      <c r="J81" s="137"/>
      <c r="K81" s="134"/>
      <c r="L81" s="134"/>
      <c r="M81" s="133"/>
      <c r="N81" s="138"/>
      <c r="O81" s="138"/>
      <c r="P81" s="138"/>
    </row>
    <row r="82" spans="2:16"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D3068A84-8EBA-4806-B2E0-1900E4AF5693}"/>
  <mergeCells count="4">
    <mergeCell ref="B6:C6"/>
    <mergeCell ref="B8:C8"/>
    <mergeCell ref="B4:C4"/>
    <mergeCell ref="B7:C7"/>
  </mergeCells>
  <conditionalFormatting sqref="N10:O69">
    <cfRule type="cellIs" dxfId="153" priority="31" operator="lessThan">
      <formula>0</formula>
    </cfRule>
    <cfRule type="cellIs" dxfId="152" priority="32" operator="greaterThan">
      <formula>0</formula>
    </cfRule>
  </conditionalFormatting>
  <conditionalFormatting sqref="N8:P8">
    <cfRule type="cellIs" dxfId="151" priority="7" operator="lessThan">
      <formula>0</formula>
    </cfRule>
    <cfRule type="cellIs" dxfId="150" priority="8" operator="greaterThan">
      <formula>0</formula>
    </cfRule>
  </conditionalFormatting>
  <conditionalFormatting sqref="P10:P69">
    <cfRule type="cellIs" dxfId="149" priority="5" operator="lessThan">
      <formula>0</formula>
    </cfRule>
    <cfRule type="cellIs" dxfId="148" priority="6" operator="greaterThan">
      <formula>0</formula>
    </cfRule>
  </conditionalFormatting>
  <conditionalFormatting sqref="N70:O82">
    <cfRule type="cellIs" dxfId="147" priority="3" operator="lessThan">
      <formula>0</formula>
    </cfRule>
    <cfRule type="cellIs" dxfId="146" priority="4" operator="greaterThan">
      <formula>0</formula>
    </cfRule>
  </conditionalFormatting>
  <conditionalFormatting sqref="P70:P82">
    <cfRule type="cellIs" dxfId="145" priority="1" operator="lessThan">
      <formula>0</formula>
    </cfRule>
    <cfRule type="cellIs" dxfId="144" priority="2" operator="greaterThan">
      <formula>0</formula>
    </cfRule>
  </conditionalFormatting>
  <hyperlinks>
    <hyperlink ref="P2" location="'Stock Guide'!A1" display="Stock Guide" xr:uid="{01D8EAE7-49E7-45BC-9D0D-253AEEF296B3}"/>
    <hyperlink ref="O2" location="Menu!A1" display="Menu" xr:uid="{6B901F7C-931E-4A08-8D66-720FF11D1D17}"/>
  </hyperlinks>
  <pageMargins left="0.7" right="0.7" top="0.75" bottom="0.75" header="0.3" footer="0.3"/>
  <pageSetup fitToWidth="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BAF1-A664-4CF7-AB78-B8D7F3D17A9C}">
  <sheetPr codeName="Sheet7">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34"/>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Galpão Logístico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65</v>
      </c>
      <c r="C8" s="271"/>
      <c r="D8" s="170" t="s">
        <v>44</v>
      </c>
      <c r="E8" s="57">
        <f>SUMIFS('Stock Guide'!$H:$H,'Stock Guide'!$G:$G,B8)</f>
        <v>0.18023999999999998</v>
      </c>
      <c r="F8" s="171">
        <f>AVERAGEIFS('Stock Guide'!I:I,'Stock Guide'!$G:$G,B8)</f>
        <v>3125206.5921148397</v>
      </c>
      <c r="G8" s="171">
        <f>AVERAGEIFS('Stock Guide'!$M:$M,'Stock Guide'!$G:$G,B8)</f>
        <v>1317199164.3531997</v>
      </c>
      <c r="H8" s="171">
        <f>AVERAGEIFS('Stock Guide'!$N:$N,'Stock Guide'!$G:$G,B8)</f>
        <v>1549023277.3996</v>
      </c>
      <c r="I8" s="172">
        <f>AVERAGEIFS('Stock Guide'!$O:$O,'Stock Guide'!$G:$G,B8)</f>
        <v>0.79534333503825971</v>
      </c>
      <c r="J8" s="172">
        <f>AVERAGEIFS('Stock Guide'!$P:$P,'Stock Guide'!$G:$G,B8)</f>
        <v>0.87615469633200005</v>
      </c>
      <c r="K8" s="57">
        <f>AVERAGEIFS('Stock Guide'!$Q:$Q,'Stock Guide'!$G:$G,B8)</f>
        <v>0.11209998475856002</v>
      </c>
      <c r="L8" s="57">
        <f>AVERAGEIFS('Stock Guide'!$R:$R,'Stock Guide'!$G:$G,B8)</f>
        <v>0.10854653427722952</v>
      </c>
      <c r="M8" s="170" t="s">
        <v>44</v>
      </c>
      <c r="N8" s="57">
        <f>AVERAGEIFS('Stock Guide'!$U:$U,'Stock Guide'!$G:$G,$B8)</f>
        <v>-2.7476579492919199E-2</v>
      </c>
      <c r="O8" s="57">
        <f>AVERAGEIFS('Stock Guide'!$V:$V,'Stock Guide'!$G:$G,$B8)</f>
        <v>-4.5070883354636007E-2</v>
      </c>
      <c r="P8" s="57">
        <f>AVERAGEIFS('Stock Guide'!$W:$W,'Stock Guide'!$G:$G,$B8)</f>
        <v>7.659198502285601E-2</v>
      </c>
    </row>
    <row r="9" spans="1:16" s="5" customFormat="1" ht="16.5" customHeight="1" x14ac:dyDescent="0.2">
      <c r="A9" s="18"/>
      <c r="B9" s="118" t="s">
        <v>11</v>
      </c>
      <c r="C9" s="128" t="s">
        <v>65</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362</v>
      </c>
      <c r="C10" s="132" t="str">
        <f>IF(B10="","",(VLOOKUP(B10,'Stock Guide'!$B:$D,3,0)))</f>
        <v xml:space="preserve">Az Quest Panorama Logística FII </v>
      </c>
      <c r="D10" s="133">
        <f>IF(B10="","",SUMIFS('Stock Guide'!$J:$J,'Stock Guide'!$B:$B,B10))</f>
        <v>7.35</v>
      </c>
      <c r="E10" s="134">
        <f>IF(B10="","",SUMIFS('Stock Guide'!$H:$H,'Stock Guide'!$B:$B,B10))</f>
        <v>2.0799999999999998E-3</v>
      </c>
      <c r="F10" s="135">
        <f>IF(B10="","",SUMIFS('Stock Guide'!I:I,'Stock Guide'!$B:$B,B10))</f>
        <v>663731.47</v>
      </c>
      <c r="G10" s="136">
        <f>IF(B10="","",SUMIFS('Stock Guide'!$M:$M,'Stock Guide'!$B:$B,B10))</f>
        <v>308131764.14999998</v>
      </c>
      <c r="H10" s="136">
        <f>IF(B10="","",SUMIFS('Stock Guide'!$N:$N,'Stock Guide'!$B:$B,B10))</f>
        <v>360753999.85000002</v>
      </c>
      <c r="I10" s="137">
        <f>IF(B10="","",SUMIFS('Stock Guide'!$O:$O,'Stock Guide'!$B:$B,B10))</f>
        <v>0.85413263408893558</v>
      </c>
      <c r="J10" s="137">
        <f>IF(B10="","",SUMIFS('Stock Guide'!$P:$P,'Stock Guide'!$B:$B,B10))</f>
        <v>0.89178953473</v>
      </c>
      <c r="K10" s="134">
        <f>IF(B10="","",SUMIFS('Stock Guide'!$Q:$Q,'Stock Guide'!$B:$B,B10))</f>
        <v>0.12380952381</v>
      </c>
      <c r="L10" s="134">
        <f>IF(B10="","",SUMIFS('Stock Guide'!$R:$R,'Stock Guide'!$B:$B,B10))</f>
        <v>0.12244897959183675</v>
      </c>
      <c r="M10" s="133">
        <f>IF(B10="","",SUMIFS('Stock Guide'!$T:$T,'Stock Guide'!$B:$B,B10))</f>
        <v>7.4999999999999997E-2</v>
      </c>
      <c r="N10" s="138">
        <f>IFERROR(IF(B10="","",AVERAGEIFS('Stock Guide'!$U:$U,'Stock Guide'!$B:$B,B10)),"-")</f>
        <v>-3.3898305081999998E-3</v>
      </c>
      <c r="O10" s="138">
        <f>IFERROR(IF(B10="","",AVERAGEIFS('Stock Guide'!$V:$V,'Stock Guide'!$B:$B,B10)),"-")</f>
        <v>3.0628095372000001E-2</v>
      </c>
      <c r="P10" s="138">
        <f>IFERROR(IF(B10="","",AVERAGEIFS('Stock Guide'!$W:$W,'Stock Guide'!$B:$B,B10)),"-")</f>
        <v>9.0816400448999995E-2</v>
      </c>
    </row>
    <row r="11" spans="1:16" ht="16.5" customHeight="1" x14ac:dyDescent="0.2">
      <c r="B11" s="131" t="s">
        <v>378</v>
      </c>
      <c r="C11" s="132" t="str">
        <f>IF(B11="","",(VLOOKUP(B11,'Stock Guide'!$B:$D,3,0)))</f>
        <v>Bluemacaw Logística FII</v>
      </c>
      <c r="D11" s="133">
        <f>IF(B11="","",SUMIFS('Stock Guide'!$J:$J,'Stock Guide'!$B:$B,B11))</f>
        <v>30.69</v>
      </c>
      <c r="E11" s="134">
        <f>IF(B11="","",SUMIFS('Stock Guide'!$H:$H,'Stock Guide'!$B:$B,B11))</f>
        <v>0</v>
      </c>
      <c r="F11" s="135">
        <f>IF(B11="","",SUMIFS('Stock Guide'!I:I,'Stock Guide'!$B:$B,B11))</f>
        <v>273254.03031</v>
      </c>
      <c r="G11" s="136">
        <f>IF(B11="","",SUMIFS('Stock Guide'!$M:$M,'Stock Guide'!$B:$B,B11))</f>
        <v>142555050</v>
      </c>
      <c r="H11" s="136">
        <f>IF(B11="","",SUMIFS('Stock Guide'!$N:$N,'Stock Guide'!$B:$B,B11))</f>
        <v>213489177.11000001</v>
      </c>
      <c r="I11" s="137">
        <f>IF(B11="","",SUMIFS('Stock Guide'!$O:$O,'Stock Guide'!$B:$B,B11))</f>
        <v>0.66773900171318146</v>
      </c>
      <c r="J11" s="137">
        <f>IF(B11="","",SUMIFS('Stock Guide'!$P:$P,'Stock Guide'!$B:$B,B11))</f>
        <v>0.74207244085000001</v>
      </c>
      <c r="K11" s="134">
        <f>IF(B11="","",SUMIFS('Stock Guide'!$Q:$Q,'Stock Guide'!$B:$B,B11))</f>
        <v>0.15170739655000001</v>
      </c>
      <c r="L11" s="134">
        <f>IF(B11="","",SUMIFS('Stock Guide'!$R:$R,'Stock Guide'!$B:$B,B11))</f>
        <v>0.15249266862170086</v>
      </c>
      <c r="M11" s="133">
        <f>IF(B11="","",SUMIFS('Stock Guide'!$T:$T,'Stock Guide'!$B:$B,B11))</f>
        <v>0.39</v>
      </c>
      <c r="N11" s="138">
        <f>IFERROR(IF(B11="","",AVERAGEIFS('Stock Guide'!$U:$U,'Stock Guide'!$B:$B,B11)),"-")</f>
        <v>-0.10446834721000001</v>
      </c>
      <c r="O11" s="138">
        <f>IFERROR(IF(B11="","",AVERAGEIFS('Stock Guide'!$V:$V,'Stock Guide'!$B:$B,B11)),"-")</f>
        <v>-2.6455113398999999E-2</v>
      </c>
      <c r="P11" s="138">
        <f>IFERROR(IF(B11="","",AVERAGEIFS('Stock Guide'!$W:$W,'Stock Guide'!$B:$B,B11)),"-")</f>
        <v>0.11035083683999999</v>
      </c>
    </row>
    <row r="12" spans="1:16" ht="16.5" customHeight="1" x14ac:dyDescent="0.2">
      <c r="B12" s="131" t="s">
        <v>23</v>
      </c>
      <c r="C12" s="132" t="str">
        <f>IF(B12="","",(VLOOKUP(B12,'Stock Guide'!$B:$D,3,0)))</f>
        <v>Bresco Logística FII</v>
      </c>
      <c r="D12" s="133">
        <f>IF(B12="","",SUMIFS('Stock Guide'!$J:$J,'Stock Guide'!$B:$B,B12))</f>
        <v>111.84</v>
      </c>
      <c r="E12" s="134">
        <f>IF(B12="","",SUMIFS('Stock Guide'!$H:$H,'Stock Guide'!$B:$B,B12))</f>
        <v>1.363E-2</v>
      </c>
      <c r="F12" s="135">
        <f>IF(B12="","",SUMIFS('Stock Guide'!I:I,'Stock Guide'!$B:$B,B12))</f>
        <v>5135986.3602999998</v>
      </c>
      <c r="G12" s="136">
        <f>IF(B12="","",SUMIFS('Stock Guide'!$M:$M,'Stock Guide'!$B:$B,B12))</f>
        <v>2015502527.5</v>
      </c>
      <c r="H12" s="136">
        <f>IF(B12="","",SUMIFS('Stock Guide'!$N:$N,'Stock Guide'!$B:$B,B12))</f>
        <v>2070132105.4000001</v>
      </c>
      <c r="I12" s="137">
        <f>IF(B12="","",SUMIFS('Stock Guide'!$O:$O,'Stock Guide'!$B:$B,B12))</f>
        <v>0.97361058371226783</v>
      </c>
      <c r="J12" s="137">
        <f>IF(B12="","",SUMIFS('Stock Guide'!$P:$P,'Stock Guide'!$B:$B,B12))</f>
        <v>1.0053637572</v>
      </c>
      <c r="K12" s="134">
        <f>IF(B12="","",SUMIFS('Stock Guide'!$Q:$Q,'Stock Guide'!$B:$B,B12))</f>
        <v>9.7639484977999999E-2</v>
      </c>
      <c r="L12" s="134">
        <f>IF(B12="","",SUMIFS('Stock Guide'!$R:$R,'Stock Guide'!$B:$B,B12))</f>
        <v>9.7639484978540775E-2</v>
      </c>
      <c r="M12" s="133">
        <f>IF(B12="","",SUMIFS('Stock Guide'!$T:$T,'Stock Guide'!$B:$B,B12))</f>
        <v>0.91</v>
      </c>
      <c r="N12" s="138">
        <f>IFERROR(IF(B12="","",AVERAGEIFS('Stock Guide'!$U:$U,'Stock Guide'!$B:$B,B12)),"-")</f>
        <v>-1.9291476674999999E-2</v>
      </c>
      <c r="O12" s="138">
        <f>IFERROR(IF(B12="","",AVERAGEIFS('Stock Guide'!$V:$V,'Stock Guide'!$B:$B,B12)),"-")</f>
        <v>1.0814625611E-2</v>
      </c>
      <c r="P12" s="138">
        <f>IFERROR(IF(B12="","",AVERAGEIFS('Stock Guide'!$W:$W,'Stock Guide'!$B:$B,B12)),"-")</f>
        <v>0.12894550842999999</v>
      </c>
    </row>
    <row r="13" spans="1:16" ht="16.5" customHeight="1" x14ac:dyDescent="0.2">
      <c r="B13" s="131" t="s">
        <v>24</v>
      </c>
      <c r="C13" s="132" t="str">
        <f>IF(B13="","",(VLOOKUP(B13,'Stock Guide'!$B:$D,3,0)))</f>
        <v>BTG Pactual Logística FII</v>
      </c>
      <c r="D13" s="133">
        <f>IF(B13="","",SUMIFS('Stock Guide'!$J:$J,'Stock Guide'!$B:$B,B13))</f>
        <v>98.37</v>
      </c>
      <c r="E13" s="134">
        <f>IF(B13="","",SUMIFS('Stock Guide'!$H:$H,'Stock Guide'!$B:$B,B13))</f>
        <v>4.5839999999999999E-2</v>
      </c>
      <c r="F13" s="135">
        <f>IF(B13="","",SUMIFS('Stock Guide'!I:I,'Stock Guide'!$B:$B,B13))</f>
        <v>12468437.922</v>
      </c>
      <c r="G13" s="136">
        <f>IF(B13="","",SUMIFS('Stock Guide'!$M:$M,'Stock Guide'!$B:$B,B13))</f>
        <v>6978393474.6000004</v>
      </c>
      <c r="H13" s="136">
        <f>IF(B13="","",SUMIFS('Stock Guide'!$N:$N,'Stock Guide'!$B:$B,B13))</f>
        <v>7580921710.8999996</v>
      </c>
      <c r="I13" s="137">
        <f>IF(B13="","",SUMIFS('Stock Guide'!$O:$O,'Stock Guide'!$B:$B,B13))</f>
        <v>0.92052045130163107</v>
      </c>
      <c r="J13" s="137">
        <f>IF(B13="","",SUMIFS('Stock Guide'!$P:$P,'Stock Guide'!$B:$B,B13))</f>
        <v>0.99538269783</v>
      </c>
      <c r="K13" s="134">
        <f>IF(B13="","",SUMIFS('Stock Guide'!$Q:$Q,'Stock Guide'!$B:$B,B13))</f>
        <v>9.7590728880999997E-2</v>
      </c>
      <c r="L13" s="134">
        <f>IF(B13="","",SUMIFS('Stock Guide'!$R:$R,'Stock Guide'!$B:$B,B13))</f>
        <v>9.88106129917658E-2</v>
      </c>
      <c r="M13" s="133">
        <f>IF(B13="","",SUMIFS('Stock Guide'!$T:$T,'Stock Guide'!$B:$B,B13))</f>
        <v>0.81</v>
      </c>
      <c r="N13" s="138">
        <f>IFERROR(IF(B13="","",AVERAGEIFS('Stock Guide'!$U:$U,'Stock Guide'!$B:$B,B13)),"-")</f>
        <v>-1.6233044410000001E-2</v>
      </c>
      <c r="O13" s="138">
        <f>IFERROR(IF(B13="","",AVERAGEIFS('Stock Guide'!$V:$V,'Stock Guide'!$B:$B,B13)),"-")</f>
        <v>2.2844674291000001E-2</v>
      </c>
      <c r="P13" s="138">
        <f>IFERROR(IF(B13="","",AVERAGEIFS('Stock Guide'!$W:$W,'Stock Guide'!$B:$B,B13)),"-")</f>
        <v>9.3649124868999997E-2</v>
      </c>
    </row>
    <row r="14" spans="1:16" ht="16.5" customHeight="1" x14ac:dyDescent="0.2">
      <c r="B14" s="131" t="s">
        <v>407</v>
      </c>
      <c r="C14" s="132" t="str">
        <f>IF(B14="","",(VLOOKUP(B14,'Stock Guide'!$B:$D,3,0)))</f>
        <v>Capitânia Logística FII</v>
      </c>
      <c r="D14" s="133">
        <f>IF(B14="","",SUMIFS('Stock Guide'!$J:$J,'Stock Guide'!$B:$B,B14))</f>
        <v>10.95</v>
      </c>
      <c r="E14" s="134">
        <f>IF(B14="","",SUMIFS('Stock Guide'!$H:$H,'Stock Guide'!$B:$B,B14))</f>
        <v>0</v>
      </c>
      <c r="F14" s="135">
        <f>IF(B14="","",SUMIFS('Stock Guide'!I:I,'Stock Guide'!$B:$B,B14))</f>
        <v>124916.47199999999</v>
      </c>
      <c r="G14" s="136">
        <f>IF(B14="","",SUMIFS('Stock Guide'!$M:$M,'Stock Guide'!$B:$B,B14))</f>
        <v>617095462.5</v>
      </c>
      <c r="H14" s="136">
        <f>IF(B14="","",SUMIFS('Stock Guide'!$N:$N,'Stock Guide'!$B:$B,B14))</f>
        <v>603664659.27999997</v>
      </c>
      <c r="I14" s="137">
        <f>IF(B14="","",SUMIFS('Stock Guide'!$O:$O,'Stock Guide'!$B:$B,B14))</f>
        <v>1.0222487816928345</v>
      </c>
      <c r="J14" s="137">
        <f>IF(B14="","",SUMIFS('Stock Guide'!$P:$P,'Stock Guide'!$B:$B,B14))</f>
        <v>1.1878149848999999</v>
      </c>
      <c r="K14" s="134">
        <f>IF(B14="","",SUMIFS('Stock Guide'!$Q:$Q,'Stock Guide'!$B:$B,B14))</f>
        <v>0.15799086758</v>
      </c>
      <c r="L14" s="134">
        <f>IF(B14="","",SUMIFS('Stock Guide'!$R:$R,'Stock Guide'!$B:$B,B14))</f>
        <v>0.14246575342465753</v>
      </c>
      <c r="M14" s="133">
        <f>IF(B14="","",SUMIFS('Stock Guide'!$T:$T,'Stock Guide'!$B:$B,B14))</f>
        <v>0.13</v>
      </c>
      <c r="N14" s="138">
        <f>IFERROR(IF(B14="","",AVERAGEIFS('Stock Guide'!$U:$U,'Stock Guide'!$B:$B,B14)),"-")</f>
        <v>-1.4690585567E-3</v>
      </c>
      <c r="O14" s="138">
        <f>IFERROR(IF(B14="","",AVERAGEIFS('Stock Guide'!$V:$V,'Stock Guide'!$B:$B,B14)),"-")</f>
        <v>-4.9507667024000002E-2</v>
      </c>
      <c r="P14" s="138">
        <f>IFERROR(IF(B14="","",AVERAGEIFS('Stock Guide'!$W:$W,'Stock Guide'!$B:$B,B14)),"-")</f>
        <v>0.13296677904000001</v>
      </c>
    </row>
    <row r="15" spans="1:16" ht="16.5" customHeight="1" x14ac:dyDescent="0.2">
      <c r="B15" s="131" t="s">
        <v>796</v>
      </c>
      <c r="C15" s="132" t="str">
        <f>IF(B15="","",(VLOOKUP(B15,'Stock Guide'!$B:$D,3,0)))</f>
        <v>Caixa Sequóia Logística FII</v>
      </c>
      <c r="D15" s="133">
        <f>IF(B15="","",SUMIFS('Stock Guide'!$J:$J,'Stock Guide'!$B:$B,B15))</f>
        <v>220</v>
      </c>
      <c r="E15" s="134">
        <f>IF(B15="","",SUMIFS('Stock Guide'!$H:$H,'Stock Guide'!$B:$B,B15))</f>
        <v>0</v>
      </c>
      <c r="F15" s="135">
        <f>IF(B15="","",SUMIFS('Stock Guide'!I:I,'Stock Guide'!$B:$B,B15))</f>
        <v>69439.177383999995</v>
      </c>
      <c r="G15" s="136">
        <f>IF(B15="","",SUMIFS('Stock Guide'!$M:$M,'Stock Guide'!$B:$B,B15))</f>
        <v>11791340</v>
      </c>
      <c r="H15" s="136">
        <f>IF(B15="","",SUMIFS('Stock Guide'!$N:$N,'Stock Guide'!$B:$B,B15))</f>
        <v>22181157.370000001</v>
      </c>
      <c r="I15" s="137">
        <f>IF(B15="","",SUMIFS('Stock Guide'!$O:$O,'Stock Guide'!$B:$B,B15))</f>
        <v>0.53159263979379989</v>
      </c>
      <c r="J15" s="137">
        <f>IF(B15="","",SUMIFS('Stock Guide'!$P:$P,'Stock Guide'!$B:$B,B15))</f>
        <v>0.83198747619000002</v>
      </c>
      <c r="K15" s="134">
        <f>IF(B15="","",SUMIFS('Stock Guide'!$Q:$Q,'Stock Guide'!$B:$B,B15))</f>
        <v>3.5160540701999997E-2</v>
      </c>
      <c r="L15" s="134">
        <f>IF(B15="","",SUMIFS('Stock Guide'!$R:$R,'Stock Guide'!$B:$B,B15))</f>
        <v>5.3968023989999996E-2</v>
      </c>
      <c r="M15" s="133">
        <f>IF(B15="","",SUMIFS('Stock Guide'!$T:$T,'Stock Guide'!$B:$B,B15))</f>
        <v>0.98941377315000001</v>
      </c>
      <c r="N15" s="138">
        <f>IFERROR(IF(B15="","",AVERAGEIFS('Stock Guide'!$U:$U,'Stock Guide'!$B:$B,B15)),"-")</f>
        <v>-2.6551197618999999E-2</v>
      </c>
      <c r="O15" s="138">
        <f>IFERROR(IF(B15="","",AVERAGEIFS('Stock Guide'!$V:$V,'Stock Guide'!$B:$B,B15)),"-")</f>
        <v>-0.35022424548999997</v>
      </c>
      <c r="P15" s="138">
        <f>IFERROR(IF(B15="","",AVERAGEIFS('Stock Guide'!$W:$W,'Stock Guide'!$B:$B,B15)),"-")</f>
        <v>-0.20818248845000001</v>
      </c>
    </row>
    <row r="16" spans="1:16" ht="16.5" customHeight="1" x14ac:dyDescent="0.2">
      <c r="B16" s="131" t="s">
        <v>436</v>
      </c>
      <c r="C16" s="132" t="str">
        <f>IF(B16="","",(VLOOKUP(B16,'Stock Guide'!$B:$D,3,0)))</f>
        <v>Europar FII</v>
      </c>
      <c r="D16" s="133">
        <f>IF(B16="","",SUMIFS('Stock Guide'!$J:$J,'Stock Guide'!$B:$B,B16))</f>
        <v>288.62</v>
      </c>
      <c r="E16" s="134">
        <f>IF(B16="","",SUMIFS('Stock Guide'!$H:$H,'Stock Guide'!$B:$B,B16))</f>
        <v>0</v>
      </c>
      <c r="F16" s="135">
        <f>IF(B16="","",SUMIFS('Stock Guide'!I:I,'Stock Guide'!$B:$B,B16))</f>
        <v>42870.036154000001</v>
      </c>
      <c r="G16" s="136">
        <f>IF(B16="","",SUMIFS('Stock Guide'!$M:$M,'Stock Guide'!$B:$B,B16))</f>
        <v>118300431.45999999</v>
      </c>
      <c r="H16" s="136">
        <f>IF(B16="","",SUMIFS('Stock Guide'!$N:$N,'Stock Guide'!$B:$B,B16))</f>
        <v>161895063.69</v>
      </c>
      <c r="I16" s="137">
        <f>IF(B16="","",SUMIFS('Stock Guide'!$O:$O,'Stock Guide'!$B:$B,B16))</f>
        <v>0.73072290632976988</v>
      </c>
      <c r="J16" s="137">
        <f>IF(B16="","",SUMIFS('Stock Guide'!$P:$P,'Stock Guide'!$B:$B,B16))</f>
        <v>0.74930507542000002</v>
      </c>
      <c r="K16" s="134">
        <f>IF(B16="","",SUMIFS('Stock Guide'!$Q:$Q,'Stock Guide'!$B:$B,B16))</f>
        <v>9.1019333379999998E-2</v>
      </c>
      <c r="L16" s="134">
        <f>IF(B16="","",SUMIFS('Stock Guide'!$R:$R,'Stock Guide'!$B:$B,B16))</f>
        <v>7.8996604531910458E-2</v>
      </c>
      <c r="M16" s="133">
        <f>IF(B16="","",SUMIFS('Stock Guide'!$T:$T,'Stock Guide'!$B:$B,B16))</f>
        <v>1.9</v>
      </c>
      <c r="N16" s="138">
        <f>IFERROR(IF(B16="","",AVERAGEIFS('Stock Guide'!$U:$U,'Stock Guide'!$B:$B,B16)),"-")</f>
        <v>-6.3226225250999996E-2</v>
      </c>
      <c r="O16" s="138">
        <f>IFERROR(IF(B16="","",AVERAGEIFS('Stock Guide'!$V:$V,'Stock Guide'!$B:$B,B16)),"-")</f>
        <v>1.8431161468000001E-2</v>
      </c>
      <c r="P16" s="138">
        <f>IFERROR(IF(B16="","",AVERAGEIFS('Stock Guide'!$W:$W,'Stock Guide'!$B:$B,B16)),"-")</f>
        <v>0.36310228503999997</v>
      </c>
    </row>
    <row r="17" spans="2:16" ht="16.5" customHeight="1" x14ac:dyDescent="0.2">
      <c r="B17" s="131" t="s">
        <v>451</v>
      </c>
      <c r="C17" s="132" t="str">
        <f>IF(B17="","",(VLOOKUP(B17,'Stock Guide'!$B:$D,3,0)))</f>
        <v>Industrial Do Brasil FII</v>
      </c>
      <c r="D17" s="133">
        <f>IF(B17="","",SUMIFS('Stock Guide'!$J:$J,'Stock Guide'!$B:$B,B17))</f>
        <v>420.6</v>
      </c>
      <c r="E17" s="134">
        <f>IF(B17="","",SUMIFS('Stock Guide'!$H:$H,'Stock Guide'!$B:$B,B17))</f>
        <v>0</v>
      </c>
      <c r="F17" s="135">
        <f>IF(B17="","",SUMIFS('Stock Guide'!I:I,'Stock Guide'!$B:$B,B17))</f>
        <v>243546.42138000001</v>
      </c>
      <c r="G17" s="136">
        <f>IF(B17="","",SUMIFS('Stock Guide'!$M:$M,'Stock Guide'!$B:$B,B17))</f>
        <v>288111000</v>
      </c>
      <c r="H17" s="136">
        <f>IF(B17="","",SUMIFS('Stock Guide'!$N:$N,'Stock Guide'!$B:$B,B17))</f>
        <v>407861235.81</v>
      </c>
      <c r="I17" s="137">
        <f>IF(B17="","",SUMIFS('Stock Guide'!$O:$O,'Stock Guide'!$B:$B,B17))</f>
        <v>0.70639466245871663</v>
      </c>
      <c r="J17" s="137">
        <f>IF(B17="","",SUMIFS('Stock Guide'!$P:$P,'Stock Guide'!$B:$B,B17))</f>
        <v>0.80449940322000002</v>
      </c>
      <c r="K17" s="134">
        <f>IF(B17="","",SUMIFS('Stock Guide'!$Q:$Q,'Stock Guide'!$B:$B,B17))</f>
        <v>8.9491203042999998E-2</v>
      </c>
      <c r="L17" s="134">
        <f>IF(B17="","",SUMIFS('Stock Guide'!$R:$R,'Stock Guide'!$B:$B,B17))</f>
        <v>7.7032810271041363E-2</v>
      </c>
      <c r="M17" s="133">
        <f>IF(B17="","",SUMIFS('Stock Guide'!$T:$T,'Stock Guide'!$B:$B,B17))</f>
        <v>2.7</v>
      </c>
      <c r="N17" s="138">
        <f>IFERROR(IF(B17="","",AVERAGEIFS('Stock Guide'!$U:$U,'Stock Guide'!$B:$B,B17)),"-")</f>
        <v>-3.7836848605999999E-2</v>
      </c>
      <c r="O17" s="138">
        <f>IFERROR(IF(B17="","",AVERAGEIFS('Stock Guide'!$V:$V,'Stock Guide'!$B:$B,B17)),"-")</f>
        <v>-7.6574403836999996E-2</v>
      </c>
      <c r="P17" s="138">
        <f>IFERROR(IF(B17="","",AVERAGEIFS('Stock Guide'!$W:$W,'Stock Guide'!$B:$B,B17)),"-")</f>
        <v>-9.9890723419999994E-2</v>
      </c>
    </row>
    <row r="18" spans="2:16" ht="16.5" customHeight="1" x14ac:dyDescent="0.2">
      <c r="B18" s="131" t="s">
        <v>471</v>
      </c>
      <c r="C18" s="132" t="str">
        <f>IF(B18="","",(VLOOKUP(B18,'Stock Guide'!$B:$D,3,0)))</f>
        <v>GGR Covepi Renda FII</v>
      </c>
      <c r="D18" s="133">
        <f>IF(B18="","",SUMIFS('Stock Guide'!$J:$J,'Stock Guide'!$B:$B,B18))</f>
        <v>9.06</v>
      </c>
      <c r="E18" s="134">
        <f>IF(B18="","",SUMIFS('Stock Guide'!$H:$H,'Stock Guide'!$B:$B,B18))</f>
        <v>1.312E-2</v>
      </c>
      <c r="F18" s="135">
        <f>IF(B18="","",SUMIFS('Stock Guide'!I:I,'Stock Guide'!$B:$B,B18))</f>
        <v>14955584.321</v>
      </c>
      <c r="G18" s="136">
        <f>IF(B18="","",SUMIFS('Stock Guide'!$M:$M,'Stock Guide'!$B:$B,B18))</f>
        <v>1941074775.8</v>
      </c>
      <c r="H18" s="136">
        <f>IF(B18="","",SUMIFS('Stock Guide'!$N:$N,'Stock Guide'!$B:$B,B18))</f>
        <v>2378493625.6999998</v>
      </c>
      <c r="I18" s="137">
        <f>IF(B18="","",SUMIFS('Stock Guide'!$O:$O,'Stock Guide'!$B:$B,B18))</f>
        <v>0.8160941676809137</v>
      </c>
      <c r="J18" s="137">
        <f>IF(B18="","",SUMIFS('Stock Guide'!$P:$P,'Stock Guide'!$B:$B,B18))</f>
        <v>0.88231353929</v>
      </c>
      <c r="K18" s="134">
        <f>IF(B18="","",SUMIFS('Stock Guide'!$Q:$Q,'Stock Guide'!$B:$B,B18))</f>
        <v>0.13245033112999999</v>
      </c>
      <c r="L18" s="134">
        <f>IF(B18="","",SUMIFS('Stock Guide'!$R:$R,'Stock Guide'!$B:$B,B18))</f>
        <v>0.13245033112582782</v>
      </c>
      <c r="M18" s="133">
        <f>IF(B18="","",SUMIFS('Stock Guide'!$T:$T,'Stock Guide'!$B:$B,B18))</f>
        <v>0.1</v>
      </c>
      <c r="N18" s="138">
        <f>IFERROR(IF(B18="","",AVERAGEIFS('Stock Guide'!$U:$U,'Stock Guide'!$B:$B,B18)),"-")</f>
        <v>-8.7548712888999999E-2</v>
      </c>
      <c r="O18" s="138">
        <f>IFERROR(IF(B18="","",AVERAGEIFS('Stock Guide'!$V:$V,'Stock Guide'!$B:$B,B18)),"-")</f>
        <v>-8.9866661665000003E-3</v>
      </c>
      <c r="P18" s="138">
        <f>IFERROR(IF(B18="","",AVERAGEIFS('Stock Guide'!$W:$W,'Stock Guide'!$B:$B,B18)),"-")</f>
        <v>6.7338015377000002E-2</v>
      </c>
    </row>
    <row r="19" spans="2:16" ht="16.5" customHeight="1" x14ac:dyDescent="0.2">
      <c r="B19" s="131" t="s">
        <v>789</v>
      </c>
      <c r="C19" s="132" t="str">
        <f>IF(B19="","",(VLOOKUP(B19,'Stock Guide'!$B:$D,3,0)))</f>
        <v>-</v>
      </c>
      <c r="D19" s="133">
        <f>IF(B19="","",SUMIFS('Stock Guide'!$J:$J,'Stock Guide'!$B:$B,B19))</f>
        <v>109.45</v>
      </c>
      <c r="E19" s="134">
        <f>IF(B19="","",SUMIFS('Stock Guide'!$H:$H,'Stock Guide'!$B:$B,B19))</f>
        <v>0</v>
      </c>
      <c r="F19" s="135">
        <f>IF(B19="","",SUMIFS('Stock Guide'!I:I,'Stock Guide'!$B:$B,B19))</f>
        <v>52862.427077</v>
      </c>
      <c r="G19" s="136">
        <f>IF(B19="","",SUMIFS('Stock Guide'!$M:$M,'Stock Guide'!$B:$B,B19))</f>
        <v>164722250</v>
      </c>
      <c r="H19" s="136">
        <f>IF(B19="","",SUMIFS('Stock Guide'!$N:$N,'Stock Guide'!$B:$B,B19))</f>
        <v>160995777.77000001</v>
      </c>
      <c r="I19" s="137">
        <f>IF(B19="","",SUMIFS('Stock Guide'!$O:$O,'Stock Guide'!$B:$B,B19))</f>
        <v>1.0231463972634343</v>
      </c>
      <c r="J19" s="137">
        <f>IF(B19="","",SUMIFS('Stock Guide'!$P:$P,'Stock Guide'!$B:$B,B19))</f>
        <v>1.0455132697</v>
      </c>
      <c r="K19" s="134">
        <f>IF(B19="","",SUMIFS('Stock Guide'!$Q:$Q,'Stock Guide'!$B:$B,B19))</f>
        <v>9.3695751485000006E-2</v>
      </c>
      <c r="L19" s="134">
        <f>IF(B19="","",SUMIFS('Stock Guide'!$R:$R,'Stock Guide'!$B:$B,B19))</f>
        <v>0.15897670169026953</v>
      </c>
      <c r="M19" s="133">
        <f>IF(B19="","",SUMIFS('Stock Guide'!$T:$T,'Stock Guide'!$B:$B,B19))</f>
        <v>1.45</v>
      </c>
      <c r="N19" s="138">
        <f>IFERROR(IF(B19="","",AVERAGEIFS('Stock Guide'!$U:$U,'Stock Guide'!$B:$B,B19)),"-")</f>
        <v>9.6630274183999998E-3</v>
      </c>
      <c r="O19" s="138">
        <f>IFERROR(IF(B19="","",AVERAGEIFS('Stock Guide'!$V:$V,'Stock Guide'!$B:$B,B19)),"-")</f>
        <v>9.9966569064999997E-2</v>
      </c>
      <c r="P19" s="138">
        <f>IFERROR(IF(B19="","",AVERAGEIFS('Stock Guide'!$W:$W,'Stock Guide'!$B:$B,B19)),"-")</f>
        <v>0.14652298976</v>
      </c>
    </row>
    <row r="20" spans="2:16" ht="16.5" customHeight="1" x14ac:dyDescent="0.2">
      <c r="B20" s="131" t="s">
        <v>474</v>
      </c>
      <c r="C20" s="132" t="str">
        <f>IF(B20="","",(VLOOKUP(B20,'Stock Guide'!$B:$D,3,0)))</f>
        <v>Icatu Vanguarda GRU Logístico FII</v>
      </c>
      <c r="D20" s="133">
        <f>IF(B20="","",SUMIFS('Stock Guide'!$J:$J,'Stock Guide'!$B:$B,B20))</f>
        <v>8.06</v>
      </c>
      <c r="E20" s="134">
        <f>IF(B20="","",SUMIFS('Stock Guide'!$H:$H,'Stock Guide'!$B:$B,B20))</f>
        <v>0</v>
      </c>
      <c r="F20" s="135">
        <f>IF(B20="","",SUMIFS('Stock Guide'!I:I,'Stock Guide'!$B:$B,B20))</f>
        <v>238942.00154</v>
      </c>
      <c r="G20" s="136">
        <f>IF(B20="","",SUMIFS('Stock Guide'!$M:$M,'Stock Guide'!$B:$B,B20))</f>
        <v>199082000</v>
      </c>
      <c r="H20" s="136">
        <f>IF(B20="","",SUMIFS('Stock Guide'!$N:$N,'Stock Guide'!$B:$B,B20))</f>
        <v>239325462.59</v>
      </c>
      <c r="I20" s="137">
        <f>IF(B20="","",SUMIFS('Stock Guide'!$O:$O,'Stock Guide'!$B:$B,B20))</f>
        <v>0.83184629769652629</v>
      </c>
      <c r="J20" s="137">
        <f>IF(B20="","",SUMIFS('Stock Guide'!$P:$P,'Stock Guide'!$B:$B,B20))</f>
        <v>0.93999128783999997</v>
      </c>
      <c r="K20" s="134">
        <f>IF(B20="","",SUMIFS('Stock Guide'!$Q:$Q,'Stock Guide'!$B:$B,B20))</f>
        <v>0.11910669975</v>
      </c>
      <c r="L20" s="134">
        <f>IF(B20="","",SUMIFS('Stock Guide'!$R:$R,'Stock Guide'!$B:$B,B20))</f>
        <v>0.11910669975186104</v>
      </c>
      <c r="M20" s="133">
        <f>IF(B20="","",SUMIFS('Stock Guide'!$T:$T,'Stock Guide'!$B:$B,B20))</f>
        <v>0.08</v>
      </c>
      <c r="N20" s="138">
        <f>IFERROR(IF(B20="","",AVERAGEIFS('Stock Guide'!$U:$U,'Stock Guide'!$B:$B,B20)),"-")</f>
        <v>-2.657004831E-2</v>
      </c>
      <c r="O20" s="138">
        <f>IFERROR(IF(B20="","",AVERAGEIFS('Stock Guide'!$V:$V,'Stock Guide'!$B:$B,B20)),"-")</f>
        <v>-4.5293107079999999E-2</v>
      </c>
      <c r="P20" s="138">
        <f>IFERROR(IF(B20="","",AVERAGEIFS('Stock Guide'!$W:$W,'Stock Guide'!$B:$B,B20)),"-")</f>
        <v>0.12255915565</v>
      </c>
    </row>
    <row r="21" spans="2:16" ht="16.5" customHeight="1" x14ac:dyDescent="0.2">
      <c r="B21" s="131" t="s">
        <v>783</v>
      </c>
      <c r="C21" s="132" t="str">
        <f>IF(B21="","",(VLOOKUP(B21,'Stock Guide'!$B:$D,3,0)))</f>
        <v>Hedge Brasil Logístico Industrial Fundo de Investimento Imobiliário de Responsab</v>
      </c>
      <c r="D21" s="133">
        <f>IF(B21="","",SUMIFS('Stock Guide'!$J:$J,'Stock Guide'!$B:$B,B21))</f>
        <v>8.5399999999999991</v>
      </c>
      <c r="E21" s="134">
        <f>IF(B21="","",SUMIFS('Stock Guide'!$H:$H,'Stock Guide'!$B:$B,B21))</f>
        <v>0</v>
      </c>
      <c r="F21" s="135">
        <f>IF(B21="","",SUMIFS('Stock Guide'!I:I,'Stock Guide'!$B:$B,B21))</f>
        <v>69261.906000000003</v>
      </c>
      <c r="G21" s="136">
        <f>IF(B21="","",SUMIFS('Stock Guide'!$M:$M,'Stock Guide'!$B:$B,B21))</f>
        <v>224275789.08000001</v>
      </c>
      <c r="H21" s="136">
        <f>IF(B21="","",SUMIFS('Stock Guide'!$N:$N,'Stock Guide'!$B:$B,B21))</f>
        <v>255088732.75999999</v>
      </c>
      <c r="I21" s="137">
        <f>IF(B21="","",SUMIFS('Stock Guide'!$O:$O,'Stock Guide'!$B:$B,B21))</f>
        <v>0.87920695929368897</v>
      </c>
      <c r="J21" s="137">
        <f>IF(B21="","",SUMIFS('Stock Guide'!$P:$P,'Stock Guide'!$B:$B,B21))</f>
        <v>0.98764264522</v>
      </c>
      <c r="K21" s="134">
        <f>IF(B21="","",SUMIFS('Stock Guide'!$Q:$Q,'Stock Guide'!$B:$B,B21))</f>
        <v>0.10257611241</v>
      </c>
      <c r="L21" s="134">
        <f>IF(B21="","",SUMIFS('Stock Guide'!$R:$R,'Stock Guide'!$B:$B,B21))</f>
        <v>0.10117096018735364</v>
      </c>
      <c r="M21" s="133">
        <f>IF(B21="","",SUMIFS('Stock Guide'!$T:$T,'Stock Guide'!$B:$B,B21))</f>
        <v>7.1999999999999995E-2</v>
      </c>
      <c r="N21" s="138">
        <f>IFERROR(IF(B21="","",AVERAGEIFS('Stock Guide'!$U:$U,'Stock Guide'!$B:$B,B21)),"-")</f>
        <v>-2.6003649635999999E-2</v>
      </c>
      <c r="O21" s="138">
        <f>IFERROR(IF(B21="","",AVERAGEIFS('Stock Guide'!$V:$V,'Stock Guide'!$B:$B,B21)),"-")</f>
        <v>-3.5481551451000001E-2</v>
      </c>
      <c r="P21" s="138">
        <f>IFERROR(IF(B21="","",AVERAGEIFS('Stock Guide'!$W:$W,'Stock Guide'!$B:$B,B21)),"-")</f>
        <v>0.10660037979</v>
      </c>
    </row>
    <row r="22" spans="2:16" ht="16.5" customHeight="1" x14ac:dyDescent="0.2">
      <c r="B22" s="131" t="s">
        <v>493</v>
      </c>
      <c r="C22" s="132" t="str">
        <f>IF(B22="","",(VLOOKUP(B22,'Stock Guide'!$B:$D,3,0)))</f>
        <v>CSHG Logística FII</v>
      </c>
      <c r="D22" s="133">
        <f>IF(B22="","",SUMIFS('Stock Guide'!$J:$J,'Stock Guide'!$B:$B,B22))</f>
        <v>147.21</v>
      </c>
      <c r="E22" s="134">
        <f>IF(B22="","",SUMIFS('Stock Guide'!$H:$H,'Stock Guide'!$B:$B,B22))</f>
        <v>4.2209999999999998E-2</v>
      </c>
      <c r="F22" s="135">
        <f>IF(B22="","",SUMIFS('Stock Guide'!I:I,'Stock Guide'!$B:$B,B22))</f>
        <v>15893904.380000001</v>
      </c>
      <c r="G22" s="136">
        <f>IF(B22="","",SUMIFS('Stock Guide'!$M:$M,'Stock Guide'!$B:$B,B22))</f>
        <v>6713032881.3999996</v>
      </c>
      <c r="H22" s="136">
        <f>IF(B22="","",SUMIFS('Stock Guide'!$N:$N,'Stock Guide'!$B:$B,B22))</f>
        <v>7589554105.3999996</v>
      </c>
      <c r="I22" s="137">
        <f>IF(B22="","",SUMIFS('Stock Guide'!$O:$O,'Stock Guide'!$B:$B,B22))</f>
        <v>0.88450952298023</v>
      </c>
      <c r="J22" s="137">
        <f>IF(B22="","",SUMIFS('Stock Guide'!$P:$P,'Stock Guide'!$B:$B,B22))</f>
        <v>0.93920761363000005</v>
      </c>
      <c r="K22" s="134">
        <f>IF(B22="","",SUMIFS('Stock Guide'!$Q:$Q,'Stock Guide'!$B:$B,B22))</f>
        <v>9.0143332654E-2</v>
      </c>
      <c r="L22" s="134">
        <f>IF(B22="","",SUMIFS('Stock Guide'!$R:$R,'Stock Guide'!$B:$B,B22))</f>
        <v>9.537395557367026E-2</v>
      </c>
      <c r="M22" s="133">
        <f>IF(B22="","",SUMIFS('Stock Guide'!$T:$T,'Stock Guide'!$B:$B,B22))</f>
        <v>1.17</v>
      </c>
      <c r="N22" s="138">
        <f>IFERROR(IF(B22="","",AVERAGEIFS('Stock Guide'!$U:$U,'Stock Guide'!$B:$B,B22)),"-")</f>
        <v>6.5641025631000003E-3</v>
      </c>
      <c r="O22" s="138">
        <f>IFERROR(IF(B22="","",AVERAGEIFS('Stock Guide'!$V:$V,'Stock Guide'!$B:$B,B22)),"-")</f>
        <v>-1.0372854954E-2</v>
      </c>
      <c r="P22" s="138">
        <f>IFERROR(IF(B22="","",AVERAGEIFS('Stock Guide'!$W:$W,'Stock Guide'!$B:$B,B22)),"-")</f>
        <v>5.8111392971E-2</v>
      </c>
    </row>
    <row r="23" spans="2:16" ht="16.5" customHeight="1" x14ac:dyDescent="0.2">
      <c r="B23" s="131" t="s">
        <v>498</v>
      </c>
      <c r="C23" s="132" t="str">
        <f>IF(B23="","",(VLOOKUP(B23,'Stock Guide'!$B:$D,3,0)))</f>
        <v>Hedge Logística FII</v>
      </c>
      <c r="D23" s="133">
        <f>IF(B23="","",SUMIFS('Stock Guide'!$J:$J,'Stock Guide'!$B:$B,B23))</f>
        <v>9.43</v>
      </c>
      <c r="E23" s="134">
        <f>IF(B23="","",SUMIFS('Stock Guide'!$H:$H,'Stock Guide'!$B:$B,B23))</f>
        <v>0</v>
      </c>
      <c r="F23" s="135">
        <f>IF(B23="","",SUMIFS('Stock Guide'!I:I,'Stock Guide'!$B:$B,B23))</f>
        <v>84624.037385000003</v>
      </c>
      <c r="G23" s="136">
        <f>IF(B23="","",SUMIFS('Stock Guide'!$M:$M,'Stock Guide'!$B:$B,B23))</f>
        <v>400775000</v>
      </c>
      <c r="H23" s="136">
        <f>IF(B23="","",SUMIFS('Stock Guide'!$N:$N,'Stock Guide'!$B:$B,B23))</f>
        <v>504488043.88</v>
      </c>
      <c r="I23" s="137">
        <f>IF(B23="","",SUMIFS('Stock Guide'!$O:$O,'Stock Guide'!$B:$B,B23))</f>
        <v>0.79441922333313075</v>
      </c>
      <c r="J23" s="137">
        <f>IF(B23="","",SUMIFS('Stock Guide'!$P:$P,'Stock Guide'!$B:$B,B23))</f>
        <v>0.76347460751999996</v>
      </c>
      <c r="K23" s="134">
        <f>IF(B23="","",SUMIFS('Stock Guide'!$Q:$Q,'Stock Guide'!$B:$B,B23))</f>
        <v>0.10042417815</v>
      </c>
      <c r="L23" s="134">
        <f>IF(B23="","",SUMIFS('Stock Guide'!$R:$R,'Stock Guide'!$B:$B,B23))</f>
        <v>9.1622481442205722E-2</v>
      </c>
      <c r="M23" s="133">
        <f>IF(B23="","",SUMIFS('Stock Guide'!$T:$T,'Stock Guide'!$B:$B,B23))</f>
        <v>7.1999999999999995E-2</v>
      </c>
      <c r="N23" s="138">
        <f>IFERROR(IF(B23="","",AVERAGEIFS('Stock Guide'!$U:$U,'Stock Guide'!$B:$B,B23)),"-")</f>
        <v>2.1213406762000001E-4</v>
      </c>
      <c r="O23" s="138">
        <f>IFERROR(IF(B23="","",AVERAGEIFS('Stock Guide'!$V:$V,'Stock Guide'!$B:$B,B23)),"-")</f>
        <v>9.5994216625999995E-2</v>
      </c>
      <c r="P23" s="138">
        <f>IFERROR(IF(B23="","",AVERAGEIFS('Stock Guide'!$W:$W,'Stock Guide'!$B:$B,B23)),"-")</f>
        <v>0.26999226719000002</v>
      </c>
    </row>
    <row r="24" spans="2:16" ht="16.5" customHeight="1" x14ac:dyDescent="0.2">
      <c r="B24" s="131" t="s">
        <v>507</v>
      </c>
      <c r="C24" s="132" t="str">
        <f>IF(B24="","",(VLOOKUP(B24,'Stock Guide'!$B:$D,3,0)))</f>
        <v>HSI Logística FII</v>
      </c>
      <c r="D24" s="133">
        <f>IF(B24="","",SUMIFS('Stock Guide'!$J:$J,'Stock Guide'!$B:$B,B24))</f>
        <v>75.17</v>
      </c>
      <c r="E24" s="134">
        <f>IF(B24="","",SUMIFS('Stock Guide'!$H:$H,'Stock Guide'!$B:$B,B24))</f>
        <v>6.43E-3</v>
      </c>
      <c r="F24" s="135">
        <f>IF(B24="","",SUMIFS('Stock Guide'!I:I,'Stock Guide'!$B:$B,B24))</f>
        <v>10314831.734999999</v>
      </c>
      <c r="G24" s="136">
        <f>IF(B24="","",SUMIFS('Stock Guide'!$M:$M,'Stock Guide'!$B:$B,B24))</f>
        <v>951657236.38999999</v>
      </c>
      <c r="H24" s="136">
        <f>IF(B24="","",SUMIFS('Stock Guide'!$N:$N,'Stock Guide'!$B:$B,B24))</f>
        <v>1393483712.7</v>
      </c>
      <c r="I24" s="137">
        <f>IF(B24="","",SUMIFS('Stock Guide'!$O:$O,'Stock Guide'!$B:$B,B24))</f>
        <v>0.68293387839178865</v>
      </c>
      <c r="J24" s="137">
        <f>IF(B24="","",SUMIFS('Stock Guide'!$P:$P,'Stock Guide'!$B:$B,B24))</f>
        <v>0.83302710153000004</v>
      </c>
      <c r="K24" s="134">
        <f>IF(B24="","",SUMIFS('Stock Guide'!$Q:$Q,'Stock Guide'!$B:$B,B24))</f>
        <v>0.11454037515</v>
      </c>
      <c r="L24" s="134">
        <f>IF(B24="","",SUMIFS('Stock Guide'!$R:$R,'Stock Guide'!$B:$B,B24))</f>
        <v>0.11972861513901822</v>
      </c>
      <c r="M24" s="133">
        <f>IF(B24="","",SUMIFS('Stock Guide'!$T:$T,'Stock Guide'!$B:$B,B24))</f>
        <v>0.75</v>
      </c>
      <c r="N24" s="138">
        <f>IFERROR(IF(B24="","",AVERAGEIFS('Stock Guide'!$U:$U,'Stock Guide'!$B:$B,B24)),"-")</f>
        <v>-0.16810535635000001</v>
      </c>
      <c r="O24" s="138">
        <f>IFERROR(IF(B24="","",AVERAGEIFS('Stock Guide'!$V:$V,'Stock Guide'!$B:$B,B24)),"-")</f>
        <v>-0.13132925670000001</v>
      </c>
      <c r="P24" s="138">
        <f>IFERROR(IF(B24="","",AVERAGEIFS('Stock Guide'!$W:$W,'Stock Guide'!$B:$B,B24)),"-")</f>
        <v>3.7124774240999997E-2</v>
      </c>
    </row>
    <row r="25" spans="2:16" ht="16.5" customHeight="1" x14ac:dyDescent="0.2">
      <c r="B25" s="131" t="s">
        <v>513</v>
      </c>
      <c r="C25" s="132" t="str">
        <f>IF(B25="","",(VLOOKUP(B25,'Stock Guide'!$B:$D,3,0)))</f>
        <v>Invista Brazilian Business Park FII</v>
      </c>
      <c r="D25" s="133">
        <f>IF(B25="","",SUMIFS('Stock Guide'!$J:$J,'Stock Guide'!$B:$B,B25))</f>
        <v>8.4</v>
      </c>
      <c r="E25" s="134">
        <f>IF(B25="","",SUMIFS('Stock Guide'!$H:$H,'Stock Guide'!$B:$B,B25))</f>
        <v>0</v>
      </c>
      <c r="F25" s="135">
        <f>IF(B25="","",SUMIFS('Stock Guide'!I:I,'Stock Guide'!$B:$B,B25))</f>
        <v>249848.22769</v>
      </c>
      <c r="G25" s="136">
        <f>IF(B25="","",SUMIFS('Stock Guide'!$M:$M,'Stock Guide'!$B:$B,B25))</f>
        <v>857576860.59000003</v>
      </c>
      <c r="H25" s="136">
        <f>IF(B25="","",SUMIFS('Stock Guide'!$N:$N,'Stock Guide'!$B:$B,B25))</f>
        <v>997966578.21000004</v>
      </c>
      <c r="I25" s="137">
        <f>IF(B25="","",SUMIFS('Stock Guide'!$O:$O,'Stock Guide'!$B:$B,B25))</f>
        <v>0.85932422920233498</v>
      </c>
      <c r="J25" s="137">
        <f>IF(B25="","",SUMIFS('Stock Guide'!$P:$P,'Stock Guide'!$B:$B,B25))</f>
        <v>0.71217505134000003</v>
      </c>
      <c r="K25" s="134">
        <f>IF(B25="","",SUMIFS('Stock Guide'!$Q:$Q,'Stock Guide'!$B:$B,B25))</f>
        <v>0.10957380952</v>
      </c>
      <c r="L25" s="134">
        <f>IF(B25="","",SUMIFS('Stock Guide'!$R:$R,'Stock Guide'!$B:$B,B25))</f>
        <v>0.1172857142857143</v>
      </c>
      <c r="M25" s="133">
        <f>IF(B25="","",SUMIFS('Stock Guide'!$T:$T,'Stock Guide'!$B:$B,B25))</f>
        <v>8.2100000000000006E-2</v>
      </c>
      <c r="N25" s="138">
        <f>IFERROR(IF(B25="","",AVERAGEIFS('Stock Guide'!$U:$U,'Stock Guide'!$B:$B,B25)),"-")</f>
        <v>0.18304180374000001</v>
      </c>
      <c r="O25" s="138">
        <f>IFERROR(IF(B25="","",AVERAGEIFS('Stock Guide'!$V:$V,'Stock Guide'!$B:$B,B25)),"-")</f>
        <v>1.2081499311000001E-2</v>
      </c>
      <c r="P25" s="138">
        <f>IFERROR(IF(B25="","",AVERAGEIFS('Stock Guide'!$W:$W,'Stock Guide'!$B:$B,B25)),"-")</f>
        <v>0.13385787459000001</v>
      </c>
    </row>
    <row r="26" spans="2:16" ht="16.5" customHeight="1" x14ac:dyDescent="0.2">
      <c r="B26" s="131" t="s">
        <v>520</v>
      </c>
      <c r="C26" s="132" t="str">
        <f>IF(B26="","",(VLOOKUP(B26,'Stock Guide'!$B:$D,3,0)))</f>
        <v>Inter Logístico FII</v>
      </c>
      <c r="D26" s="133">
        <f>IF(B26="","",SUMIFS('Stock Guide'!$J:$J,'Stock Guide'!$B:$B,B26))</f>
        <v>62.1</v>
      </c>
      <c r="E26" s="134">
        <f>IF(B26="","",SUMIFS('Stock Guide'!$H:$H,'Stock Guide'!$B:$B,B26))</f>
        <v>0</v>
      </c>
      <c r="F26" s="135">
        <f>IF(B26="","",SUMIFS('Stock Guide'!I:I,'Stock Guide'!$B:$B,B26))</f>
        <v>212107.46122999999</v>
      </c>
      <c r="G26" s="136">
        <f>IF(B26="","",SUMIFS('Stock Guide'!$M:$M,'Stock Guide'!$B:$B,B26))</f>
        <v>280201596.30000001</v>
      </c>
      <c r="H26" s="136">
        <f>IF(B26="","",SUMIFS('Stock Guide'!$N:$N,'Stock Guide'!$B:$B,B26))</f>
        <v>480515018.66000003</v>
      </c>
      <c r="I26" s="137">
        <f>IF(B26="","",SUMIFS('Stock Guide'!$O:$O,'Stock Guide'!$B:$B,B26))</f>
        <v>0.58312765557545121</v>
      </c>
      <c r="J26" s="137">
        <f>IF(B26="","",SUMIFS('Stock Guide'!$P:$P,'Stock Guide'!$B:$B,B26))</f>
        <v>0.73285558007999996</v>
      </c>
      <c r="K26" s="134">
        <f>IF(B26="","",SUMIFS('Stock Guide'!$Q:$Q,'Stock Guide'!$B:$B,B26))</f>
        <v>0.12785829307999999</v>
      </c>
      <c r="L26" s="134">
        <f>IF(B26="","",SUMIFS('Stock Guide'!$R:$R,'Stock Guide'!$B:$B,B26))</f>
        <v>0.11594202898550723</v>
      </c>
      <c r="M26" s="133">
        <f>IF(B26="","",SUMIFS('Stock Guide'!$T:$T,'Stock Guide'!$B:$B,B26))</f>
        <v>0.6</v>
      </c>
      <c r="N26" s="138">
        <f>IFERROR(IF(B26="","",AVERAGEIFS('Stock Guide'!$U:$U,'Stock Guide'!$B:$B,B26)),"-")</f>
        <v>-4.5643153529000002E-2</v>
      </c>
      <c r="O26" s="138">
        <f>IFERROR(IF(B26="","",AVERAGEIFS('Stock Guide'!$V:$V,'Stock Guide'!$B:$B,B26)),"-")</f>
        <v>-0.15310265373000001</v>
      </c>
      <c r="P26" s="138">
        <f>IFERROR(IF(B26="","",AVERAGEIFS('Stock Guide'!$W:$W,'Stock Guide'!$B:$B,B26)),"-")</f>
        <v>-5.1292778998999998E-2</v>
      </c>
    </row>
    <row r="27" spans="2:16" ht="16.5" customHeight="1" x14ac:dyDescent="0.2">
      <c r="B27" s="131" t="s">
        <v>574</v>
      </c>
      <c r="C27" s="132" t="str">
        <f>IF(B27="","",(VLOOKUP(B27,'Stock Guide'!$B:$D,3,0)))</f>
        <v>VBI Logístico</v>
      </c>
      <c r="D27" s="133">
        <f>IF(B27="","",SUMIFS('Stock Guide'!$J:$J,'Stock Guide'!$B:$B,B27))</f>
        <v>98.49</v>
      </c>
      <c r="E27" s="134">
        <f>IF(B27="","",SUMIFS('Stock Guide'!$H:$H,'Stock Guide'!$B:$B,B27))</f>
        <v>1.073E-2</v>
      </c>
      <c r="F27" s="135">
        <f>IF(B27="","",SUMIFS('Stock Guide'!I:I,'Stock Guide'!$B:$B,B27))</f>
        <v>3426626.2458000001</v>
      </c>
      <c r="G27" s="136">
        <f>IF(B27="","",SUMIFS('Stock Guide'!$M:$M,'Stock Guide'!$B:$B,B27))</f>
        <v>1587517466.8</v>
      </c>
      <c r="H27" s="136">
        <f>IF(B27="","",SUMIFS('Stock Guide'!$N:$N,'Stock Guide'!$B:$B,B27))</f>
        <v>1940547371.9000001</v>
      </c>
      <c r="I27" s="137">
        <f>IF(B27="","",SUMIFS('Stock Guide'!$O:$O,'Stock Guide'!$B:$B,B27))</f>
        <v>0.81807715172943873</v>
      </c>
      <c r="J27" s="137">
        <f>IF(B27="","",SUMIFS('Stock Guide'!$P:$P,'Stock Guide'!$B:$B,B27))</f>
        <v>0.92595746145000002</v>
      </c>
      <c r="K27" s="134">
        <f>IF(B27="","",SUMIFS('Stock Guide'!$Q:$Q,'Stock Guide'!$B:$B,B27))</f>
        <v>9.1379835515999999E-2</v>
      </c>
      <c r="L27" s="134">
        <f>IF(B27="","",SUMIFS('Stock Guide'!$R:$R,'Stock Guide'!$B:$B,B27))</f>
        <v>9.1379835516296082E-2</v>
      </c>
      <c r="M27" s="133">
        <f>IF(B27="","",SUMIFS('Stock Guide'!$T:$T,'Stock Guide'!$B:$B,B27))</f>
        <v>0.75</v>
      </c>
      <c r="N27" s="138">
        <f>IFERROR(IF(B27="","",AVERAGEIFS('Stock Guide'!$U:$U,'Stock Guide'!$B:$B,B27)),"-")</f>
        <v>-3.6584172944000001E-2</v>
      </c>
      <c r="O27" s="138">
        <f>IFERROR(IF(B27="","",AVERAGEIFS('Stock Guide'!$V:$V,'Stock Guide'!$B:$B,B27)),"-")</f>
        <v>-7.2485320088000002E-2</v>
      </c>
      <c r="P27" s="138">
        <f>IFERROR(IF(B27="","",AVERAGEIFS('Stock Guide'!$W:$W,'Stock Guide'!$B:$B,B27)),"-")</f>
        <v>4.7417812646E-2</v>
      </c>
    </row>
    <row r="28" spans="2:16" ht="16.5" customHeight="1" x14ac:dyDescent="0.2">
      <c r="B28" s="131" t="s">
        <v>785</v>
      </c>
      <c r="C28" s="132" t="str">
        <f>IF(B28="","",(VLOOKUP(B28,'Stock Guide'!$B:$D,3,0)))</f>
        <v>Mauá Capital Logística FII</v>
      </c>
      <c r="D28" s="133">
        <f>IF(B28="","",SUMIFS('Stock Guide'!$J:$J,'Stock Guide'!$B:$B,B28))</f>
        <v>10.45</v>
      </c>
      <c r="E28" s="134">
        <f>IF(B28="","",SUMIFS('Stock Guide'!$H:$H,'Stock Guide'!$B:$B,B28))</f>
        <v>0</v>
      </c>
      <c r="F28" s="135">
        <f>IF(B28="","",SUMIFS('Stock Guide'!I:I,'Stock Guide'!$B:$B,B28))</f>
        <v>718311.09123000002</v>
      </c>
      <c r="G28" s="136">
        <f>IF(B28="","",SUMIFS('Stock Guide'!$M:$M,'Stock Guide'!$B:$B,B28))</f>
        <v>1302517887</v>
      </c>
      <c r="H28" s="136">
        <f>IF(B28="","",SUMIFS('Stock Guide'!$N:$N,'Stock Guide'!$B:$B,B28))</f>
        <v>1725481049.8</v>
      </c>
      <c r="I28" s="137">
        <f>IF(B28="","",SUMIFS('Stock Guide'!$O:$O,'Stock Guide'!$B:$B,B28))</f>
        <v>0.75487232221470901</v>
      </c>
      <c r="J28" s="137">
        <f>IF(B28="","",SUMIFS('Stock Guide'!$P:$P,'Stock Guide'!$B:$B,B28))</f>
        <v>0.72336424346999995</v>
      </c>
      <c r="K28" s="134">
        <f>IF(B28="","",SUMIFS('Stock Guide'!$Q:$Q,'Stock Guide'!$B:$B,B28))</f>
        <v>9.9722752114999993E-2</v>
      </c>
      <c r="L28" s="134">
        <f>IF(B28="","",SUMIFS('Stock Guide'!$R:$R,'Stock Guide'!$B:$B,B28))</f>
        <v>8.0382775119617236E-2</v>
      </c>
      <c r="M28" s="133">
        <f>IF(B28="","",SUMIFS('Stock Guide'!$T:$T,'Stock Guide'!$B:$B,B28))</f>
        <v>7.0000000000000007E-2</v>
      </c>
      <c r="N28" s="138">
        <f>IFERROR(IF(B28="","",AVERAGEIFS('Stock Guide'!$U:$U,'Stock Guide'!$B:$B,B28)),"-")</f>
        <v>1.9561923126999998E-3</v>
      </c>
      <c r="O28" s="138">
        <f>IFERROR(IF(B28="","",AVERAGEIFS('Stock Guide'!$V:$V,'Stock Guide'!$B:$B,B28)),"-")</f>
        <v>0.12546893298</v>
      </c>
      <c r="P28" s="138">
        <f>IFERROR(IF(B28="","",AVERAGEIFS('Stock Guide'!$W:$W,'Stock Guide'!$B:$B,B28)),"-")</f>
        <v>9.2901592884999995E-2</v>
      </c>
    </row>
    <row r="29" spans="2:16" ht="16.5" customHeight="1" x14ac:dyDescent="0.2">
      <c r="B29" s="131" t="s">
        <v>590</v>
      </c>
      <c r="C29" s="132" t="str">
        <f>IF(B29="","",(VLOOKUP(B29,'Stock Guide'!$B:$D,3,0)))</f>
        <v>Newport Logística FII</v>
      </c>
      <c r="D29" s="133">
        <f>IF(B29="","",SUMIFS('Stock Guide'!$J:$J,'Stock Guide'!$B:$B,B29))</f>
        <v>102.52</v>
      </c>
      <c r="E29" s="134">
        <f>IF(B29="","",SUMIFS('Stock Guide'!$H:$H,'Stock Guide'!$B:$B,B29))</f>
        <v>0</v>
      </c>
      <c r="F29" s="135">
        <f>IF(B29="","",SUMIFS('Stock Guide'!I:I,'Stock Guide'!$B:$B,B29))</f>
        <v>113354.63153</v>
      </c>
      <c r="G29" s="136">
        <f>IF(B29="","",SUMIFS('Stock Guide'!$M:$M,'Stock Guide'!$B:$B,B29))</f>
        <v>288100986.36000001</v>
      </c>
      <c r="H29" s="136">
        <f>IF(B29="","",SUMIFS('Stock Guide'!$N:$N,'Stock Guide'!$B:$B,B29))</f>
        <v>356312095.98000002</v>
      </c>
      <c r="I29" s="137">
        <f>IF(B29="","",SUMIFS('Stock Guide'!$O:$O,'Stock Guide'!$B:$B,B29))</f>
        <v>0.80856358683981155</v>
      </c>
      <c r="J29" s="137">
        <f>IF(B29="","",SUMIFS('Stock Guide'!$P:$P,'Stock Guide'!$B:$B,B29))</f>
        <v>0.87269120390999999</v>
      </c>
      <c r="K29" s="134">
        <f>IF(B29="","",SUMIFS('Stock Guide'!$Q:$Q,'Stock Guide'!$B:$B,B29))</f>
        <v>0.11587982832</v>
      </c>
      <c r="L29" s="134">
        <f>IF(B29="","",SUMIFS('Stock Guide'!$R:$R,'Stock Guide'!$B:$B,B29))</f>
        <v>0.11705033164260634</v>
      </c>
      <c r="M29" s="133">
        <f>IF(B29="","",SUMIFS('Stock Guide'!$T:$T,'Stock Guide'!$B:$B,B29))</f>
        <v>1</v>
      </c>
      <c r="N29" s="138">
        <f>IFERROR(IF(B29="","",AVERAGEIFS('Stock Guide'!$U:$U,'Stock Guide'!$B:$B,B29)),"-")</f>
        <v>-5.0465838513000004E-3</v>
      </c>
      <c r="O29" s="138">
        <f>IFERROR(IF(B29="","",AVERAGEIFS('Stock Guide'!$V:$V,'Stock Guide'!$B:$B,B29)),"-")</f>
        <v>-3.9888876427000002E-2</v>
      </c>
      <c r="P29" s="138">
        <f>IFERROR(IF(B29="","",AVERAGEIFS('Stock Guide'!$W:$W,'Stock Guide'!$B:$B,B29)),"-")</f>
        <v>0.11197619134</v>
      </c>
    </row>
    <row r="30" spans="2:16" ht="16.5" customHeight="1" x14ac:dyDescent="0.2">
      <c r="B30" s="131" t="s">
        <v>621</v>
      </c>
      <c r="C30" s="132" t="str">
        <f>IF(B30="","",(VLOOKUP(B30,'Stock Guide'!$B:$D,3,0)))</f>
        <v>RBR Log FII</v>
      </c>
      <c r="D30" s="133">
        <f>IF(B30="","",SUMIFS('Stock Guide'!$J:$J,'Stock Guide'!$B:$B,B30))</f>
        <v>70.7</v>
      </c>
      <c r="E30" s="134">
        <f>IF(B30="","",SUMIFS('Stock Guide'!$H:$H,'Stock Guide'!$B:$B,B30))</f>
        <v>3.2000000000000002E-3</v>
      </c>
      <c r="F30" s="135">
        <f>IF(B30="","",SUMIFS('Stock Guide'!I:I,'Stock Guide'!$B:$B,B30))</f>
        <v>456196.50938</v>
      </c>
      <c r="G30" s="136">
        <f>IF(B30="","",SUMIFS('Stock Guide'!$M:$M,'Stock Guide'!$B:$B,B30))</f>
        <v>472773374.5</v>
      </c>
      <c r="H30" s="136">
        <f>IF(B30="","",SUMIFS('Stock Guide'!$N:$N,'Stock Guide'!$B:$B,B30))</f>
        <v>631201854.80999994</v>
      </c>
      <c r="I30" s="137">
        <f>IF(B30="","",SUMIFS('Stock Guide'!$O:$O,'Stock Guide'!$B:$B,B30))</f>
        <v>0.74900504632121367</v>
      </c>
      <c r="J30" s="137">
        <f>IF(B30="","",SUMIFS('Stock Guide'!$P:$P,'Stock Guide'!$B:$B,B30))</f>
        <v>0.86612164600999997</v>
      </c>
      <c r="K30" s="134">
        <f>IF(B30="","",SUMIFS('Stock Guide'!$Q:$Q,'Stock Guide'!$B:$B,B30))</f>
        <v>0.11881188118</v>
      </c>
      <c r="L30" s="134">
        <f>IF(B30="","",SUMIFS('Stock Guide'!$R:$R,'Stock Guide'!$B:$B,B30))</f>
        <v>0.10183875530410183</v>
      </c>
      <c r="M30" s="133">
        <f>IF(B30="","",SUMIFS('Stock Guide'!$T:$T,'Stock Guide'!$B:$B,B30))</f>
        <v>0.6</v>
      </c>
      <c r="N30" s="138">
        <f>IFERROR(IF(B30="","",AVERAGEIFS('Stock Guide'!$U:$U,'Stock Guide'!$B:$B,B30)),"-")</f>
        <v>-7.8585461696999998E-3</v>
      </c>
      <c r="O30" s="138">
        <f>IFERROR(IF(B30="","",AVERAGEIFS('Stock Guide'!$V:$V,'Stock Guide'!$B:$B,B30)),"-")</f>
        <v>-0.18518302583999999</v>
      </c>
      <c r="P30" s="138">
        <f>IFERROR(IF(B30="","",AVERAGEIFS('Stock Guide'!$W:$W,'Stock Guide'!$B:$B,B30)),"-")</f>
        <v>-5.0215413826999997E-2</v>
      </c>
    </row>
    <row r="31" spans="2:16" ht="16.5" customHeight="1" x14ac:dyDescent="0.2">
      <c r="B31" s="131" t="s">
        <v>656</v>
      </c>
      <c r="C31" s="132" t="str">
        <f>IF(B31="","",(VLOOKUP(B31,'Stock Guide'!$B:$D,3,0)))</f>
        <v>Raiz Renda Logística FII</v>
      </c>
      <c r="D31" s="133">
        <f>IF(B31="","",SUMIFS('Stock Guide'!$J:$J,'Stock Guide'!$B:$B,B31))</f>
        <v>126.26</v>
      </c>
      <c r="E31" s="134">
        <f>IF(B31="","",SUMIFS('Stock Guide'!$H:$H,'Stock Guide'!$B:$B,B31))</f>
        <v>0</v>
      </c>
      <c r="F31" s="135">
        <f>IF(B31="","",SUMIFS('Stock Guide'!I:I,'Stock Guide'!$B:$B,B31))</f>
        <v>92942.423230999993</v>
      </c>
      <c r="G31" s="136">
        <f>IF(B31="","",SUMIFS('Stock Guide'!$M:$M,'Stock Guide'!$B:$B,B31))</f>
        <v>706605504.32000005</v>
      </c>
      <c r="H31" s="136">
        <f>IF(B31="","",SUMIFS('Stock Guide'!$N:$N,'Stock Guide'!$B:$B,B31))</f>
        <v>1027768689.2</v>
      </c>
      <c r="I31" s="137">
        <f>IF(B31="","",SUMIFS('Stock Guide'!$O:$O,'Stock Guide'!$B:$B,B31))</f>
        <v>0.68751413790393956</v>
      </c>
      <c r="J31" s="137">
        <f>IF(B31="","",SUMIFS('Stock Guide'!$P:$P,'Stock Guide'!$B:$B,B31))</f>
        <v>0.77632707113999999</v>
      </c>
      <c r="K31" s="134">
        <f>IF(B31="","",SUMIFS('Stock Guide'!$Q:$Q,'Stock Guide'!$B:$B,B31))</f>
        <v>0.11604625376</v>
      </c>
      <c r="L31" s="134">
        <f>IF(B31="","",SUMIFS('Stock Guide'!$R:$R,'Stock Guide'!$B:$B,B31))</f>
        <v>0.11747188341517503</v>
      </c>
      <c r="M31" s="133">
        <f>IF(B31="","",SUMIFS('Stock Guide'!$T:$T,'Stock Guide'!$B:$B,B31))</f>
        <v>1.236</v>
      </c>
      <c r="N31" s="138">
        <f>IFERROR(IF(B31="","",AVERAGEIFS('Stock Guide'!$U:$U,'Stock Guide'!$B:$B,B31)),"-")</f>
        <v>-1.168990034E-2</v>
      </c>
      <c r="O31" s="138">
        <f>IFERROR(IF(B31="","",AVERAGEIFS('Stock Guide'!$V:$V,'Stock Guide'!$B:$B,B31)),"-")</f>
        <v>-5.7797435184000004E-3</v>
      </c>
      <c r="P31" s="138">
        <f>IFERROR(IF(B31="","",AVERAGEIFS('Stock Guide'!$W:$W,'Stock Guide'!$B:$B,B31)),"-")</f>
        <v>6.0047201514E-3</v>
      </c>
    </row>
    <row r="32" spans="2:16" ht="16.5" customHeight="1" x14ac:dyDescent="0.2">
      <c r="B32" s="131" t="s">
        <v>689</v>
      </c>
      <c r="C32" s="132" t="str">
        <f>IF(B32="","",(VLOOKUP(B32,'Stock Guide'!$B:$D,3,0)))</f>
        <v>Tellus Rio Bravo Renda Log FII</v>
      </c>
      <c r="D32" s="133">
        <f>IF(B32="","",SUMIFS('Stock Guide'!$J:$J,'Stock Guide'!$B:$B,B32))</f>
        <v>46.59</v>
      </c>
      <c r="E32" s="134">
        <f>IF(B32="","",SUMIFS('Stock Guide'!$H:$H,'Stock Guide'!$B:$B,B32))</f>
        <v>2.4399999999999999E-3</v>
      </c>
      <c r="F32" s="135">
        <f>IF(B32="","",SUMIFS('Stock Guide'!I:I,'Stock Guide'!$B:$B,B32))</f>
        <v>978514.71384999994</v>
      </c>
      <c r="G32" s="136">
        <f>IF(B32="","",SUMIFS('Stock Guide'!$M:$M,'Stock Guide'!$B:$B,B32))</f>
        <v>360564296.27999997</v>
      </c>
      <c r="H32" s="136">
        <f>IF(B32="","",SUMIFS('Stock Guide'!$N:$N,'Stock Guide'!$B:$B,B32))</f>
        <v>593400931.41999996</v>
      </c>
      <c r="I32" s="137">
        <f>IF(B32="","",SUMIFS('Stock Guide'!$O:$O,'Stock Guide'!$B:$B,B32))</f>
        <v>0.60762340803405002</v>
      </c>
      <c r="J32" s="137">
        <f>IF(B32="","",SUMIFS('Stock Guide'!$P:$P,'Stock Guide'!$B:$B,B32))</f>
        <v>0.82793282811000002</v>
      </c>
      <c r="K32" s="134">
        <f>IF(B32="","",SUMIFS('Stock Guide'!$Q:$Q,'Stock Guide'!$B:$B,B32))</f>
        <v>0.21463833440999999</v>
      </c>
      <c r="L32" s="134">
        <f>IF(B32="","",SUMIFS('Stock Guide'!$R:$R,'Stock Guide'!$B:$B,B32))</f>
        <v>0.11332904056664519</v>
      </c>
      <c r="M32" s="133">
        <f>IF(B32="","",SUMIFS('Stock Guide'!$T:$T,'Stock Guide'!$B:$B,B32))</f>
        <v>0.44</v>
      </c>
      <c r="N32" s="138">
        <f>IFERROR(IF(B32="","",AVERAGEIFS('Stock Guide'!$U:$U,'Stock Guide'!$B:$B,B32)),"-")</f>
        <v>-0.18406304728</v>
      </c>
      <c r="O32" s="138">
        <f>IFERROR(IF(B32="","",AVERAGEIFS('Stock Guide'!$V:$V,'Stock Guide'!$B:$B,B32)),"-")</f>
        <v>-0.24483242241</v>
      </c>
      <c r="P32" s="138">
        <f>IFERROR(IF(B32="","",AVERAGEIFS('Stock Guide'!$W:$W,'Stock Guide'!$B:$B,B32)),"-")</f>
        <v>-6.3313436638000001E-2</v>
      </c>
    </row>
    <row r="33" spans="2:16" ht="16.5" customHeight="1" x14ac:dyDescent="0.2">
      <c r="B33" s="131" t="s">
        <v>34</v>
      </c>
      <c r="C33" s="132" t="str">
        <f>IF(B33="","",(VLOOKUP(B33,'Stock Guide'!$B:$D,3,0)))</f>
        <v>Vinci Logística FII</v>
      </c>
      <c r="D33" s="133">
        <f>IF(B33="","",SUMIFS('Stock Guide'!$J:$J,'Stock Guide'!$B:$B,B33))</f>
        <v>91.65</v>
      </c>
      <c r="E33" s="134">
        <f>IF(B33="","",SUMIFS('Stock Guide'!$H:$H,'Stock Guide'!$B:$B,B33))</f>
        <v>9.2899999999999996E-3</v>
      </c>
      <c r="F33" s="135">
        <f>IF(B33="","",SUMIFS('Stock Guide'!I:I,'Stock Guide'!$B:$B,B33))</f>
        <v>2575859.3254</v>
      </c>
      <c r="G33" s="136">
        <f>IF(B33="","",SUMIFS('Stock Guide'!$M:$M,'Stock Guide'!$B:$B,B33))</f>
        <v>1374511343.4000001</v>
      </c>
      <c r="H33" s="136">
        <f>IF(B33="","",SUMIFS('Stock Guide'!$N:$N,'Stock Guide'!$B:$B,B33))</f>
        <v>1639545786.5999999</v>
      </c>
      <c r="I33" s="137">
        <f>IF(B33="","",SUMIFS('Stock Guide'!$O:$O,'Stock Guide'!$B:$B,B33))</f>
        <v>0.83834886139434162</v>
      </c>
      <c r="J33" s="137">
        <f>IF(B33="","",SUMIFS('Stock Guide'!$P:$P,'Stock Guide'!$B:$B,B33))</f>
        <v>0.87180861379999997</v>
      </c>
      <c r="K33" s="134">
        <f>IF(B33="","",SUMIFS('Stock Guide'!$Q:$Q,'Stock Guide'!$B:$B,B33))</f>
        <v>0.10190943808</v>
      </c>
      <c r="L33" s="134">
        <f>IF(B33="","",SUMIFS('Stock Guide'!$R:$R,'Stock Guide'!$B:$B,B33))</f>
        <v>0.10736497545008181</v>
      </c>
      <c r="M33" s="133">
        <f>IF(B33="","",SUMIFS('Stock Guide'!$T:$T,'Stock Guide'!$B:$B,B33))</f>
        <v>0.82</v>
      </c>
      <c r="N33" s="138">
        <f>IFERROR(IF(B33="","",AVERAGEIFS('Stock Guide'!$U:$U,'Stock Guide'!$B:$B,B33)),"-")</f>
        <v>5.8165057070999997E-3</v>
      </c>
      <c r="O33" s="138">
        <f>IFERROR(IF(B33="","",AVERAGEIFS('Stock Guide'!$V:$V,'Stock Guide'!$B:$B,B33)),"-")</f>
        <v>-1.6190667618999999E-2</v>
      </c>
      <c r="P33" s="138">
        <f>IFERROR(IF(B33="","",AVERAGEIFS('Stock Guide'!$W:$W,'Stock Guide'!$B:$B,B33)),"-")</f>
        <v>0.25374251109000001</v>
      </c>
    </row>
    <row r="34" spans="2:16" ht="16.5" customHeight="1" x14ac:dyDescent="0.2">
      <c r="B34" s="131" t="s">
        <v>738</v>
      </c>
      <c r="C34" s="132" t="str">
        <f>IF(B34="","",(VLOOKUP(B34,'Stock Guide'!$B:$D,3,0)))</f>
        <v>XP Log FII</v>
      </c>
      <c r="D34" s="133">
        <f>IF(B34="","",SUMIFS('Stock Guide'!$J:$J,'Stock Guide'!$B:$B,B34))</f>
        <v>90</v>
      </c>
      <c r="E34" s="134">
        <f>IF(B34="","",SUMIFS('Stock Guide'!$H:$H,'Stock Guide'!$B:$B,B34))</f>
        <v>3.1269999999999999E-2</v>
      </c>
      <c r="F34" s="135">
        <f>IF(B34="","",SUMIFS('Stock Guide'!I:I,'Stock Guide'!$B:$B,B34))</f>
        <v>8674211.4759999998</v>
      </c>
      <c r="G34" s="136">
        <f>IF(B34="","",SUMIFS('Stock Guide'!$M:$M,'Stock Guide'!$B:$B,B34))</f>
        <v>4625108810.3999996</v>
      </c>
      <c r="H34" s="136">
        <f>IF(B34="","",SUMIFS('Stock Guide'!$N:$N,'Stock Guide'!$B:$B,B34))</f>
        <v>5390513988.1999998</v>
      </c>
      <c r="I34" s="137">
        <f>IF(B34="","",SUMIFS('Stock Guide'!$O:$O,'Stock Guide'!$B:$B,B34))</f>
        <v>0.85800886901035867</v>
      </c>
      <c r="J34" s="137">
        <f>IF(B34="","",SUMIFS('Stock Guide'!$P:$P,'Stock Guide'!$B:$B,B34))</f>
        <v>0.99524827392000004</v>
      </c>
      <c r="K34" s="134">
        <f>IF(B34="","",SUMIFS('Stock Guide'!$Q:$Q,'Stock Guide'!$B:$B,B34))</f>
        <v>0.10933333333</v>
      </c>
      <c r="L34" s="134">
        <f>IF(B34="","",SUMIFS('Stock Guide'!$R:$R,'Stock Guide'!$B:$B,B34))</f>
        <v>0.10933333333333331</v>
      </c>
      <c r="M34" s="133">
        <f>IF(B34="","",SUMIFS('Stock Guide'!$T:$T,'Stock Guide'!$B:$B,B34))</f>
        <v>0.82</v>
      </c>
      <c r="N34" s="138">
        <f>IFERROR(IF(B34="","",AVERAGEIFS('Stock Guide'!$U:$U,'Stock Guide'!$B:$B,B34)),"-")</f>
        <v>-2.2589052996999998E-2</v>
      </c>
      <c r="O34" s="138">
        <f>IFERROR(IF(B34="","",AVERAGEIFS('Stock Guide'!$V:$V,'Stock Guide'!$B:$B,B34)),"-")</f>
        <v>-9.1314282856000004E-2</v>
      </c>
      <c r="P34" s="138">
        <f>IFERROR(IF(B34="","",AVERAGEIFS('Stock Guide'!$W:$W,'Stock Guide'!$B:$B,B34)),"-")</f>
        <v>1.3713854556000001E-2</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5361BAF1-A664-4CF7-AB78-B8D7F3D17A9C}"/>
  <mergeCells count="4">
    <mergeCell ref="B6:C6"/>
    <mergeCell ref="B8:C8"/>
    <mergeCell ref="B4:C4"/>
    <mergeCell ref="B7:C7"/>
  </mergeCells>
  <conditionalFormatting sqref="N10:O69">
    <cfRule type="cellIs" dxfId="143" priority="31" operator="lessThan">
      <formula>0</formula>
    </cfRule>
    <cfRule type="cellIs" dxfId="142" priority="32" operator="greaterThan">
      <formula>0</formula>
    </cfRule>
  </conditionalFormatting>
  <conditionalFormatting sqref="N8:P8">
    <cfRule type="cellIs" dxfId="141" priority="7" operator="lessThan">
      <formula>0</formula>
    </cfRule>
    <cfRule type="cellIs" dxfId="140" priority="8" operator="greaterThan">
      <formula>0</formula>
    </cfRule>
  </conditionalFormatting>
  <conditionalFormatting sqref="P10:P69">
    <cfRule type="cellIs" dxfId="139" priority="5" operator="lessThan">
      <formula>0</formula>
    </cfRule>
    <cfRule type="cellIs" dxfId="138" priority="6" operator="greaterThan">
      <formula>0</formula>
    </cfRule>
  </conditionalFormatting>
  <conditionalFormatting sqref="N70:O82">
    <cfRule type="cellIs" dxfId="137" priority="3" operator="lessThan">
      <formula>0</formula>
    </cfRule>
    <cfRule type="cellIs" dxfId="136" priority="4" operator="greaterThan">
      <formula>0</formula>
    </cfRule>
  </conditionalFormatting>
  <conditionalFormatting sqref="P70:P82">
    <cfRule type="cellIs" dxfId="135" priority="1" operator="lessThan">
      <formula>0</formula>
    </cfRule>
    <cfRule type="cellIs" dxfId="134" priority="2" operator="greaterThan">
      <formula>0</formula>
    </cfRule>
  </conditionalFormatting>
  <hyperlinks>
    <hyperlink ref="O2" location="Menu!A1" display="Menu" xr:uid="{4FA29798-4100-4425-AE9B-66AFD877C950}"/>
    <hyperlink ref="P2" location="'Stock Guide'!A1" display="Stock Guide" xr:uid="{396F69CF-396E-4AAF-AD8B-0EF336E7534D}"/>
  </hyperlinks>
  <pageMargins left="0.7" right="0.7" top="0.75" bottom="0.75" header="0.3" footer="0.3"/>
  <pageSetup fitToWidth="9"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A2B6-8936-452C-8257-55E06A52164E}">
  <sheetPr codeName="Sheet6">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32"/>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Shopping Center</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61</v>
      </c>
      <c r="C8" s="271"/>
      <c r="D8" s="170" t="s">
        <v>44</v>
      </c>
      <c r="E8" s="57">
        <f>SUMIFS('Stock Guide'!$H:$H,'Stock Guide'!$G:$G,B8)</f>
        <v>0.11835000000000001</v>
      </c>
      <c r="F8" s="171">
        <f>AVERAGEIFS('Stock Guide'!I:I,'Stock Guide'!$G:$G,B8)</f>
        <v>3558069.6856549568</v>
      </c>
      <c r="G8" s="171">
        <f>AVERAGEIFS('Stock Guide'!$M:$M,'Stock Guide'!$G:$G,B8)</f>
        <v>1056514222.6030436</v>
      </c>
      <c r="H8" s="171">
        <f>AVERAGEIFS('Stock Guide'!$N:$N,'Stock Guide'!$G:$G,B8)</f>
        <v>1286619552.022609</v>
      </c>
      <c r="I8" s="172">
        <f>AVERAGEIFS('Stock Guide'!$O:$O,'Stock Guide'!$G:$G,B8)</f>
        <v>0.79206712271031787</v>
      </c>
      <c r="J8" s="172">
        <f>AVERAGEIFS('Stock Guide'!$P:$P,'Stock Guide'!$G:$G,B8)</f>
        <v>0.8149506604895238</v>
      </c>
      <c r="K8" s="57">
        <f>AVERAGEIFS('Stock Guide'!$Q:$Q,'Stock Guide'!$G:$G,B8)</f>
        <v>0.10760614929145</v>
      </c>
      <c r="L8" s="57">
        <f>AVERAGEIFS('Stock Guide'!$R:$R,'Stock Guide'!$G:$G,B8)</f>
        <v>9.2415897143837716E-2</v>
      </c>
      <c r="M8" s="170" t="s">
        <v>44</v>
      </c>
      <c r="N8" s="57">
        <f>AVERAGEIFS('Stock Guide'!$U:$U,'Stock Guide'!$G:$G,$B8)</f>
        <v>-3.4986053836311162E-2</v>
      </c>
      <c r="O8" s="57">
        <f>AVERAGEIFS('Stock Guide'!$V:$V,'Stock Guide'!$G:$G,$B8)</f>
        <v>-3.7001719753828564E-2</v>
      </c>
      <c r="P8" s="57">
        <f>AVERAGEIFS('Stock Guide'!$W:$W,'Stock Guide'!$G:$G,$B8)</f>
        <v>5.7332755858342847E-2</v>
      </c>
    </row>
    <row r="9" spans="1:16" s="5" customFormat="1" ht="16.5" customHeight="1" x14ac:dyDescent="0.2">
      <c r="A9" s="18"/>
      <c r="B9" s="118" t="s">
        <v>11</v>
      </c>
      <c r="C9" s="128" t="s">
        <v>61</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336</v>
      </c>
      <c r="C10" s="132" t="str">
        <f>IF(B10="","",(VLOOKUP(B10,'Stock Guide'!$B:$D,3,0)))</f>
        <v>Grand Plaza Shopping FII</v>
      </c>
      <c r="D10" s="133">
        <f>IF(B10="","",SUMIFS('Stock Guide'!$J:$J,'Stock Guide'!$B:$B,B10))</f>
        <v>74</v>
      </c>
      <c r="E10" s="134">
        <f>IF(B10="","",SUMIFS('Stock Guide'!$H:$H,'Stock Guide'!$B:$B,B10))</f>
        <v>0</v>
      </c>
      <c r="F10" s="135">
        <f>IF(B10="","",SUMIFS('Stock Guide'!I:I,'Stock Guide'!$B:$B,B10))</f>
        <v>56028.050153999997</v>
      </c>
      <c r="G10" s="136">
        <f>IF(B10="","",SUMIFS('Stock Guide'!$M:$M,'Stock Guide'!$B:$B,B10))</f>
        <v>348472068</v>
      </c>
      <c r="H10" s="136">
        <f>IF(B10="","",SUMIFS('Stock Guide'!$N:$N,'Stock Guide'!$B:$B,B10))</f>
        <v>521436008.45999998</v>
      </c>
      <c r="I10" s="137">
        <f>IF(B10="","",SUMIFS('Stock Guide'!$O:$O,'Stock Guide'!$B:$B,B10))</f>
        <v>0.66829306443406422</v>
      </c>
      <c r="J10" s="137">
        <f>IF(B10="","",SUMIFS('Stock Guide'!$P:$P,'Stock Guide'!$B:$B,B10))</f>
        <v>0.71951993708999995</v>
      </c>
      <c r="K10" s="134">
        <f>IF(B10="","",SUMIFS('Stock Guide'!$Q:$Q,'Stock Guide'!$B:$B,B10))</f>
        <v>9.5945945946000005E-2</v>
      </c>
      <c r="L10" s="134">
        <f>IF(B10="","",SUMIFS('Stock Guide'!$R:$R,'Stock Guide'!$B:$B,B10))</f>
        <v>8.9189189189189194E-2</v>
      </c>
      <c r="M10" s="133">
        <f>IF(B10="","",SUMIFS('Stock Guide'!$T:$T,'Stock Guide'!$B:$B,B10))</f>
        <v>0.55000000000000004</v>
      </c>
      <c r="N10" s="138">
        <f>IFERROR(IF(B10="","",AVERAGEIFS('Stock Guide'!$U:$U,'Stock Guide'!$B:$B,B10)),"-")</f>
        <v>1.2035010941000001E-2</v>
      </c>
      <c r="O10" s="138">
        <f>IFERROR(IF(B10="","",AVERAGEIFS('Stock Guide'!$V:$V,'Stock Guide'!$B:$B,B10)),"-")</f>
        <v>-2.1690115094000002E-2</v>
      </c>
      <c r="P10" s="138">
        <f>IFERROR(IF(B10="","",AVERAGEIFS('Stock Guide'!$W:$W,'Stock Guide'!$B:$B,B10)),"-")</f>
        <v>-4.0048698756999998E-2</v>
      </c>
    </row>
    <row r="11" spans="1:16" ht="16.5" customHeight="1" x14ac:dyDescent="0.2">
      <c r="B11" s="131" t="s">
        <v>782</v>
      </c>
      <c r="C11" s="132" t="str">
        <f>IF(B11="","",(VLOOKUP(B11,'Stock Guide'!$B:$D,3,0)))</f>
        <v>-</v>
      </c>
      <c r="D11" s="133">
        <f>IF(B11="","",SUMIFS('Stock Guide'!$J:$J,'Stock Guide'!$B:$B,B11))</f>
        <v>10.84</v>
      </c>
      <c r="E11" s="134">
        <f>IF(B11="","",SUMIFS('Stock Guide'!$H:$H,'Stock Guide'!$B:$B,B11))</f>
        <v>0</v>
      </c>
      <c r="F11" s="135">
        <f>IF(B11="","",SUMIFS('Stock Guide'!I:I,'Stock Guide'!$B:$B,B11))</f>
        <v>17169251.331</v>
      </c>
      <c r="G11" s="136">
        <f>IF(B11="","",SUMIFS('Stock Guide'!$M:$M,'Stock Guide'!$B:$B,B11))</f>
        <v>509178171.04000002</v>
      </c>
      <c r="H11" s="136">
        <f>IF(B11="","",SUMIFS('Stock Guide'!$N:$N,'Stock Guide'!$B:$B,B11))</f>
        <v>468469713.49000001</v>
      </c>
      <c r="I11" s="137">
        <f>IF(B11="","",SUMIFS('Stock Guide'!$O:$O,'Stock Guide'!$B:$B,B11))</f>
        <v>1.0868966688299455</v>
      </c>
      <c r="J11" s="137">
        <f>IF(B11="","",SUMIFS('Stock Guide'!$P:$P,'Stock Guide'!$B:$B,B11))</f>
        <v>0</v>
      </c>
      <c r="K11" s="134">
        <f>IF(B11="","",SUMIFS('Stock Guide'!$Q:$Q,'Stock Guide'!$B:$B,B11))</f>
        <v>0</v>
      </c>
      <c r="L11" s="134">
        <f>IF(B11="","",SUMIFS('Stock Guide'!$R:$R,'Stock Guide'!$B:$B,B11))</f>
        <v>2.2140221402214024E-2</v>
      </c>
      <c r="M11" s="133">
        <f>IF(B11="","",SUMIFS('Stock Guide'!$T:$T,'Stock Guide'!$B:$B,B11))</f>
        <v>0.02</v>
      </c>
      <c r="N11" s="138">
        <f>IFERROR(IF(B11="","",AVERAGEIFS('Stock Guide'!$U:$U,'Stock Guide'!$B:$B,B11)),"-")</f>
        <v>5.5504446481999996E-3</v>
      </c>
      <c r="O11" s="138" t="str">
        <f>IFERROR(IF(B11="","",AVERAGEIFS('Stock Guide'!$V:$V,'Stock Guide'!$B:$B,B11)),"-")</f>
        <v>-</v>
      </c>
      <c r="P11" s="138" t="str">
        <f>IFERROR(IF(B11="","",AVERAGEIFS('Stock Guide'!$W:$W,'Stock Guide'!$B:$B,B11)),"-")</f>
        <v>-</v>
      </c>
    </row>
    <row r="12" spans="1:16" ht="16.5" customHeight="1" x14ac:dyDescent="0.2">
      <c r="B12" s="131" t="s">
        <v>344</v>
      </c>
      <c r="C12" s="132" t="str">
        <f>IF(B12="","",(VLOOKUP(B12,'Stock Guide'!$B:$D,3,0)))</f>
        <v>AJ Malls FII</v>
      </c>
      <c r="D12" s="133">
        <f>IF(B12="","",SUMIFS('Stock Guide'!$J:$J,'Stock Guide'!$B:$B,B12))</f>
        <v>8.3000000000000007</v>
      </c>
      <c r="E12" s="134">
        <f>IF(B12="","",SUMIFS('Stock Guide'!$H:$H,'Stock Guide'!$B:$B,B12))</f>
        <v>0</v>
      </c>
      <c r="F12" s="135">
        <f>IF(B12="","",SUMIFS('Stock Guide'!I:I,'Stock Guide'!$B:$B,B12))</f>
        <v>934554.58291999996</v>
      </c>
      <c r="G12" s="136">
        <f>IF(B12="","",SUMIFS('Stock Guide'!$M:$M,'Stock Guide'!$B:$B,B12))</f>
        <v>279095617.39999998</v>
      </c>
      <c r="H12" s="136">
        <f>IF(B12="","",SUMIFS('Stock Guide'!$N:$N,'Stock Guide'!$B:$B,B12))</f>
        <v>351547711.27999997</v>
      </c>
      <c r="I12" s="137">
        <f>IF(B12="","",SUMIFS('Stock Guide'!$O:$O,'Stock Guide'!$B:$B,B12))</f>
        <v>0.79390537456153853</v>
      </c>
      <c r="J12" s="137">
        <f>IF(B12="","",SUMIFS('Stock Guide'!$P:$P,'Stock Guide'!$B:$B,B12))</f>
        <v>0.72528443494000006</v>
      </c>
      <c r="K12" s="134">
        <f>IF(B12="","",SUMIFS('Stock Guide'!$Q:$Q,'Stock Guide'!$B:$B,B12))</f>
        <v>7.2650602410000001E-2</v>
      </c>
      <c r="L12" s="134">
        <f>IF(B12="","",SUMIFS('Stock Guide'!$R:$R,'Stock Guide'!$B:$B,B12))</f>
        <v>8.3855421686746992E-2</v>
      </c>
      <c r="M12" s="133">
        <f>IF(B12="","",SUMIFS('Stock Guide'!$T:$T,'Stock Guide'!$B:$B,B12))</f>
        <v>5.8000000000000003E-2</v>
      </c>
      <c r="N12" s="138">
        <f>IFERROR(IF(B12="","",AVERAGEIFS('Stock Guide'!$U:$U,'Stock Guide'!$B:$B,B12)),"-")</f>
        <v>2.3157677995000001E-2</v>
      </c>
      <c r="O12" s="138">
        <f>IFERROR(IF(B12="","",AVERAGEIFS('Stock Guide'!$V:$V,'Stock Guide'!$B:$B,B12)),"-")</f>
        <v>8.3783367982000007E-2</v>
      </c>
      <c r="P12" s="138">
        <f>IFERROR(IF(B12="","",AVERAGEIFS('Stock Guide'!$W:$W,'Stock Guide'!$B:$B,B12)),"-")</f>
        <v>0.19234407625</v>
      </c>
    </row>
    <row r="13" spans="1:16" ht="16.5" customHeight="1" x14ac:dyDescent="0.2">
      <c r="B13" s="131" t="s">
        <v>352</v>
      </c>
      <c r="C13" s="132" t="str">
        <f>IF(B13="","",(VLOOKUP(B13,'Stock Guide'!$B:$D,3,0)))</f>
        <v>Apex Malls FII</v>
      </c>
      <c r="D13" s="133">
        <f>IF(B13="","",SUMIFS('Stock Guide'!$J:$J,'Stock Guide'!$B:$B,B13))</f>
        <v>39.5</v>
      </c>
      <c r="E13" s="134">
        <f>IF(B13="","",SUMIFS('Stock Guide'!$H:$H,'Stock Guide'!$B:$B,B13))</f>
        <v>0</v>
      </c>
      <c r="F13" s="135">
        <f>IF(B13="","",SUMIFS('Stock Guide'!I:I,'Stock Guide'!$B:$B,B13))</f>
        <v>106699.624</v>
      </c>
      <c r="G13" s="136">
        <f>IF(B13="","",SUMIFS('Stock Guide'!$M:$M,'Stock Guide'!$B:$B,B13))</f>
        <v>111751109</v>
      </c>
      <c r="H13" s="136">
        <f>IF(B13="","",SUMIFS('Stock Guide'!$N:$N,'Stock Guide'!$B:$B,B13))</f>
        <v>354659785.5</v>
      </c>
      <c r="I13" s="137">
        <f>IF(B13="","",SUMIFS('Stock Guide'!$O:$O,'Stock Guide'!$B:$B,B13))</f>
        <v>0.31509382672877073</v>
      </c>
      <c r="J13" s="137">
        <f>IF(B13="","",SUMIFS('Stock Guide'!$P:$P,'Stock Guide'!$B:$B,B13))</f>
        <v>0.70719826047000001</v>
      </c>
      <c r="K13" s="134">
        <f>IF(B13="","",SUMIFS('Stock Guide'!$Q:$Q,'Stock Guide'!$B:$B,B13))</f>
        <v>0.11956440739</v>
      </c>
      <c r="L13" s="134">
        <f>IF(B13="","",SUMIFS('Stock Guide'!$R:$R,'Stock Guide'!$B:$B,B13))</f>
        <v>8.3238389772151894E-2</v>
      </c>
      <c r="M13" s="133">
        <f>IF(B13="","",SUMIFS('Stock Guide'!$T:$T,'Stock Guide'!$B:$B,B13))</f>
        <v>0.273993033</v>
      </c>
      <c r="N13" s="138">
        <f>IFERROR(IF(B13="","",AVERAGEIFS('Stock Guide'!$U:$U,'Stock Guide'!$B:$B,B13)),"-")</f>
        <v>-0.37285087765000002</v>
      </c>
      <c r="O13" s="138">
        <f>IFERROR(IF(B13="","",AVERAGEIFS('Stock Guide'!$V:$V,'Stock Guide'!$B:$B,B13)),"-")</f>
        <v>-0.53911320088000003</v>
      </c>
      <c r="P13" s="138">
        <f>IFERROR(IF(B13="","",AVERAGEIFS('Stock Guide'!$W:$W,'Stock Guide'!$B:$B,B13)),"-")</f>
        <v>-0.50857475397999996</v>
      </c>
    </row>
    <row r="14" spans="1:16" ht="16.5" customHeight="1" x14ac:dyDescent="0.2">
      <c r="B14" s="131" t="s">
        <v>366</v>
      </c>
      <c r="C14" s="132" t="str">
        <f>IF(B14="","",(VLOOKUP(B14,'Stock Guide'!$B:$D,3,0)))</f>
        <v>BB Premium Malls FII</v>
      </c>
      <c r="D14" s="133">
        <f>IF(B14="","",SUMIFS('Stock Guide'!$J:$J,'Stock Guide'!$B:$B,B14))</f>
        <v>4.6100000000000003</v>
      </c>
      <c r="E14" s="134">
        <f>IF(B14="","",SUMIFS('Stock Guide'!$H:$H,'Stock Guide'!$B:$B,B14))</f>
        <v>3.0899999999999999E-3</v>
      </c>
      <c r="F14" s="135">
        <f>IF(B14="","",SUMIFS('Stock Guide'!I:I,'Stock Guide'!$B:$B,B14))</f>
        <v>1108337.868</v>
      </c>
      <c r="G14" s="136">
        <f>IF(B14="","",SUMIFS('Stock Guide'!$M:$M,'Stock Guide'!$B:$B,B14))</f>
        <v>456947782.33999997</v>
      </c>
      <c r="H14" s="136">
        <f>IF(B14="","",SUMIFS('Stock Guide'!$N:$N,'Stock Guide'!$B:$B,B14))</f>
        <v>970733277.38999999</v>
      </c>
      <c r="I14" s="137">
        <f>IF(B14="","",SUMIFS('Stock Guide'!$O:$O,'Stock Guide'!$B:$B,B14))</f>
        <v>0.47072434105544469</v>
      </c>
      <c r="J14" s="137">
        <f>IF(B14="","",SUMIFS('Stock Guide'!$P:$P,'Stock Guide'!$B:$B,B14))</f>
        <v>0.73113651696000004</v>
      </c>
      <c r="K14" s="134">
        <f>IF(B14="","",SUMIFS('Stock Guide'!$Q:$Q,'Stock Guide'!$B:$B,B14))</f>
        <v>0.17787418655000001</v>
      </c>
      <c r="L14" s="134">
        <f>IF(B14="","",SUMIFS('Stock Guide'!$R:$R,'Stock Guide'!$B:$B,B14))</f>
        <v>7.8091106290672438E-2</v>
      </c>
      <c r="M14" s="133">
        <f>IF(B14="","",SUMIFS('Stock Guide'!$T:$T,'Stock Guide'!$B:$B,B14))</f>
        <v>0.03</v>
      </c>
      <c r="N14" s="138">
        <f>IFERROR(IF(B14="","",AVERAGEIFS('Stock Guide'!$U:$U,'Stock Guide'!$B:$B,B14)),"-")</f>
        <v>-0.15722120657999999</v>
      </c>
      <c r="O14" s="138">
        <f>IFERROR(IF(B14="","",AVERAGEIFS('Stock Guide'!$V:$V,'Stock Guide'!$B:$B,B14)),"-")</f>
        <v>-0.31901697787</v>
      </c>
      <c r="P14" s="138">
        <f>IFERROR(IF(B14="","",AVERAGEIFS('Stock Guide'!$W:$W,'Stock Guide'!$B:$B,B14)),"-")</f>
        <v>-0.25527842225000003</v>
      </c>
    </row>
    <row r="15" spans="1:16" ht="16.5" customHeight="1" x14ac:dyDescent="0.2">
      <c r="B15" s="131" t="s">
        <v>383</v>
      </c>
      <c r="C15" s="132" t="str">
        <f>IF(B15="","",(VLOOKUP(B15,'Stock Guide'!$B:$D,3,0)))</f>
        <v>BTG Pactual Shoppings FII</v>
      </c>
      <c r="D15" s="133">
        <f>IF(B15="","",SUMIFS('Stock Guide'!$J:$J,'Stock Guide'!$B:$B,B15))</f>
        <v>82.82</v>
      </c>
      <c r="E15" s="134">
        <f>IF(B15="","",SUMIFS('Stock Guide'!$H:$H,'Stock Guide'!$B:$B,B15))</f>
        <v>4.1700000000000001E-3</v>
      </c>
      <c r="F15" s="135">
        <f>IF(B15="","",SUMIFS('Stock Guide'!I:I,'Stock Guide'!$B:$B,B15))</f>
        <v>831205.56414999999</v>
      </c>
      <c r="G15" s="136">
        <f>IF(B15="","",SUMIFS('Stock Guide'!$M:$M,'Stock Guide'!$B:$B,B15))</f>
        <v>616325320.89999998</v>
      </c>
      <c r="H15" s="136">
        <f>IF(B15="","",SUMIFS('Stock Guide'!$N:$N,'Stock Guide'!$B:$B,B15))</f>
        <v>888931198.85000002</v>
      </c>
      <c r="I15" s="137">
        <f>IF(B15="","",SUMIFS('Stock Guide'!$O:$O,'Stock Guide'!$B:$B,B15))</f>
        <v>0.69333298425944878</v>
      </c>
      <c r="J15" s="137">
        <f>IF(B15="","",SUMIFS('Stock Guide'!$P:$P,'Stock Guide'!$B:$B,B15))</f>
        <v>0.68751429186000002</v>
      </c>
      <c r="K15" s="134">
        <f>IF(B15="","",SUMIFS('Stock Guide'!$Q:$Q,'Stock Guide'!$B:$B,B15))</f>
        <v>0.13330113498999999</v>
      </c>
      <c r="L15" s="134">
        <f>IF(B15="","",SUMIFS('Stock Guide'!$R:$R,'Stock Guide'!$B:$B,B15))</f>
        <v>0.13330113499154794</v>
      </c>
      <c r="M15" s="133">
        <f>IF(B15="","",SUMIFS('Stock Guide'!$T:$T,'Stock Guide'!$B:$B,B15))</f>
        <v>0.92</v>
      </c>
      <c r="N15" s="138">
        <f>IFERROR(IF(B15="","",AVERAGEIFS('Stock Guide'!$U:$U,'Stock Guide'!$B:$B,B15)),"-")</f>
        <v>-9.6524073514999992E-3</v>
      </c>
      <c r="O15" s="138">
        <f>IFERROR(IF(B15="","",AVERAGEIFS('Stock Guide'!$V:$V,'Stock Guide'!$B:$B,B15)),"-")</f>
        <v>5.6117074205999998E-2</v>
      </c>
      <c r="P15" s="138">
        <f>IFERROR(IF(B15="","",AVERAGEIFS('Stock Guide'!$W:$W,'Stock Guide'!$B:$B,B15)),"-")</f>
        <v>0.20957866121999999</v>
      </c>
    </row>
    <row r="16" spans="1:16" ht="16.5" customHeight="1" x14ac:dyDescent="0.2">
      <c r="B16" s="131" t="s">
        <v>409</v>
      </c>
      <c r="C16" s="132" t="str">
        <f>IF(B16="","",(VLOOKUP(B16,'Stock Guide'!$B:$D,3,0)))</f>
        <v>Capitânia Shoppings FII</v>
      </c>
      <c r="D16" s="133">
        <f>IF(B16="","",SUMIFS('Stock Guide'!$J:$J,'Stock Guide'!$B:$B,B16))</f>
        <v>9.61</v>
      </c>
      <c r="E16" s="134">
        <f>IF(B16="","",SUMIFS('Stock Guide'!$H:$H,'Stock Guide'!$B:$B,B16))</f>
        <v>5.1799999999999997E-3</v>
      </c>
      <c r="F16" s="135">
        <f>IF(B16="","",SUMIFS('Stock Guide'!I:I,'Stock Guide'!$B:$B,B16))</f>
        <v>2208787.6880999999</v>
      </c>
      <c r="G16" s="136">
        <f>IF(B16="","",SUMIFS('Stock Guide'!$M:$M,'Stock Guide'!$B:$B,B16))</f>
        <v>1183604540.8</v>
      </c>
      <c r="H16" s="136">
        <f>IF(B16="","",SUMIFS('Stock Guide'!$N:$N,'Stock Guide'!$B:$B,B16))</f>
        <v>1449078272.3</v>
      </c>
      <c r="I16" s="137">
        <f>IF(B16="","",SUMIFS('Stock Guide'!$O:$O,'Stock Guide'!$B:$B,B16))</f>
        <v>0.81679821126664476</v>
      </c>
      <c r="J16" s="137">
        <f>IF(B16="","",SUMIFS('Stock Guide'!$P:$P,'Stock Guide'!$B:$B,B16))</f>
        <v>0.95091004379999999</v>
      </c>
      <c r="K16" s="134">
        <f>IF(B16="","",SUMIFS('Stock Guide'!$Q:$Q,'Stock Guide'!$B:$B,B16))</f>
        <v>0.14047866805000001</v>
      </c>
      <c r="L16" s="134">
        <f>IF(B16="","",SUMIFS('Stock Guide'!$R:$R,'Stock Guide'!$B:$B,B16))</f>
        <v>0.13735691987513007</v>
      </c>
      <c r="M16" s="133">
        <f>IF(B16="","",SUMIFS('Stock Guide'!$T:$T,'Stock Guide'!$B:$B,B16))</f>
        <v>0.11</v>
      </c>
      <c r="N16" s="138">
        <f>IFERROR(IF(B16="","",AVERAGEIFS('Stock Guide'!$U:$U,'Stock Guide'!$B:$B,B16)),"-")</f>
        <v>3.5439057683000003E-5</v>
      </c>
      <c r="O16" s="138">
        <f>IFERROR(IF(B16="","",AVERAGEIFS('Stock Guide'!$V:$V,'Stock Guide'!$B:$B,B16)),"-")</f>
        <v>-5.5173871532999998E-2</v>
      </c>
      <c r="P16" s="138">
        <f>IFERROR(IF(B16="","",AVERAGEIFS('Stock Guide'!$W:$W,'Stock Guide'!$B:$B,B16)),"-")</f>
        <v>0.17260799289000001</v>
      </c>
    </row>
    <row r="17" spans="2:16" ht="16.5" customHeight="1" x14ac:dyDescent="0.2">
      <c r="B17" s="131" t="s">
        <v>448</v>
      </c>
      <c r="C17" s="132" t="str">
        <f>IF(B17="","",(VLOOKUP(B17,'Stock Guide'!$B:$D,3,0)))</f>
        <v>General Shopping Ativo e Renda FII</v>
      </c>
      <c r="D17" s="133">
        <f>IF(B17="","",SUMIFS('Stock Guide'!$J:$J,'Stock Guide'!$B:$B,B17))</f>
        <v>47.55</v>
      </c>
      <c r="E17" s="134">
        <f>IF(B17="","",SUMIFS('Stock Guide'!$H:$H,'Stock Guide'!$B:$B,B17))</f>
        <v>0</v>
      </c>
      <c r="F17" s="135">
        <f>IF(B17="","",SUMIFS('Stock Guide'!I:I,'Stock Guide'!$B:$B,B17))</f>
        <v>123064.96707</v>
      </c>
      <c r="G17" s="136">
        <f>IF(B17="","",SUMIFS('Stock Guide'!$M:$M,'Stock Guide'!$B:$B,B17))</f>
        <v>135517500</v>
      </c>
      <c r="H17" s="136">
        <f>IF(B17="","",SUMIFS('Stock Guide'!$N:$N,'Stock Guide'!$B:$B,B17))</f>
        <v>199988002.66999999</v>
      </c>
      <c r="I17" s="137">
        <f>IF(B17="","",SUMIFS('Stock Guide'!$O:$O,'Stock Guide'!$B:$B,B17))</f>
        <v>0.67762814864258281</v>
      </c>
      <c r="J17" s="137">
        <f>IF(B17="","",SUMIFS('Stock Guide'!$P:$P,'Stock Guide'!$B:$B,B17))</f>
        <v>0.66141198247999999</v>
      </c>
      <c r="K17" s="134">
        <f>IF(B17="","",SUMIFS('Stock Guide'!$Q:$Q,'Stock Guide'!$B:$B,B17))</f>
        <v>0.12155625656999999</v>
      </c>
      <c r="L17" s="134">
        <f>IF(B17="","",SUMIFS('Stock Guide'!$R:$R,'Stock Guide'!$B:$B,B17))</f>
        <v>0.12113564668769716</v>
      </c>
      <c r="M17" s="133">
        <f>IF(B17="","",SUMIFS('Stock Guide'!$T:$T,'Stock Guide'!$B:$B,B17))</f>
        <v>0.48</v>
      </c>
      <c r="N17" s="138">
        <f>IFERROR(IF(B17="","",AVERAGEIFS('Stock Guide'!$U:$U,'Stock Guide'!$B:$B,B17)),"-")</f>
        <v>-2.4014778325999998E-2</v>
      </c>
      <c r="O17" s="138">
        <f>IFERROR(IF(B17="","",AVERAGEIFS('Stock Guide'!$V:$V,'Stock Guide'!$B:$B,B17)),"-")</f>
        <v>9.2484226404999995E-2</v>
      </c>
      <c r="P17" s="138">
        <f>IFERROR(IF(B17="","",AVERAGEIFS('Stock Guide'!$W:$W,'Stock Guide'!$B:$B,B17)),"-")</f>
        <v>0.13490406614</v>
      </c>
    </row>
    <row r="18" spans="2:16" ht="16.5" customHeight="1" x14ac:dyDescent="0.2">
      <c r="B18" s="131" t="s">
        <v>460</v>
      </c>
      <c r="C18" s="132" t="str">
        <f>IF(B18="","",(VLOOKUP(B18,'Stock Guide'!$B:$D,3,0)))</f>
        <v>Via Parque Shopping FII</v>
      </c>
      <c r="D18" s="133">
        <f>IF(B18="","",SUMIFS('Stock Guide'!$J:$J,'Stock Guide'!$B:$B,B18))</f>
        <v>52.99</v>
      </c>
      <c r="E18" s="134">
        <f>IF(B18="","",SUMIFS('Stock Guide'!$H:$H,'Stock Guide'!$B:$B,B18))</f>
        <v>0</v>
      </c>
      <c r="F18" s="135">
        <f>IF(B18="","",SUMIFS('Stock Guide'!I:I,'Stock Guide'!$B:$B,B18))</f>
        <v>40751.556307999999</v>
      </c>
      <c r="G18" s="136">
        <f>IF(B18="","",SUMIFS('Stock Guide'!$M:$M,'Stock Guide'!$B:$B,B18))</f>
        <v>148379895.50999999</v>
      </c>
      <c r="H18" s="136">
        <f>IF(B18="","",SUMIFS('Stock Guide'!$N:$N,'Stock Guide'!$B:$B,B18))</f>
        <v>258037314.58000001</v>
      </c>
      <c r="I18" s="137">
        <f>IF(B18="","",SUMIFS('Stock Guide'!$O:$O,'Stock Guide'!$B:$B,B18))</f>
        <v>0.57503270700020159</v>
      </c>
      <c r="J18" s="137">
        <f>IF(B18="","",SUMIFS('Stock Guide'!$P:$P,'Stock Guide'!$B:$B,B18))</f>
        <v>0.76524613569</v>
      </c>
      <c r="K18" s="134">
        <f>IF(B18="","",SUMIFS('Stock Guide'!$Q:$Q,'Stock Guide'!$B:$B,B18))</f>
        <v>6.8880920929E-2</v>
      </c>
      <c r="L18" s="134">
        <f>IF(B18="","",SUMIFS('Stock Guide'!$R:$R,'Stock Guide'!$B:$B,B18))</f>
        <v>0.10190602000377429</v>
      </c>
      <c r="M18" s="133">
        <f>IF(B18="","",SUMIFS('Stock Guide'!$T:$T,'Stock Guide'!$B:$B,B18))</f>
        <v>0.45</v>
      </c>
      <c r="N18" s="138">
        <f>IFERROR(IF(B18="","",AVERAGEIFS('Stock Guide'!$U:$U,'Stock Guide'!$B:$B,B18)),"-")</f>
        <v>1.6302263136999999E-2</v>
      </c>
      <c r="O18" s="138">
        <f>IFERROR(IF(B18="","",AVERAGEIFS('Stock Guide'!$V:$V,'Stock Guide'!$B:$B,B18)),"-")</f>
        <v>-0.21371962228999999</v>
      </c>
      <c r="P18" s="138">
        <f>IFERROR(IF(B18="","",AVERAGEIFS('Stock Guide'!$W:$W,'Stock Guide'!$B:$B,B18)),"-")</f>
        <v>-0.19963234556000001</v>
      </c>
    </row>
    <row r="19" spans="2:16" ht="16.5" customHeight="1" x14ac:dyDescent="0.2">
      <c r="B19" s="131" t="s">
        <v>476</v>
      </c>
      <c r="C19" s="132" t="str">
        <f>IF(B19="","",(VLOOKUP(B19,'Stock Guide'!$B:$D,3,0)))</f>
        <v>General Shopping e Outlets do Brasil FII</v>
      </c>
      <c r="D19" s="133">
        <f>IF(B19="","",SUMIFS('Stock Guide'!$J:$J,'Stock Guide'!$B:$B,B19))</f>
        <v>11.1</v>
      </c>
      <c r="E19" s="134">
        <f>IF(B19="","",SUMIFS('Stock Guide'!$H:$H,'Stock Guide'!$B:$B,B19))</f>
        <v>0</v>
      </c>
      <c r="F19" s="135">
        <f>IF(B19="","",SUMIFS('Stock Guide'!I:I,'Stock Guide'!$B:$B,B19))</f>
        <v>11013193.926000001</v>
      </c>
      <c r="G19" s="136">
        <f>IF(B19="","",SUMIFS('Stock Guide'!$M:$M,'Stock Guide'!$B:$B,B19))</f>
        <v>1066822140.9</v>
      </c>
      <c r="H19" s="136">
        <f>IF(B19="","",SUMIFS('Stock Guide'!$N:$N,'Stock Guide'!$B:$B,B19))</f>
        <v>1219824372.4000001</v>
      </c>
      <c r="I19" s="137">
        <f>IF(B19="","",SUMIFS('Stock Guide'!$O:$O,'Stock Guide'!$B:$B,B19))</f>
        <v>0.87457027834345635</v>
      </c>
      <c r="J19" s="137">
        <f>IF(B19="","",SUMIFS('Stock Guide'!$P:$P,'Stock Guide'!$B:$B,B19))</f>
        <v>0.81033670353999998</v>
      </c>
      <c r="K19" s="134">
        <f>IF(B19="","",SUMIFS('Stock Guide'!$Q:$Q,'Stock Guide'!$B:$B,B19))</f>
        <v>0</v>
      </c>
      <c r="L19" s="134">
        <f>IF(B19="","",SUMIFS('Stock Guide'!$R:$R,'Stock Guide'!$B:$B,B19))</f>
        <v>0</v>
      </c>
      <c r="M19" s="133">
        <f>IF(B19="","",SUMIFS('Stock Guide'!$T:$T,'Stock Guide'!$B:$B,B19))</f>
        <v>0</v>
      </c>
      <c r="N19" s="138">
        <f>IFERROR(IF(B19="","",AVERAGEIFS('Stock Guide'!$U:$U,'Stock Guide'!$B:$B,B19)),"-")</f>
        <v>-7.1129707112000007E-2</v>
      </c>
      <c r="O19" s="138">
        <f>IFERROR(IF(B19="","",AVERAGEIFS('Stock Guide'!$V:$V,'Stock Guide'!$B:$B,B19)),"-")</f>
        <v>1.2045992817999999E-2</v>
      </c>
      <c r="P19" s="138">
        <f>IFERROR(IF(B19="","",AVERAGEIFS('Stock Guide'!$W:$W,'Stock Guide'!$B:$B,B19)),"-")</f>
        <v>0.23283565016999999</v>
      </c>
    </row>
    <row r="20" spans="2:16" ht="16.5" customHeight="1" x14ac:dyDescent="0.2">
      <c r="B20" s="131" t="s">
        <v>182</v>
      </c>
      <c r="C20" s="132" t="str">
        <f>IF(B20="","",(VLOOKUP(B20,'Stock Guide'!$B:$D,3,0)))</f>
        <v>Gazit Malls FII</v>
      </c>
      <c r="D20" s="133">
        <f>IF(B20="","",SUMIFS('Stock Guide'!$J:$J,'Stock Guide'!$B:$B,B20))</f>
        <v>37.03</v>
      </c>
      <c r="E20" s="134">
        <f>IF(B20="","",SUMIFS('Stock Guide'!$H:$H,'Stock Guide'!$B:$B,B20))</f>
        <v>5.47E-3</v>
      </c>
      <c r="F20" s="135">
        <f>IF(B20="","",SUMIFS('Stock Guide'!I:I,'Stock Guide'!$B:$B,B20))</f>
        <v>408066.76753999997</v>
      </c>
      <c r="G20" s="136">
        <f>IF(B20="","",SUMIFS('Stock Guide'!$M:$M,'Stock Guide'!$B:$B,B20))</f>
        <v>862718867.08000004</v>
      </c>
      <c r="H20" s="136">
        <f>IF(B20="","",SUMIFS('Stock Guide'!$N:$N,'Stock Guide'!$B:$B,B20))</f>
        <v>2024450865.5999999</v>
      </c>
      <c r="I20" s="137">
        <f>IF(B20="","",SUMIFS('Stock Guide'!$O:$O,'Stock Guide'!$B:$B,B20))</f>
        <v>0.42614957060185815</v>
      </c>
      <c r="J20" s="137">
        <f>IF(B20="","",SUMIFS('Stock Guide'!$P:$P,'Stock Guide'!$B:$B,B20))</f>
        <v>0.51023188712</v>
      </c>
      <c r="K20" s="134">
        <f>IF(B20="","",SUMIFS('Stock Guide'!$Q:$Q,'Stock Guide'!$B:$B,B20))</f>
        <v>0.19443694302</v>
      </c>
      <c r="L20" s="134">
        <f>IF(B20="","",SUMIFS('Stock Guide'!$R:$R,'Stock Guide'!$B:$B,B20))</f>
        <v>0.13610586011342155</v>
      </c>
      <c r="M20" s="133">
        <f>IF(B20="","",SUMIFS('Stock Guide'!$T:$T,'Stock Guide'!$B:$B,B20))</f>
        <v>0.42</v>
      </c>
      <c r="N20" s="138">
        <f>IFERROR(IF(B20="","",AVERAGEIFS('Stock Guide'!$U:$U,'Stock Guide'!$B:$B,B20)),"-")</f>
        <v>-8.6581154413999994E-2</v>
      </c>
      <c r="O20" s="138">
        <f>IFERROR(IF(B20="","",AVERAGEIFS('Stock Guide'!$V:$V,'Stock Guide'!$B:$B,B20)),"-")</f>
        <v>-0.14218842612999999</v>
      </c>
      <c r="P20" s="138">
        <f>IFERROR(IF(B20="","",AVERAGEIFS('Stock Guide'!$W:$W,'Stock Guide'!$B:$B,B20)),"-")</f>
        <v>-2.0717713223000001E-3</v>
      </c>
    </row>
    <row r="21" spans="2:16" ht="16.5" customHeight="1" x14ac:dyDescent="0.2">
      <c r="B21" s="131" t="s">
        <v>27</v>
      </c>
      <c r="C21" s="132" t="str">
        <f>IF(B21="","",(VLOOKUP(B21,'Stock Guide'!$B:$D,3,0)))</f>
        <v>Hedge Brasil Shopping FII</v>
      </c>
      <c r="D21" s="133">
        <f>IF(B21="","",SUMIFS('Stock Guide'!$J:$J,'Stock Guide'!$B:$B,B21))</f>
        <v>18.600000000000001</v>
      </c>
      <c r="E21" s="134">
        <f>IF(B21="","",SUMIFS('Stock Guide'!$H:$H,'Stock Guide'!$B:$B,B21))</f>
        <v>1.6240000000000001E-2</v>
      </c>
      <c r="F21" s="135">
        <f>IF(B21="","",SUMIFS('Stock Guide'!I:I,'Stock Guide'!$B:$B,B21))</f>
        <v>4435500.8685999997</v>
      </c>
      <c r="G21" s="136">
        <f>IF(B21="","",SUMIFS('Stock Guide'!$M:$M,'Stock Guide'!$B:$B,B21))</f>
        <v>2685016503.5999999</v>
      </c>
      <c r="H21" s="136">
        <f>IF(B21="","",SUMIFS('Stock Guide'!$N:$N,'Stock Guide'!$B:$B,B21))</f>
        <v>2922626205.5999999</v>
      </c>
      <c r="I21" s="137">
        <f>IF(B21="","",SUMIFS('Stock Guide'!$O:$O,'Stock Guide'!$B:$B,B21))</f>
        <v>0.91869993448196707</v>
      </c>
      <c r="J21" s="137">
        <f>IF(B21="","",SUMIFS('Stock Guide'!$P:$P,'Stock Guide'!$B:$B,B21))</f>
        <v>0.95664715868000005</v>
      </c>
      <c r="K21" s="134">
        <f>IF(B21="","",SUMIFS('Stock Guide'!$Q:$Q,'Stock Guide'!$B:$B,B21))</f>
        <v>0.10376344086</v>
      </c>
      <c r="L21" s="134">
        <f>IF(B21="","",SUMIFS('Stock Guide'!$R:$R,'Stock Guide'!$B:$B,B21))</f>
        <v>0.10967741935483871</v>
      </c>
      <c r="M21" s="133">
        <f>IF(B21="","",SUMIFS('Stock Guide'!$T:$T,'Stock Guide'!$B:$B,B21))</f>
        <v>0.17</v>
      </c>
      <c r="N21" s="138">
        <f>IFERROR(IF(B21="","",AVERAGEIFS('Stock Guide'!$U:$U,'Stock Guide'!$B:$B,B21)),"-")</f>
        <v>-1.9504480761E-2</v>
      </c>
      <c r="O21" s="138">
        <f>IFERROR(IF(B21="","",AVERAGEIFS('Stock Guide'!$V:$V,'Stock Guide'!$B:$B,B21)),"-")</f>
        <v>-5.9386744851999997E-3</v>
      </c>
      <c r="P21" s="138">
        <f>IFERROR(IF(B21="","",AVERAGEIFS('Stock Guide'!$W:$W,'Stock Guide'!$B:$B,B21)),"-")</f>
        <v>8.8335596847E-2</v>
      </c>
    </row>
    <row r="22" spans="2:16" ht="16.5" customHeight="1" x14ac:dyDescent="0.2">
      <c r="B22" s="131" t="s">
        <v>779</v>
      </c>
      <c r="C22" s="132" t="str">
        <f>IF(B22="","",(VLOOKUP(B22,'Stock Guide'!$B:$D,3,0)))</f>
        <v>Hedge Shopping Parque Dom Pedro FII</v>
      </c>
      <c r="D22" s="133">
        <f>IF(B22="","",SUMIFS('Stock Guide'!$J:$J,'Stock Guide'!$B:$B,B22))</f>
        <v>91.99</v>
      </c>
      <c r="E22" s="134">
        <f>IF(B22="","",SUMIFS('Stock Guide'!$H:$H,'Stock Guide'!$B:$B,B22))</f>
        <v>0</v>
      </c>
      <c r="F22" s="135">
        <f>IF(B22="","",SUMIFS('Stock Guide'!I:I,'Stock Guide'!$B:$B,B22))</f>
        <v>285950.06414999999</v>
      </c>
      <c r="G22" s="136">
        <f>IF(B22="","",SUMIFS('Stock Guide'!$M:$M,'Stock Guide'!$B:$B,B22))</f>
        <v>648620754.08000004</v>
      </c>
      <c r="H22" s="136">
        <f>IF(B22="","",SUMIFS('Stock Guide'!$N:$N,'Stock Guide'!$B:$B,B22))</f>
        <v>664384321.05999994</v>
      </c>
      <c r="I22" s="137">
        <f>IF(B22="","",SUMIFS('Stock Guide'!$O:$O,'Stock Guide'!$B:$B,B22))</f>
        <v>0.97627342115050253</v>
      </c>
      <c r="J22" s="137">
        <f>IF(B22="","",SUMIFS('Stock Guide'!$P:$P,'Stock Guide'!$B:$B,B22))</f>
        <v>0.95139997074000004</v>
      </c>
      <c r="K22" s="134">
        <f>IF(B22="","",SUMIFS('Stock Guide'!$Q:$Q,'Stock Guide'!$B:$B,B22))</f>
        <v>8.5009240134999997E-2</v>
      </c>
      <c r="L22" s="134">
        <f>IF(B22="","",SUMIFS('Stock Guide'!$R:$R,'Stock Guide'!$B:$B,B22))</f>
        <v>7.9573866724643977E-2</v>
      </c>
      <c r="M22" s="133">
        <f>IF(B22="","",SUMIFS('Stock Guide'!$T:$T,'Stock Guide'!$B:$B,B22))</f>
        <v>0.61</v>
      </c>
      <c r="N22" s="138">
        <f>IFERROR(IF(B22="","",AVERAGEIFS('Stock Guide'!$U:$U,'Stock Guide'!$B:$B,B22)),"-")</f>
        <v>4.7602778726000002E-2</v>
      </c>
      <c r="O22" s="138">
        <f>IFERROR(IF(B22="","",AVERAGEIFS('Stock Guide'!$V:$V,'Stock Guide'!$B:$B,B22)),"-")</f>
        <v>5.7375646652999997E-2</v>
      </c>
      <c r="P22" s="138">
        <f>IFERROR(IF(B22="","",AVERAGEIFS('Stock Guide'!$W:$W,'Stock Guide'!$B:$B,B22)),"-")</f>
        <v>0.11915997511</v>
      </c>
    </row>
    <row r="23" spans="2:16" ht="16.5" customHeight="1" x14ac:dyDescent="0.2">
      <c r="B23" s="131" t="s">
        <v>250</v>
      </c>
      <c r="C23" s="132" t="str">
        <f>IF(B23="","",(VLOOKUP(B23,'Stock Guide'!$B:$D,3,0)))</f>
        <v>HSI Malls FII</v>
      </c>
      <c r="D23" s="133">
        <f>IF(B23="","",SUMIFS('Stock Guide'!$J:$J,'Stock Guide'!$B:$B,B23))</f>
        <v>83.52</v>
      </c>
      <c r="E23" s="134">
        <f>IF(B23="","",SUMIFS('Stock Guide'!$H:$H,'Stock Guide'!$B:$B,B23))</f>
        <v>1.205E-2</v>
      </c>
      <c r="F23" s="135">
        <f>IF(B23="","",SUMIFS('Stock Guide'!I:I,'Stock Guide'!$B:$B,B23))</f>
        <v>4261610.9918999998</v>
      </c>
      <c r="G23" s="136">
        <f>IF(B23="","",SUMIFS('Stock Guide'!$M:$M,'Stock Guide'!$B:$B,B23))</f>
        <v>1781479595.5</v>
      </c>
      <c r="H23" s="136">
        <f>IF(B23="","",SUMIFS('Stock Guide'!$N:$N,'Stock Guide'!$B:$B,B23))</f>
        <v>2126012239.0999999</v>
      </c>
      <c r="I23" s="137">
        <f>IF(B23="","",SUMIFS('Stock Guide'!$O:$O,'Stock Guide'!$B:$B,B23))</f>
        <v>0.83794418617935607</v>
      </c>
      <c r="J23" s="137">
        <f>IF(B23="","",SUMIFS('Stock Guide'!$P:$P,'Stock Guide'!$B:$B,B23))</f>
        <v>0.87608113644999996</v>
      </c>
      <c r="K23" s="134">
        <f>IF(B23="","",SUMIFS('Stock Guide'!$Q:$Q,'Stock Guide'!$B:$B,B23))</f>
        <v>0.10189176245000001</v>
      </c>
      <c r="L23" s="134">
        <f>IF(B23="","",SUMIFS('Stock Guide'!$R:$R,'Stock Guide'!$B:$B,B23))</f>
        <v>0.10775862068965519</v>
      </c>
      <c r="M23" s="133">
        <f>IF(B23="","",SUMIFS('Stock Guide'!$T:$T,'Stock Guide'!$B:$B,B23))</f>
        <v>0.75</v>
      </c>
      <c r="N23" s="138">
        <f>IFERROR(IF(B23="","",AVERAGEIFS('Stock Guide'!$U:$U,'Stock Guide'!$B:$B,B23)),"-")</f>
        <v>-3.4785623483000003E-2</v>
      </c>
      <c r="O23" s="138">
        <f>IFERROR(IF(B23="","",AVERAGEIFS('Stock Guide'!$V:$V,'Stock Guide'!$B:$B,B23)),"-")</f>
        <v>-3.8807953702999998E-2</v>
      </c>
      <c r="P23" s="138">
        <f>IFERROR(IF(B23="","",AVERAGEIFS('Stock Guide'!$W:$W,'Stock Guide'!$B:$B,B23)),"-")</f>
        <v>0.14833052346</v>
      </c>
    </row>
    <row r="24" spans="2:16" ht="16.5" customHeight="1" x14ac:dyDescent="0.2">
      <c r="B24" s="131" t="s">
        <v>568</v>
      </c>
      <c r="C24" s="132" t="str">
        <f>IF(B24="","",(VLOOKUP(B24,'Stock Guide'!$B:$D,3,0)))</f>
        <v>Legatus Shoppings FII</v>
      </c>
      <c r="D24" s="133">
        <f>IF(B24="","",SUMIFS('Stock Guide'!$J:$J,'Stock Guide'!$B:$B,B24))</f>
        <v>110.44</v>
      </c>
      <c r="E24" s="134">
        <f>IF(B24="","",SUMIFS('Stock Guide'!$H:$H,'Stock Guide'!$B:$B,B24))</f>
        <v>0</v>
      </c>
      <c r="F24" s="135">
        <f>IF(B24="","",SUMIFS('Stock Guide'!I:I,'Stock Guide'!$B:$B,B24))</f>
        <v>205465.33446000001</v>
      </c>
      <c r="G24" s="136">
        <f>IF(B24="","",SUMIFS('Stock Guide'!$M:$M,'Stock Guide'!$B:$B,B24))</f>
        <v>324726511.12</v>
      </c>
      <c r="H24" s="136">
        <f>IF(B24="","",SUMIFS('Stock Guide'!$N:$N,'Stock Guide'!$B:$B,B24))</f>
        <v>387731275.80000001</v>
      </c>
      <c r="I24" s="137">
        <f>IF(B24="","",SUMIFS('Stock Guide'!$O:$O,'Stock Guide'!$B:$B,B24))</f>
        <v>0.83750404310304027</v>
      </c>
      <c r="J24" s="137">
        <f>IF(B24="","",SUMIFS('Stock Guide'!$P:$P,'Stock Guide'!$B:$B,B24))</f>
        <v>0.82201562275999995</v>
      </c>
      <c r="K24" s="134">
        <f>IF(B24="","",SUMIFS('Stock Guide'!$Q:$Q,'Stock Guide'!$B:$B,B24))</f>
        <v>7.4157913800000003E-2</v>
      </c>
      <c r="L24" s="134">
        <f>IF(B24="","",SUMIFS('Stock Guide'!$R:$R,'Stock Guide'!$B:$B,B24))</f>
        <v>7.3886273089460344E-2</v>
      </c>
      <c r="M24" s="133">
        <f>IF(B24="","",SUMIFS('Stock Guide'!$T:$T,'Stock Guide'!$B:$B,B24))</f>
        <v>0.68</v>
      </c>
      <c r="N24" s="138">
        <f>IFERROR(IF(B24="","",AVERAGEIFS('Stock Guide'!$U:$U,'Stock Guide'!$B:$B,B24)),"-")</f>
        <v>1.3600507736E-3</v>
      </c>
      <c r="O24" s="138">
        <f>IFERROR(IF(B24="","",AVERAGEIFS('Stock Guide'!$V:$V,'Stock Guide'!$B:$B,B24)),"-")</f>
        <v>6.2617770838000006E-2</v>
      </c>
      <c r="P24" s="138">
        <f>IFERROR(IF(B24="","",AVERAGEIFS('Stock Guide'!$W:$W,'Stock Guide'!$B:$B,B24)),"-")</f>
        <v>0.28217319467000002</v>
      </c>
    </row>
    <row r="25" spans="2:16" ht="16.5" customHeight="1" x14ac:dyDescent="0.2">
      <c r="B25" s="131" t="s">
        <v>805</v>
      </c>
      <c r="C25" s="132" t="str">
        <f>IF(B25="","",(VLOOKUP(B25,'Stock Guide'!$B:$D,3,0)))</f>
        <v>-</v>
      </c>
      <c r="D25" s="133">
        <f>IF(B25="","",SUMIFS('Stock Guide'!$J:$J,'Stock Guide'!$B:$B,B25))</f>
        <v>10.98</v>
      </c>
      <c r="E25" s="134">
        <f>IF(B25="","",SUMIFS('Stock Guide'!$H:$H,'Stock Guide'!$B:$B,B25))</f>
        <v>0</v>
      </c>
      <c r="F25" s="135">
        <f>IF(B25="","",SUMIFS('Stock Guide'!I:I,'Stock Guide'!$B:$B,B25))</f>
        <v>7034862.6638000002</v>
      </c>
      <c r="G25" s="136">
        <f>IF(B25="","",SUMIFS('Stock Guide'!$M:$M,'Stock Guide'!$B:$B,B25))</f>
        <v>207522000</v>
      </c>
      <c r="H25" s="136">
        <f>IF(B25="","",SUMIFS('Stock Guide'!$N:$N,'Stock Guide'!$B:$B,B25))</f>
        <v>183634125.24000001</v>
      </c>
      <c r="I25" s="137">
        <f>IF(B25="","",SUMIFS('Stock Guide'!$O:$O,'Stock Guide'!$B:$B,B25))</f>
        <v>1.1300840719489356</v>
      </c>
      <c r="J25" s="137">
        <f>IF(B25="","",SUMIFS('Stock Guide'!$P:$P,'Stock Guide'!$B:$B,B25))</f>
        <v>0</v>
      </c>
      <c r="K25" s="134">
        <f>IF(B25="","",SUMIFS('Stock Guide'!$Q:$Q,'Stock Guide'!$B:$B,B25))</f>
        <v>0</v>
      </c>
      <c r="L25" s="134">
        <f>IF(B25="","",SUMIFS('Stock Guide'!$R:$R,'Stock Guide'!$B:$B,B25))</f>
        <v>2.0765027322404369E-2</v>
      </c>
      <c r="M25" s="133">
        <f>IF(B25="","",SUMIFS('Stock Guide'!$T:$T,'Stock Guide'!$B:$B,B25))</f>
        <v>1.9E-2</v>
      </c>
      <c r="N25" s="138">
        <f>IFERROR(IF(B25="","",AVERAGEIFS('Stock Guide'!$U:$U,'Stock Guide'!$B:$B,B25)),"-")</f>
        <v>-9.1066387539999994E-5</v>
      </c>
      <c r="O25" s="138" t="str">
        <f>IFERROR(IF(B25="","",AVERAGEIFS('Stock Guide'!$V:$V,'Stock Guide'!$B:$B,B25)),"-")</f>
        <v>-</v>
      </c>
      <c r="P25" s="138" t="str">
        <f>IFERROR(IF(B25="","",AVERAGEIFS('Stock Guide'!$W:$W,'Stock Guide'!$B:$B,B25)),"-")</f>
        <v>-</v>
      </c>
    </row>
    <row r="26" spans="2:16" ht="16.5" customHeight="1" x14ac:dyDescent="0.2">
      <c r="B26" s="131" t="s">
        <v>604</v>
      </c>
      <c r="C26" s="132" t="str">
        <f>IF(B26="","",(VLOOKUP(B26,'Stock Guide'!$B:$D,3,0)))</f>
        <v>Patria Malls FII</v>
      </c>
      <c r="D26" s="133">
        <f>IF(B26="","",SUMIFS('Stock Guide'!$J:$J,'Stock Guide'!$B:$B,B26))</f>
        <v>100.83</v>
      </c>
      <c r="E26" s="134">
        <f>IF(B26="","",SUMIFS('Stock Guide'!$H:$H,'Stock Guide'!$B:$B,B26))</f>
        <v>9.5399999999999999E-3</v>
      </c>
      <c r="F26" s="135">
        <f>IF(B26="","",SUMIFS('Stock Guide'!I:I,'Stock Guide'!$B:$B,B26))</f>
        <v>4383594.1880000001</v>
      </c>
      <c r="G26" s="136">
        <f>IF(B26="","",SUMIFS('Stock Guide'!$M:$M,'Stock Guide'!$B:$B,B26))</f>
        <v>1789779587.5999999</v>
      </c>
      <c r="H26" s="136">
        <f>IF(B26="","",SUMIFS('Stock Guide'!$N:$N,'Stock Guide'!$B:$B,B26))</f>
        <v>2144817200.3</v>
      </c>
      <c r="I26" s="137">
        <f>IF(B26="","",SUMIFS('Stock Guide'!$O:$O,'Stock Guide'!$B:$B,B26))</f>
        <v>0.83446719251862578</v>
      </c>
      <c r="J26" s="137">
        <f>IF(B26="","",SUMIFS('Stock Guide'!$P:$P,'Stock Guide'!$B:$B,B26))</f>
        <v>0.88973965290000001</v>
      </c>
      <c r="K26" s="134">
        <f>IF(B26="","",SUMIFS('Stock Guide'!$Q:$Q,'Stock Guide'!$B:$B,B26))</f>
        <v>0.11206982049</v>
      </c>
      <c r="L26" s="134">
        <f>IF(B26="","",SUMIFS('Stock Guide'!$R:$R,'Stock Guide'!$B:$B,B26))</f>
        <v>0.11901219875037192</v>
      </c>
      <c r="M26" s="133">
        <f>IF(B26="","",SUMIFS('Stock Guide'!$T:$T,'Stock Guide'!$B:$B,B26))</f>
        <v>1</v>
      </c>
      <c r="N26" s="138">
        <f>IFERROR(IF(B26="","",AVERAGEIFS('Stock Guide'!$U:$U,'Stock Guide'!$B:$B,B26)),"-")</f>
        <v>-2.6706231455999999E-3</v>
      </c>
      <c r="O26" s="138">
        <f>IFERROR(IF(B26="","",AVERAGEIFS('Stock Guide'!$V:$V,'Stock Guide'!$B:$B,B26)),"-")</f>
        <v>3.1586600380000003E-2</v>
      </c>
      <c r="P26" s="138">
        <f>IFERROR(IF(B26="","",AVERAGEIFS('Stock Guide'!$W:$W,'Stock Guide'!$B:$B,B26)),"-")</f>
        <v>0.15440796180999999</v>
      </c>
    </row>
    <row r="27" spans="2:16" ht="16.5" customHeight="1" x14ac:dyDescent="0.2">
      <c r="B27" s="131" t="s">
        <v>609</v>
      </c>
      <c r="C27" s="132" t="str">
        <f>IF(B27="","",(VLOOKUP(B27,'Stock Guide'!$B:$D,3,0)))</f>
        <v>FII Parque Dom Pedro Shopping</v>
      </c>
      <c r="D27" s="133">
        <f>IF(B27="","",SUMIFS('Stock Guide'!$J:$J,'Stock Guide'!$B:$B,B27))</f>
        <v>2475</v>
      </c>
      <c r="E27" s="134">
        <f>IF(B27="","",SUMIFS('Stock Guide'!$H:$H,'Stock Guide'!$B:$B,B27))</f>
        <v>0</v>
      </c>
      <c r="F27" s="135">
        <f>IF(B27="","",SUMIFS('Stock Guide'!I:I,'Stock Guide'!$B:$B,B27))</f>
        <v>134795.62262000001</v>
      </c>
      <c r="G27" s="136">
        <f>IF(B27="","",SUMIFS('Stock Guide'!$M:$M,'Stock Guide'!$B:$B,B27))</f>
        <v>641282400</v>
      </c>
      <c r="H27" s="136">
        <f>IF(B27="","",SUMIFS('Stock Guide'!$N:$N,'Stock Guide'!$B:$B,B27))</f>
        <v>672144640.22000003</v>
      </c>
      <c r="I27" s="137">
        <f>IF(B27="","",SUMIFS('Stock Guide'!$O:$O,'Stock Guide'!$B:$B,B27))</f>
        <v>0.95408393019410453</v>
      </c>
      <c r="J27" s="137">
        <f>IF(B27="","",SUMIFS('Stock Guide'!$P:$P,'Stock Guide'!$B:$B,B27))</f>
        <v>0.82076184407999997</v>
      </c>
      <c r="K27" s="134">
        <f>IF(B27="","",SUMIFS('Stock Guide'!$Q:$Q,'Stock Guide'!$B:$B,B27))</f>
        <v>9.2245225144000007E-2</v>
      </c>
      <c r="L27" s="134">
        <f>IF(B27="","",SUMIFS('Stock Guide'!$R:$R,'Stock Guide'!$B:$B,B27))</f>
        <v>8.55823269090909E-2</v>
      </c>
      <c r="M27" s="133">
        <f>IF(B27="","",SUMIFS('Stock Guide'!$T:$T,'Stock Guide'!$B:$B,B27))</f>
        <v>17.651354925</v>
      </c>
      <c r="N27" s="138">
        <f>IFERROR(IF(B27="","",AVERAGEIFS('Stock Guide'!$U:$U,'Stock Guide'!$B:$B,B27)),"-")</f>
        <v>-4.0775247101000001E-2</v>
      </c>
      <c r="O27" s="138">
        <f>IFERROR(IF(B27="","",AVERAGEIFS('Stock Guide'!$V:$V,'Stock Guide'!$B:$B,B27)),"-")</f>
        <v>0.12337633084999999</v>
      </c>
      <c r="P27" s="138">
        <f>IFERROR(IF(B27="","",AVERAGEIFS('Stock Guide'!$W:$W,'Stock Guide'!$B:$B,B27)),"-")</f>
        <v>0.12244891816</v>
      </c>
    </row>
    <row r="28" spans="2:16" ht="16.5" customHeight="1" x14ac:dyDescent="0.2">
      <c r="B28" s="131" t="s">
        <v>663</v>
      </c>
      <c r="C28" s="132" t="str">
        <f>IF(B28="","",(VLOOKUP(B28,'Stock Guide'!$B:$D,3,0)))</f>
        <v>Shopping Pátio Higienópolis FII</v>
      </c>
      <c r="D28" s="133">
        <f>IF(B28="","",SUMIFS('Stock Guide'!$J:$J,'Stock Guide'!$B:$B,B28))</f>
        <v>970</v>
      </c>
      <c r="E28" s="134">
        <f>IF(B28="","",SUMIFS('Stock Guide'!$H:$H,'Stock Guide'!$B:$B,B28))</f>
        <v>0</v>
      </c>
      <c r="F28" s="135">
        <f>IF(B28="","",SUMIFS('Stock Guide'!I:I,'Stock Guide'!$B:$B,B28))</f>
        <v>93342.067999999999</v>
      </c>
      <c r="G28" s="136">
        <f>IF(B28="","",SUMIFS('Stock Guide'!$M:$M,'Stock Guide'!$B:$B,B28))</f>
        <v>590681500</v>
      </c>
      <c r="H28" s="136">
        <f>IF(B28="","",SUMIFS('Stock Guide'!$N:$N,'Stock Guide'!$B:$B,B28))</f>
        <v>628839781.49000001</v>
      </c>
      <c r="I28" s="137">
        <f>IF(B28="","",SUMIFS('Stock Guide'!$O:$O,'Stock Guide'!$B:$B,B28))</f>
        <v>0.93931954909152515</v>
      </c>
      <c r="J28" s="137">
        <f>IF(B28="","",SUMIFS('Stock Guide'!$P:$P,'Stock Guide'!$B:$B,B28))</f>
        <v>0.90932110007</v>
      </c>
      <c r="K28" s="134">
        <f>IF(B28="","",SUMIFS('Stock Guide'!$Q:$Q,'Stock Guide'!$B:$B,B28))</f>
        <v>6.7010309278000002E-2</v>
      </c>
      <c r="L28" s="134">
        <f>IF(B28="","",SUMIFS('Stock Guide'!$R:$R,'Stock Guide'!$B:$B,B28))</f>
        <v>5.5670103092783502E-2</v>
      </c>
      <c r="M28" s="133">
        <f>IF(B28="","",SUMIFS('Stock Guide'!$T:$T,'Stock Guide'!$B:$B,B28))</f>
        <v>4.5</v>
      </c>
      <c r="N28" s="138">
        <f>IFERROR(IF(B28="","",AVERAGEIFS('Stock Guide'!$U:$U,'Stock Guide'!$B:$B,B28)),"-")</f>
        <v>2.5792874441000001E-2</v>
      </c>
      <c r="O28" s="138">
        <f>IFERROR(IF(B28="","",AVERAGEIFS('Stock Guide'!$V:$V,'Stock Guide'!$B:$B,B28)),"-")</f>
        <v>8.0601009224E-2</v>
      </c>
      <c r="P28" s="138">
        <f>IFERROR(IF(B28="","",AVERAGEIFS('Stock Guide'!$W:$W,'Stock Guide'!$B:$B,B28)),"-")</f>
        <v>6.179217771E-2</v>
      </c>
    </row>
    <row r="29" spans="2:16" ht="16.5" customHeight="1" x14ac:dyDescent="0.2">
      <c r="B29" s="131" t="s">
        <v>781</v>
      </c>
      <c r="C29" s="132" t="str">
        <f>IF(B29="","",(VLOOKUP(B29,'Stock Guide'!$B:$D,3,0)))</f>
        <v>-</v>
      </c>
      <c r="D29" s="133">
        <f>IF(B29="","",SUMIFS('Stock Guide'!$J:$J,'Stock Guide'!$B:$B,B29))</f>
        <v>9.8000000000000007</v>
      </c>
      <c r="E29" s="134">
        <f>IF(B29="","",SUMIFS('Stock Guide'!$H:$H,'Stock Guide'!$B:$B,B29))</f>
        <v>0</v>
      </c>
      <c r="F29" s="135">
        <f>IF(B29="","",SUMIFS('Stock Guide'!I:I,'Stock Guide'!$B:$B,B29))</f>
        <v>4412736.1404999997</v>
      </c>
      <c r="G29" s="136">
        <f>IF(B29="","",SUMIFS('Stock Guide'!$M:$M,'Stock Guide'!$B:$B,B29))</f>
        <v>500460667</v>
      </c>
      <c r="H29" s="136">
        <f>IF(B29="","",SUMIFS('Stock Guide'!$N:$N,'Stock Guide'!$B:$B,B29))</f>
        <v>496307537.54000002</v>
      </c>
      <c r="I29" s="137">
        <f>IF(B29="","",SUMIFS('Stock Guide'!$O:$O,'Stock Guide'!$B:$B,B29))</f>
        <v>1.0083680563881527</v>
      </c>
      <c r="J29" s="137">
        <f>IF(B29="","",SUMIFS('Stock Guide'!$P:$P,'Stock Guide'!$B:$B,B29))</f>
        <v>1.0346142384999999</v>
      </c>
      <c r="K29" s="134">
        <f>IF(B29="","",SUMIFS('Stock Guide'!$Q:$Q,'Stock Guide'!$B:$B,B29))</f>
        <v>6.5204081632999997E-2</v>
      </c>
      <c r="L29" s="134">
        <f>IF(B29="","",SUMIFS('Stock Guide'!$R:$R,'Stock Guide'!$B:$B,B29))</f>
        <v>6.7346938775510207E-2</v>
      </c>
      <c r="M29" s="133">
        <f>IF(B29="","",SUMIFS('Stock Guide'!$T:$T,'Stock Guide'!$B:$B,B29))</f>
        <v>5.5E-2</v>
      </c>
      <c r="N29" s="138">
        <f>IFERROR(IF(B29="","",AVERAGEIFS('Stock Guide'!$U:$U,'Stock Guide'!$B:$B,B29)),"-")</f>
        <v>-1.4941342091000001E-2</v>
      </c>
      <c r="O29" s="138">
        <f>IFERROR(IF(B29="","",AVERAGEIFS('Stock Guide'!$V:$V,'Stock Guide'!$B:$B,B29)),"-")</f>
        <v>-2.7771761089000001E-2</v>
      </c>
      <c r="P29" s="138">
        <f>IFERROR(IF(B29="","",AVERAGEIFS('Stock Guide'!$W:$W,'Stock Guide'!$B:$B,B29)),"-")</f>
        <v>-7.2858598404999999E-3</v>
      </c>
    </row>
    <row r="30" spans="2:16" ht="16.5" customHeight="1" x14ac:dyDescent="0.2">
      <c r="B30" s="131" t="s">
        <v>720</v>
      </c>
      <c r="C30" s="132" t="str">
        <f>IF(B30="","",(VLOOKUP(B30,'Stock Guide'!$B:$D,3,0)))</f>
        <v>Vinci Shopping Centers FII</v>
      </c>
      <c r="D30" s="133">
        <f>IF(B30="","",SUMIFS('Stock Guide'!$J:$J,'Stock Guide'!$B:$B,B30))</f>
        <v>101.7</v>
      </c>
      <c r="E30" s="134">
        <f>IF(B30="","",SUMIFS('Stock Guide'!$H:$H,'Stock Guide'!$B:$B,B30))</f>
        <v>1.9820000000000001E-2</v>
      </c>
      <c r="F30" s="135">
        <f>IF(B30="","",SUMIFS('Stock Guide'!I:I,'Stock Guide'!$B:$B,B30))</f>
        <v>6047313.9791000001</v>
      </c>
      <c r="G30" s="136">
        <f>IF(B30="","",SUMIFS('Stock Guide'!$M:$M,'Stock Guide'!$B:$B,B30))</f>
        <v>2931872688</v>
      </c>
      <c r="H30" s="136">
        <f>IF(B30="","",SUMIFS('Stock Guide'!$N:$N,'Stock Guide'!$B:$B,B30))</f>
        <v>3327943047.3000002</v>
      </c>
      <c r="I30" s="137">
        <f>IF(B30="","",SUMIFS('Stock Guide'!$O:$O,'Stock Guide'!$B:$B,B30))</f>
        <v>0.88098643706618218</v>
      </c>
      <c r="J30" s="137">
        <f>IF(B30="","",SUMIFS('Stock Guide'!$P:$P,'Stock Guide'!$B:$B,B30))</f>
        <v>0.92875109013000001</v>
      </c>
      <c r="K30" s="134">
        <f>IF(B30="","",SUMIFS('Stock Guide'!$Q:$Q,'Stock Guide'!$B:$B,B30))</f>
        <v>9.7640117994000006E-2</v>
      </c>
      <c r="L30" s="134">
        <f>IF(B30="","",SUMIFS('Stock Guide'!$R:$R,'Stock Guide'!$B:$B,B30))</f>
        <v>9.9115044247787609E-2</v>
      </c>
      <c r="M30" s="133">
        <f>IF(B30="","",SUMIFS('Stock Guide'!$T:$T,'Stock Guide'!$B:$B,B30))</f>
        <v>0.84</v>
      </c>
      <c r="N30" s="138">
        <f>IFERROR(IF(B30="","",AVERAGEIFS('Stock Guide'!$U:$U,'Stock Guide'!$B:$B,B30)),"-")</f>
        <v>-2.2585295530999999E-2</v>
      </c>
      <c r="O30" s="138">
        <f>IFERROR(IF(B30="","",AVERAGEIFS('Stock Guide'!$V:$V,'Stock Guide'!$B:$B,B30)),"-")</f>
        <v>-7.7786218062000003E-3</v>
      </c>
      <c r="P30" s="138">
        <f>IFERROR(IF(B30="","",AVERAGEIFS('Stock Guide'!$W:$W,'Stock Guide'!$B:$B,B30)),"-")</f>
        <v>8.3744613048000002E-2</v>
      </c>
    </row>
    <row r="31" spans="2:16" ht="16.5" customHeight="1" x14ac:dyDescent="0.2">
      <c r="B31" s="131" t="s">
        <v>753</v>
      </c>
      <c r="C31" s="132" t="str">
        <f>IF(B31="","",(VLOOKUP(B31,'Stock Guide'!$B:$D,3,0)))</f>
        <v>Votorantim Shopping</v>
      </c>
      <c r="D31" s="133">
        <f>IF(B31="","",SUMIFS('Stock Guide'!$J:$J,'Stock Guide'!$B:$B,B31))</f>
        <v>72.260000000000005</v>
      </c>
      <c r="E31" s="134">
        <f>IF(B31="","",SUMIFS('Stock Guide'!$H:$H,'Stock Guide'!$B:$B,B31))</f>
        <v>0</v>
      </c>
      <c r="F31" s="135">
        <f>IF(B31="","",SUMIFS('Stock Guide'!I:I,'Stock Guide'!$B:$B,B31))</f>
        <v>34704.475692</v>
      </c>
      <c r="G31" s="136">
        <f>IF(B31="","",SUMIFS('Stock Guide'!$M:$M,'Stock Guide'!$B:$B,B31))</f>
        <v>151659288</v>
      </c>
      <c r="H31" s="136">
        <f>IF(B31="","",SUMIFS('Stock Guide'!$N:$N,'Stock Guide'!$B:$B,B31))</f>
        <v>249540046.94999999</v>
      </c>
      <c r="I31" s="137">
        <f>IF(B31="","",SUMIFS('Stock Guide'!$O:$O,'Stock Guide'!$B:$B,B31))</f>
        <v>0.60775530762959173</v>
      </c>
      <c r="J31" s="137">
        <f>IF(B31="","",SUMIFS('Stock Guide'!$P:$P,'Stock Guide'!$B:$B,B31))</f>
        <v>0.65677054853000005</v>
      </c>
      <c r="K31" s="134">
        <f>IF(B31="","",SUMIFS('Stock Guide'!$Q:$Q,'Stock Guide'!$B:$B,B31))</f>
        <v>0.11624688624</v>
      </c>
      <c r="L31" s="134">
        <f>IF(B31="","",SUMIFS('Stock Guide'!$R:$R,'Stock Guide'!$B:$B,B31))</f>
        <v>0.11624688624411844</v>
      </c>
      <c r="M31" s="133">
        <f>IF(B31="","",SUMIFS('Stock Guide'!$T:$T,'Stock Guide'!$B:$B,B31))</f>
        <v>0.7</v>
      </c>
      <c r="N31" s="138">
        <f>IFERROR(IF(B31="","",AVERAGEIFS('Stock Guide'!$U:$U,'Stock Guide'!$B:$B,B31)),"-")</f>
        <v>-2.7456258413E-2</v>
      </c>
      <c r="O31" s="138">
        <f>IFERROR(IF(B31="","",AVERAGEIFS('Stock Guide'!$V:$V,'Stock Guide'!$B:$B,B31)),"-")</f>
        <v>1.8717752359999999E-2</v>
      </c>
      <c r="P31" s="138">
        <f>IFERROR(IF(B31="","",AVERAGEIFS('Stock Guide'!$W:$W,'Stock Guide'!$B:$B,B31)),"-")</f>
        <v>0.10667445846</v>
      </c>
    </row>
    <row r="32" spans="2:16" ht="16.5" customHeight="1" x14ac:dyDescent="0.2">
      <c r="B32" s="131" t="s">
        <v>740</v>
      </c>
      <c r="C32" s="132" t="str">
        <f>IF(B32="","",(VLOOKUP(B32,'Stock Guide'!$B:$D,3,0)))</f>
        <v>XP Malls FII</v>
      </c>
      <c r="D32" s="133">
        <f>IF(B32="","",SUMIFS('Stock Guide'!$J:$J,'Stock Guide'!$B:$B,B32))</f>
        <v>98.4</v>
      </c>
      <c r="E32" s="134">
        <f>IF(B32="","",SUMIFS('Stock Guide'!$H:$H,'Stock Guide'!$B:$B,B32))</f>
        <v>4.2790000000000002E-2</v>
      </c>
      <c r="F32" s="135">
        <f>IF(B32="","",SUMIFS('Stock Guide'!I:I,'Stock Guide'!$B:$B,B32))</f>
        <v>16505784.448000001</v>
      </c>
      <c r="G32" s="136">
        <f>IF(B32="","",SUMIFS('Stock Guide'!$M:$M,'Stock Guide'!$B:$B,B32))</f>
        <v>6327912612</v>
      </c>
      <c r="H32" s="136">
        <f>IF(B32="","",SUMIFS('Stock Guide'!$N:$N,'Stock Guide'!$B:$B,B32))</f>
        <v>7081112753.3999996</v>
      </c>
      <c r="I32" s="137">
        <f>IF(B32="","",SUMIFS('Stock Guide'!$O:$O,'Stock Guide'!$B:$B,B32))</f>
        <v>0.8936325168613718</v>
      </c>
      <c r="J32" s="137">
        <f>IF(B32="","",SUMIFS('Stock Guide'!$P:$P,'Stock Guide'!$B:$B,B32))</f>
        <v>0.99907131349</v>
      </c>
      <c r="K32" s="134">
        <f>IF(B32="","",SUMIFS('Stock Guide'!$Q:$Q,'Stock Guide'!$B:$B,B32))</f>
        <v>0.11219512195</v>
      </c>
      <c r="L32" s="134">
        <f>IF(B32="","",SUMIFS('Stock Guide'!$R:$R,'Stock Guide'!$B:$B,B32))</f>
        <v>0.11219512195121951</v>
      </c>
      <c r="M32" s="133">
        <f>IF(B32="","",SUMIFS('Stock Guide'!$T:$T,'Stock Guide'!$B:$B,B32))</f>
        <v>0.92</v>
      </c>
      <c r="N32" s="138">
        <f>IFERROR(IF(B32="","",AVERAGEIFS('Stock Guide'!$U:$U,'Stock Guide'!$B:$B,B32)),"-")</f>
        <v>-5.2255709608000002E-2</v>
      </c>
      <c r="O32" s="138">
        <f>IFERROR(IF(B32="","",AVERAGEIFS('Stock Guide'!$V:$V,'Stock Guide'!$B:$B,B32)),"-")</f>
        <v>-2.4542661665999999E-2</v>
      </c>
      <c r="P32" s="138">
        <f>IFERROR(IF(B32="","",AVERAGEIFS('Stock Guide'!$W:$W,'Stock Guide'!$B:$B,B32)),"-")</f>
        <v>0.10754185879</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71A8A2B6-8936-452C-8257-55E06A52164E}"/>
  <mergeCells count="4">
    <mergeCell ref="B6:C6"/>
    <mergeCell ref="B8:C8"/>
    <mergeCell ref="B4:C4"/>
    <mergeCell ref="B7:C7"/>
  </mergeCells>
  <conditionalFormatting sqref="N10:O69">
    <cfRule type="cellIs" dxfId="133" priority="31" operator="lessThan">
      <formula>0</formula>
    </cfRule>
    <cfRule type="cellIs" dxfId="132" priority="32" operator="greaterThan">
      <formula>0</formula>
    </cfRule>
  </conditionalFormatting>
  <conditionalFormatting sqref="N8:P8">
    <cfRule type="cellIs" dxfId="131" priority="7" operator="lessThan">
      <formula>0</formula>
    </cfRule>
    <cfRule type="cellIs" dxfId="130" priority="8" operator="greaterThan">
      <formula>0</formula>
    </cfRule>
  </conditionalFormatting>
  <conditionalFormatting sqref="P10:P69">
    <cfRule type="cellIs" dxfId="129" priority="5" operator="lessThan">
      <formula>0</formula>
    </cfRule>
    <cfRule type="cellIs" dxfId="128" priority="6" operator="greaterThan">
      <formula>0</formula>
    </cfRule>
  </conditionalFormatting>
  <conditionalFormatting sqref="N70:O82">
    <cfRule type="cellIs" dxfId="127" priority="3" operator="lessThan">
      <formula>0</formula>
    </cfRule>
    <cfRule type="cellIs" dxfId="126" priority="4" operator="greaterThan">
      <formula>0</formula>
    </cfRule>
  </conditionalFormatting>
  <conditionalFormatting sqref="P70:P82">
    <cfRule type="cellIs" dxfId="125" priority="1" operator="lessThan">
      <formula>0</formula>
    </cfRule>
    <cfRule type="cellIs" dxfId="124" priority="2" operator="greaterThan">
      <formula>0</formula>
    </cfRule>
  </conditionalFormatting>
  <hyperlinks>
    <hyperlink ref="O2" location="Menu!A1" display="Menu" xr:uid="{CCC1FCC8-2064-4DD7-AD6B-EE2DE43A1F1E}"/>
    <hyperlink ref="P2" location="'Stock Guide'!A1" display="Stock Guide" xr:uid="{431FDD71-954C-4CAC-A999-3E23FBB0050E}"/>
  </hyperlinks>
  <pageMargins left="0.7" right="0.7" top="0.75" bottom="0.75" header="0.3" footer="0.3"/>
  <pageSetup fitToWidth="9"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7D67-94C1-4D8B-A718-B0BC85A4BEAA}">
  <sheetPr codeName="Sheet8">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17"/>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Híbrido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19</v>
      </c>
      <c r="C8" s="271"/>
      <c r="D8" s="170" t="s">
        <v>44</v>
      </c>
      <c r="E8" s="57">
        <f>SUMIFS('Stock Guide'!$H:$H,'Stock Guide'!$G:$G,B8)</f>
        <v>4.7329999999999997E-2</v>
      </c>
      <c r="F8" s="171">
        <f>AVERAGEIFS('Stock Guide'!I:I,'Stock Guide'!$G:$G,B8)</f>
        <v>1719745.4060810001</v>
      </c>
      <c r="G8" s="171">
        <f>AVERAGEIFS('Stock Guide'!$M:$M,'Stock Guide'!$G:$G,B8)</f>
        <v>922980417.34825003</v>
      </c>
      <c r="H8" s="171">
        <f>AVERAGEIFS('Stock Guide'!$N:$N,'Stock Guide'!$G:$G,B8)</f>
        <v>1054194758.6724999</v>
      </c>
      <c r="I8" s="172">
        <f>AVERAGEIFS('Stock Guide'!$O:$O,'Stock Guide'!$G:$G,B8)</f>
        <v>0.75881039758606839</v>
      </c>
      <c r="J8" s="172">
        <f>AVERAGEIFS('Stock Guide'!$P:$P,'Stock Guide'!$G:$G,B8)</f>
        <v>0.82167984118125015</v>
      </c>
      <c r="K8" s="57">
        <f>AVERAGEIFS('Stock Guide'!$Q:$Q,'Stock Guide'!$G:$G,B8)</f>
        <v>0.1142108521395</v>
      </c>
      <c r="L8" s="57">
        <f>AVERAGEIFS('Stock Guide'!$R:$R,'Stock Guide'!$G:$G,B8)</f>
        <v>0.11086549437841922</v>
      </c>
      <c r="M8" s="170" t="s">
        <v>44</v>
      </c>
      <c r="N8" s="57">
        <f>AVERAGEIFS('Stock Guide'!$U:$U,'Stock Guide'!$G:$G,$B8)</f>
        <v>-2.4056091048413747E-2</v>
      </c>
      <c r="O8" s="57">
        <f>AVERAGEIFS('Stock Guide'!$V:$V,'Stock Guide'!$G:$G,$B8)</f>
        <v>-1.4951236829875002E-2</v>
      </c>
      <c r="P8" s="57">
        <f>AVERAGEIFS('Stock Guide'!$W:$W,'Stock Guide'!$G:$G,$B8)</f>
        <v>0.110844114537125</v>
      </c>
    </row>
    <row r="9" spans="1:16" s="5" customFormat="1" ht="16.5" customHeight="1" x14ac:dyDescent="0.2">
      <c r="A9" s="18"/>
      <c r="B9" s="118" t="s">
        <v>11</v>
      </c>
      <c r="C9" s="128" t="s">
        <v>19</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349</v>
      </c>
      <c r="C10" s="132" t="str">
        <f>IF(B10="","",(VLOOKUP(B10,'Stock Guide'!$B:$D,3,0)))</f>
        <v>Alianza Trust Renda Imobiliária FII</v>
      </c>
      <c r="D10" s="133">
        <f>IF(B10="","",SUMIFS('Stock Guide'!$J:$J,'Stock Guide'!$B:$B,B10))</f>
        <v>9.9700000000000006</v>
      </c>
      <c r="E10" s="134">
        <f>IF(B10="","",SUMIFS('Stock Guide'!$H:$H,'Stock Guide'!$B:$B,B10))</f>
        <v>1.1610000000000001E-2</v>
      </c>
      <c r="F10" s="135">
        <f>IF(B10="","",SUMIFS('Stock Guide'!I:I,'Stock Guide'!$B:$B,B10))</f>
        <v>3349769.8029</v>
      </c>
      <c r="G10" s="136">
        <f>IF(B10="","",SUMIFS('Stock Guide'!$M:$M,'Stock Guide'!$B:$B,B10))</f>
        <v>1639511675</v>
      </c>
      <c r="H10" s="136">
        <f>IF(B10="","",SUMIFS('Stock Guide'!$N:$N,'Stock Guide'!$B:$B,B10))</f>
        <v>1773014664.8</v>
      </c>
      <c r="I10" s="137">
        <f>IF(B10="","",SUMIFS('Stock Guide'!$O:$O,'Stock Guide'!$B:$B,B10))</f>
        <v>0.92470282821092209</v>
      </c>
      <c r="J10" s="137">
        <f>IF(B10="","",SUMIFS('Stock Guide'!$P:$P,'Stock Guide'!$B:$B,B10))</f>
        <v>1.0121542992000001</v>
      </c>
      <c r="K10" s="134">
        <f>IF(B10="","",SUMIFS('Stock Guide'!$Q:$Q,'Stock Guide'!$B:$B,B10))</f>
        <v>0.10076228685999999</v>
      </c>
      <c r="L10" s="134">
        <f>IF(B10="","",SUMIFS('Stock Guide'!$R:$R,'Stock Guide'!$B:$B,B10))</f>
        <v>0.10110330992978936</v>
      </c>
      <c r="M10" s="133">
        <f>IF(B10="","",SUMIFS('Stock Guide'!$T:$T,'Stock Guide'!$B:$B,B10))</f>
        <v>8.4000000000000005E-2</v>
      </c>
      <c r="N10" s="138">
        <f>IFERROR(IF(B10="","",AVERAGEIFS('Stock Guide'!$U:$U,'Stock Guide'!$B:$B,B10)),"-")</f>
        <v>2.6472875707000002E-3</v>
      </c>
      <c r="O10" s="138">
        <f>IFERROR(IF(B10="","",AVERAGEIFS('Stock Guide'!$V:$V,'Stock Guide'!$B:$B,B10)),"-")</f>
        <v>-1.1066423782E-2</v>
      </c>
      <c r="P10" s="138">
        <f>IFERROR(IF(B10="","",AVERAGEIFS('Stock Guide'!$W:$W,'Stock Guide'!$B:$B,B10)),"-")</f>
        <v>9.9154964297000006E-2</v>
      </c>
    </row>
    <row r="11" spans="1:16" ht="16.5" customHeight="1" x14ac:dyDescent="0.2">
      <c r="B11" s="131" t="s">
        <v>453</v>
      </c>
      <c r="C11" s="132" t="str">
        <f>IF(B11="","",(VLOOKUP(B11,'Stock Guide'!$B:$D,3,0)))</f>
        <v>RB Capital Renda I FII</v>
      </c>
      <c r="D11" s="133">
        <f>IF(B11="","",SUMIFS('Stock Guide'!$J:$J,'Stock Guide'!$B:$B,B11))</f>
        <v>123.5</v>
      </c>
      <c r="E11" s="134">
        <f>IF(B11="","",SUMIFS('Stock Guide'!$H:$H,'Stock Guide'!$B:$B,B11))</f>
        <v>0</v>
      </c>
      <c r="F11" s="135">
        <f>IF(B11="","",SUMIFS('Stock Guide'!I:I,'Stock Guide'!$B:$B,B11))</f>
        <v>266143.17645999999</v>
      </c>
      <c r="G11" s="136">
        <f>IF(B11="","",SUMIFS('Stock Guide'!$M:$M,'Stock Guide'!$B:$B,B11))</f>
        <v>114504507</v>
      </c>
      <c r="H11" s="136">
        <f>IF(B11="","",SUMIFS('Stock Guide'!$N:$N,'Stock Guide'!$B:$B,B11))</f>
        <v>185396155.19999999</v>
      </c>
      <c r="I11" s="137">
        <f>IF(B11="","",SUMIFS('Stock Guide'!$O:$O,'Stock Guide'!$B:$B,B11))</f>
        <v>0.6176207207559179</v>
      </c>
      <c r="J11" s="137">
        <f>IF(B11="","",SUMIFS('Stock Guide'!$P:$P,'Stock Guide'!$B:$B,B11))</f>
        <v>0.78840343902999999</v>
      </c>
      <c r="K11" s="134">
        <f>IF(B11="","",SUMIFS('Stock Guide'!$Q:$Q,'Stock Guide'!$B:$B,B11))</f>
        <v>0.13651821861999999</v>
      </c>
      <c r="L11" s="134">
        <f>IF(B11="","",SUMIFS('Stock Guide'!$R:$R,'Stock Guide'!$B:$B,B11))</f>
        <v>0.13797570850202429</v>
      </c>
      <c r="M11" s="133">
        <f>IF(B11="","",SUMIFS('Stock Guide'!$T:$T,'Stock Guide'!$B:$B,B11))</f>
        <v>1.42</v>
      </c>
      <c r="N11" s="138">
        <f>IFERROR(IF(B11="","",AVERAGEIFS('Stock Guide'!$U:$U,'Stock Guide'!$B:$B,B11)),"-")</f>
        <v>-5.0584255842999998E-2</v>
      </c>
      <c r="O11" s="138">
        <f>IFERROR(IF(B11="","",AVERAGEIFS('Stock Guide'!$V:$V,'Stock Guide'!$B:$B,B11)),"-")</f>
        <v>-0.15651740074000001</v>
      </c>
      <c r="P11" s="138">
        <f>IFERROR(IF(B11="","",AVERAGEIFS('Stock Guide'!$W:$W,'Stock Guide'!$B:$B,B11)),"-")</f>
        <v>-7.1509717934999995E-2</v>
      </c>
    </row>
    <row r="12" spans="1:16" ht="16.5" customHeight="1" x14ac:dyDescent="0.2">
      <c r="B12" s="131" t="s">
        <v>560</v>
      </c>
      <c r="C12" s="132" t="str">
        <f>IF(B12="","",(VLOOKUP(B12,'Stock Guide'!$B:$D,3,0)))</f>
        <v>Kinea Renda Imobiliária FII</v>
      </c>
      <c r="D12" s="133">
        <f>IF(B12="","",SUMIFS('Stock Guide'!$J:$J,'Stock Guide'!$B:$B,B12))</f>
        <v>155.47999999999999</v>
      </c>
      <c r="E12" s="134">
        <f>IF(B12="","",SUMIFS('Stock Guide'!$H:$H,'Stock Guide'!$B:$B,B12))</f>
        <v>2.9649999999999999E-2</v>
      </c>
      <c r="F12" s="135">
        <f>IF(B12="","",SUMIFS('Stock Guide'!I:I,'Stock Guide'!$B:$B,B12))</f>
        <v>7756216.0848000003</v>
      </c>
      <c r="G12" s="136">
        <f>IF(B12="","",SUMIFS('Stock Guide'!$M:$M,'Stock Guide'!$B:$B,B12))</f>
        <v>4385165227.6000004</v>
      </c>
      <c r="H12" s="136">
        <f>IF(B12="","",SUMIFS('Stock Guide'!$N:$N,'Stock Guide'!$B:$B,B12))</f>
        <v>4608084808.5</v>
      </c>
      <c r="I12" s="137">
        <f>IF(B12="","",SUMIFS('Stock Guide'!$O:$O,'Stock Guide'!$B:$B,B12))</f>
        <v>0.95162424517691047</v>
      </c>
      <c r="J12" s="137">
        <f>IF(B12="","",SUMIFS('Stock Guide'!$P:$P,'Stock Guide'!$B:$B,B12))</f>
        <v>0.93475380695999999</v>
      </c>
      <c r="K12" s="134">
        <f>IF(B12="","",SUMIFS('Stock Guide'!$Q:$Q,'Stock Guide'!$B:$B,B12))</f>
        <v>8.3676357088000003E-2</v>
      </c>
      <c r="L12" s="134">
        <f>IF(B12="","",SUMIFS('Stock Guide'!$R:$R,'Stock Guide'!$B:$B,B12))</f>
        <v>8.48983792127605E-2</v>
      </c>
      <c r="M12" s="133">
        <f>IF(B12="","",SUMIFS('Stock Guide'!$T:$T,'Stock Guide'!$B:$B,B12))</f>
        <v>1.1000000000000001</v>
      </c>
      <c r="N12" s="138">
        <f>IFERROR(IF(B12="","",AVERAGEIFS('Stock Guide'!$U:$U,'Stock Guide'!$B:$B,B12)),"-")</f>
        <v>-7.4688796675999999E-3</v>
      </c>
      <c r="O12" s="138">
        <f>IFERROR(IF(B12="","",AVERAGEIFS('Stock Guide'!$V:$V,'Stock Guide'!$B:$B,B12)),"-")</f>
        <v>6.9130158523000002E-2</v>
      </c>
      <c r="P12" s="138">
        <f>IFERROR(IF(B12="","",AVERAGEIFS('Stock Guide'!$W:$W,'Stock Guide'!$B:$B,B12)),"-")</f>
        <v>0.23231999226</v>
      </c>
    </row>
    <row r="13" spans="1:16" ht="16.5" customHeight="1" x14ac:dyDescent="0.2">
      <c r="B13" s="131" t="s">
        <v>623</v>
      </c>
      <c r="C13" s="132" t="str">
        <f>IF(B13="","",(VLOOKUP(B13,'Stock Guide'!$B:$D,3,0)))</f>
        <v>RBR Properties FII</v>
      </c>
      <c r="D13" s="133">
        <f>IF(B13="","",SUMIFS('Stock Guide'!$J:$J,'Stock Guide'!$B:$B,B13))</f>
        <v>43.94</v>
      </c>
      <c r="E13" s="134">
        <f>IF(B13="","",SUMIFS('Stock Guide'!$H:$H,'Stock Guide'!$B:$B,B13))</f>
        <v>3.62E-3</v>
      </c>
      <c r="F13" s="135">
        <f>IF(B13="","",SUMIFS('Stock Guide'!I:I,'Stock Guide'!$B:$B,B13))</f>
        <v>1177474.4994000001</v>
      </c>
      <c r="G13" s="136">
        <f>IF(B13="","",SUMIFS('Stock Guide'!$M:$M,'Stock Guide'!$B:$B,B13))</f>
        <v>535153474.06</v>
      </c>
      <c r="H13" s="136">
        <f>IF(B13="","",SUMIFS('Stock Guide'!$N:$N,'Stock Guide'!$B:$B,B13))</f>
        <v>955608758.17999995</v>
      </c>
      <c r="I13" s="137">
        <f>IF(B13="","",SUMIFS('Stock Guide'!$O:$O,'Stock Guide'!$B:$B,B13))</f>
        <v>0.56001315337379698</v>
      </c>
      <c r="J13" s="137">
        <f>IF(B13="","",SUMIFS('Stock Guide'!$P:$P,'Stock Guide'!$B:$B,B13))</f>
        <v>0.68241088668000005</v>
      </c>
      <c r="K13" s="134">
        <f>IF(B13="","",SUMIFS('Stock Guide'!$Q:$Q,'Stock Guide'!$B:$B,B13))</f>
        <v>0.10810195721</v>
      </c>
      <c r="L13" s="134">
        <f>IF(B13="","",SUMIFS('Stock Guide'!$R:$R,'Stock Guide'!$B:$B,B13))</f>
        <v>9.5584888484296776E-2</v>
      </c>
      <c r="M13" s="133">
        <f>IF(B13="","",SUMIFS('Stock Guide'!$T:$T,'Stock Guide'!$B:$B,B13))</f>
        <v>0.35</v>
      </c>
      <c r="N13" s="138">
        <f>IFERROR(IF(B13="","",AVERAGEIFS('Stock Guide'!$U:$U,'Stock Guide'!$B:$B,B13)),"-")</f>
        <v>-3.7719419621999997E-2</v>
      </c>
      <c r="O13" s="138">
        <f>IFERROR(IF(B13="","",AVERAGEIFS('Stock Guide'!$V:$V,'Stock Guide'!$B:$B,B13)),"-")</f>
        <v>-0.16291721854999999</v>
      </c>
      <c r="P13" s="138">
        <f>IFERROR(IF(B13="","",AVERAGEIFS('Stock Guide'!$W:$W,'Stock Guide'!$B:$B,B13)),"-")</f>
        <v>-3.3532391315E-2</v>
      </c>
    </row>
    <row r="14" spans="1:16" ht="16.5" customHeight="1" x14ac:dyDescent="0.2">
      <c r="B14" s="131" t="s">
        <v>652</v>
      </c>
      <c r="C14" s="132" t="str">
        <f>IF(B14="","",(VLOOKUP(B14,'Stock Guide'!$B:$D,3,0)))</f>
        <v>Riza Arctium Real Estate FII</v>
      </c>
      <c r="D14" s="133">
        <f>IF(B14="","",SUMIFS('Stock Guide'!$J:$J,'Stock Guide'!$B:$B,B14))</f>
        <v>85.56</v>
      </c>
      <c r="E14" s="134">
        <f>IF(B14="","",SUMIFS('Stock Guide'!$H:$H,'Stock Guide'!$B:$B,B14))</f>
        <v>2.4499999999999999E-3</v>
      </c>
      <c r="F14" s="135">
        <f>IF(B14="","",SUMIFS('Stock Guide'!I:I,'Stock Guide'!$B:$B,B14))</f>
        <v>744105.01015999995</v>
      </c>
      <c r="G14" s="136">
        <f>IF(B14="","",SUMIFS('Stock Guide'!$M:$M,'Stock Guide'!$B:$B,B14))</f>
        <v>362350193.51999998</v>
      </c>
      <c r="H14" s="136">
        <f>IF(B14="","",SUMIFS('Stock Guide'!$N:$N,'Stock Guide'!$B:$B,B14))</f>
        <v>429595944.19</v>
      </c>
      <c r="I14" s="137">
        <f>IF(B14="","",SUMIFS('Stock Guide'!$O:$O,'Stock Guide'!$B:$B,B14))</f>
        <v>0.84346744521345196</v>
      </c>
      <c r="J14" s="137">
        <f>IF(B14="","",SUMIFS('Stock Guide'!$P:$P,'Stock Guide'!$B:$B,B14))</f>
        <v>0.87697907519999996</v>
      </c>
      <c r="K14" s="134">
        <f>IF(B14="","",SUMIFS('Stock Guide'!$Q:$Q,'Stock Guide'!$B:$B,B14))</f>
        <v>0.16421224871000001</v>
      </c>
      <c r="L14" s="134">
        <f>IF(B14="","",SUMIFS('Stock Guide'!$R:$R,'Stock Guide'!$B:$B,B14))</f>
        <v>0.14726507713884993</v>
      </c>
      <c r="M14" s="133">
        <f>IF(B14="","",SUMIFS('Stock Guide'!$T:$T,'Stock Guide'!$B:$B,B14))</f>
        <v>1.05</v>
      </c>
      <c r="N14" s="138">
        <f>IFERROR(IF(B14="","",AVERAGEIFS('Stock Guide'!$U:$U,'Stock Guide'!$B:$B,B14)),"-")</f>
        <v>-5.8967736514000002E-2</v>
      </c>
      <c r="O14" s="138">
        <f>IFERROR(IF(B14="","",AVERAGEIFS('Stock Guide'!$V:$V,'Stock Guide'!$B:$B,B14)),"-")</f>
        <v>8.1285593360000005E-2</v>
      </c>
      <c r="P14" s="138">
        <f>IFERROR(IF(B14="","",AVERAGEIFS('Stock Guide'!$W:$W,'Stock Guide'!$B:$B,B14)),"-")</f>
        <v>0.12385708297</v>
      </c>
    </row>
    <row r="15" spans="1:16" ht="16.5" customHeight="1" x14ac:dyDescent="0.2">
      <c r="B15" s="131" t="s">
        <v>660</v>
      </c>
      <c r="C15" s="132" t="str">
        <f>IF(B15="","",(VLOOKUP(B15,'Stock Guide'!$B:$D,3,0)))</f>
        <v>Sequóia III Renda Imobiliária FII</v>
      </c>
      <c r="D15" s="133">
        <f>IF(B15="","",SUMIFS('Stock Guide'!$J:$J,'Stock Guide'!$B:$B,B15))</f>
        <v>52.5</v>
      </c>
      <c r="E15" s="134">
        <f>IF(B15="","",SUMIFS('Stock Guide'!$H:$H,'Stock Guide'!$B:$B,B15))</f>
        <v>0</v>
      </c>
      <c r="F15" s="135">
        <f>IF(B15="","",SUMIFS('Stock Guide'!I:I,'Stock Guide'!$B:$B,B15))</f>
        <v>64874.493076999999</v>
      </c>
      <c r="G15" s="136">
        <f>IF(B15="","",SUMIFS('Stock Guide'!$M:$M,'Stock Guide'!$B:$B,B15))</f>
        <v>87449006.005999997</v>
      </c>
      <c r="H15" s="136">
        <f>IF(B15="","",SUMIFS('Stock Guide'!$N:$N,'Stock Guide'!$B:$B,B15))</f>
        <v>162080722.69999999</v>
      </c>
      <c r="I15" s="137">
        <f>IF(B15="","",SUMIFS('Stock Guide'!$O:$O,'Stock Guide'!$B:$B,B15))</f>
        <v>0.53953983267869521</v>
      </c>
      <c r="J15" s="137">
        <f>IF(B15="","",SUMIFS('Stock Guide'!$P:$P,'Stock Guide'!$B:$B,B15))</f>
        <v>0.53818082559000002</v>
      </c>
      <c r="K15" s="134">
        <f>IF(B15="","",SUMIFS('Stock Guide'!$Q:$Q,'Stock Guide'!$B:$B,B15))</f>
        <v>0.13344</v>
      </c>
      <c r="L15" s="134">
        <f>IF(B15="","",SUMIFS('Stock Guide'!$R:$R,'Stock Guide'!$B:$B,B15))</f>
        <v>0.13446857142857144</v>
      </c>
      <c r="M15" s="133">
        <f>IF(B15="","",SUMIFS('Stock Guide'!$T:$T,'Stock Guide'!$B:$B,B15))</f>
        <v>0.58830000000000005</v>
      </c>
      <c r="N15" s="138">
        <f>IFERROR(IF(B15="","",AVERAGEIFS('Stock Guide'!$U:$U,'Stock Guide'!$B:$B,B15)),"-")</f>
        <v>-2.0853785957999998E-2</v>
      </c>
      <c r="O15" s="138">
        <f>IFERROR(IF(B15="","",AVERAGEIFS('Stock Guide'!$V:$V,'Stock Guide'!$B:$B,B15)),"-")</f>
        <v>9.6126552098000001E-2</v>
      </c>
      <c r="P15" s="138">
        <f>IFERROR(IF(B15="","",AVERAGEIFS('Stock Guide'!$W:$W,'Stock Guide'!$B:$B,B15)),"-")</f>
        <v>0.24121696535000001</v>
      </c>
    </row>
    <row r="16" spans="1:16" ht="16.5" customHeight="1" x14ac:dyDescent="0.2">
      <c r="B16" s="131" t="s">
        <v>808</v>
      </c>
      <c r="C16" s="132" t="str">
        <f>IF(B16="","",(VLOOKUP(B16,'Stock Guide'!$B:$D,3,0)))</f>
        <v>V2 Renda Imobiliária FII</v>
      </c>
      <c r="D16" s="133">
        <f>IF(B16="","",SUMIFS('Stock Guide'!$J:$J,'Stock Guide'!$B:$B,B16))</f>
        <v>8.4499999999999993</v>
      </c>
      <c r="E16" s="134">
        <f>IF(B16="","",SUMIFS('Stock Guide'!$H:$H,'Stock Guide'!$B:$B,B16))</f>
        <v>0</v>
      </c>
      <c r="F16" s="135">
        <f>IF(B16="","",SUMIFS('Stock Guide'!I:I,'Stock Guide'!$B:$B,B16))</f>
        <v>354913.73061999999</v>
      </c>
      <c r="G16" s="136">
        <f>IF(B16="","",SUMIFS('Stock Guide'!$M:$M,'Stock Guide'!$B:$B,B16))</f>
        <v>148478330</v>
      </c>
      <c r="H16" s="136">
        <f>IF(B16="","",SUMIFS('Stock Guide'!$N:$N,'Stock Guide'!$B:$B,B16))</f>
        <v>154737600.28</v>
      </c>
      <c r="I16" s="137">
        <f>IF(B16="","",SUMIFS('Stock Guide'!$O:$O,'Stock Guide'!$B:$B,B16))</f>
        <v>0.95954913176452417</v>
      </c>
      <c r="J16" s="137">
        <f>IF(B16="","",SUMIFS('Stock Guide'!$P:$P,'Stock Guide'!$B:$B,B16))</f>
        <v>0.99020612473000003</v>
      </c>
      <c r="K16" s="134">
        <f>IF(B16="","",SUMIFS('Stock Guide'!$Q:$Q,'Stock Guide'!$B:$B,B16))</f>
        <v>4.2460980698E-2</v>
      </c>
      <c r="L16" s="134">
        <f>IF(B16="","",SUMIFS('Stock Guide'!$R:$R,'Stock Guide'!$B:$B,B16))</f>
        <v>3.3729286153846155E-2</v>
      </c>
      <c r="M16" s="133">
        <f>IF(B16="","",SUMIFS('Stock Guide'!$T:$T,'Stock Guide'!$B:$B,B16))</f>
        <v>2.3751039000000002E-2</v>
      </c>
      <c r="N16" s="138">
        <f>IFERROR(IF(B16="","",AVERAGEIFS('Stock Guide'!$U:$U,'Stock Guide'!$B:$B,B16)),"-")</f>
        <v>-8.6839798040999996E-4</v>
      </c>
      <c r="O16" s="138">
        <f>IFERROR(IF(B16="","",AVERAGEIFS('Stock Guide'!$V:$V,'Stock Guide'!$B:$B,B16)),"-")</f>
        <v>-4.8060800374999997E-2</v>
      </c>
      <c r="P16" s="138">
        <f>IFERROR(IF(B16="","",AVERAGEIFS('Stock Guide'!$W:$W,'Stock Guide'!$B:$B,B16)),"-")</f>
        <v>1.3378699270000001E-2</v>
      </c>
    </row>
    <row r="17" spans="2:16" ht="16.5" customHeight="1" x14ac:dyDescent="0.2">
      <c r="B17" s="131" t="s">
        <v>745</v>
      </c>
      <c r="C17" s="132" t="str">
        <f>IF(B17="","",(VLOOKUP(B17,'Stock Guide'!$B:$D,3,0)))</f>
        <v>Zavit Real Estate Fund FII</v>
      </c>
      <c r="D17" s="133">
        <f>IF(B17="","",SUMIFS('Stock Guide'!$J:$J,'Stock Guide'!$B:$B,B17))</f>
        <v>9.48</v>
      </c>
      <c r="E17" s="134">
        <f>IF(B17="","",SUMIFS('Stock Guide'!$H:$H,'Stock Guide'!$B:$B,B17))</f>
        <v>0</v>
      </c>
      <c r="F17" s="135">
        <f>IF(B17="","",SUMIFS('Stock Guide'!I:I,'Stock Guide'!$B:$B,B17))</f>
        <v>44466.451230999999</v>
      </c>
      <c r="G17" s="136">
        <f>IF(B17="","",SUMIFS('Stock Guide'!$M:$M,'Stock Guide'!$B:$B,B17))</f>
        <v>111230925.59999999</v>
      </c>
      <c r="H17" s="136">
        <f>IF(B17="","",SUMIFS('Stock Guide'!$N:$N,'Stock Guide'!$B:$B,B17))</f>
        <v>165039415.53</v>
      </c>
      <c r="I17" s="137">
        <f>IF(B17="","",SUMIFS('Stock Guide'!$O:$O,'Stock Guide'!$B:$B,B17))</f>
        <v>0.67396582351432899</v>
      </c>
      <c r="J17" s="137">
        <f>IF(B17="","",SUMIFS('Stock Guide'!$P:$P,'Stock Guide'!$B:$B,B17))</f>
        <v>0.75035027206000005</v>
      </c>
      <c r="K17" s="134">
        <f>IF(B17="","",SUMIFS('Stock Guide'!$Q:$Q,'Stock Guide'!$B:$B,B17))</f>
        <v>0.14451476793000001</v>
      </c>
      <c r="L17" s="134">
        <f>IF(B17="","",SUMIFS('Stock Guide'!$R:$R,'Stock Guide'!$B:$B,B17))</f>
        <v>0.15189873417721519</v>
      </c>
      <c r="M17" s="133">
        <f>IF(B17="","",SUMIFS('Stock Guide'!$T:$T,'Stock Guide'!$B:$B,B17))</f>
        <v>0.12</v>
      </c>
      <c r="N17" s="138">
        <f>IFERROR(IF(B17="","",AVERAGEIFS('Stock Guide'!$U:$U,'Stock Guide'!$B:$B,B17)),"-")</f>
        <v>-1.8633540372999999E-2</v>
      </c>
      <c r="O17" s="138">
        <f>IFERROR(IF(B17="","",AVERAGEIFS('Stock Guide'!$V:$V,'Stock Guide'!$B:$B,B17)),"-")</f>
        <v>1.2409644827000001E-2</v>
      </c>
      <c r="P17" s="138">
        <f>IFERROR(IF(B17="","",AVERAGEIFS('Stock Guide'!$W:$W,'Stock Guide'!$B:$B,B17)),"-")</f>
        <v>0.28186732139999998</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C3B97D67-94C1-4D8B-A718-B0BC85A4BEAA}"/>
  <mergeCells count="4">
    <mergeCell ref="B6:C6"/>
    <mergeCell ref="B8:C8"/>
    <mergeCell ref="B4:C4"/>
    <mergeCell ref="B7:C7"/>
  </mergeCells>
  <conditionalFormatting sqref="N10:O69">
    <cfRule type="cellIs" dxfId="123" priority="31" operator="lessThan">
      <formula>0</formula>
    </cfRule>
    <cfRule type="cellIs" dxfId="122" priority="32" operator="greaterThan">
      <formula>0</formula>
    </cfRule>
  </conditionalFormatting>
  <conditionalFormatting sqref="N8:P8">
    <cfRule type="cellIs" dxfId="121" priority="7" operator="lessThan">
      <formula>0</formula>
    </cfRule>
    <cfRule type="cellIs" dxfId="120" priority="8" operator="greaterThan">
      <formula>0</formula>
    </cfRule>
  </conditionalFormatting>
  <conditionalFormatting sqref="P10:P69">
    <cfRule type="cellIs" dxfId="119" priority="5" operator="lessThan">
      <formula>0</formula>
    </cfRule>
    <cfRule type="cellIs" dxfId="118" priority="6" operator="greaterThan">
      <formula>0</formula>
    </cfRule>
  </conditionalFormatting>
  <conditionalFormatting sqref="N70:O82">
    <cfRule type="cellIs" dxfId="117" priority="3" operator="lessThan">
      <formula>0</formula>
    </cfRule>
    <cfRule type="cellIs" dxfId="116" priority="4" operator="greaterThan">
      <formula>0</formula>
    </cfRule>
  </conditionalFormatting>
  <conditionalFormatting sqref="P70:P82">
    <cfRule type="cellIs" dxfId="115" priority="1" operator="lessThan">
      <formula>0</formula>
    </cfRule>
    <cfRule type="cellIs" dxfId="114" priority="2" operator="greaterThan">
      <formula>0</formula>
    </cfRule>
  </conditionalFormatting>
  <hyperlinks>
    <hyperlink ref="O2" location="Menu!A1" display="Menu" xr:uid="{8FA8B517-DD5A-48BA-BAAF-F7FDE886450D}"/>
    <hyperlink ref="P2" location="'Stock Guide'!A1" display="Stock Guide" xr:uid="{7DC1C6F7-D51A-44CA-9265-C2AE44FFD8CA}"/>
  </hyperlinks>
  <pageMargins left="0.7" right="0.7" top="0.75" bottom="0.75" header="0.3" footer="0.3"/>
  <pageSetup fitToWidth="9"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1CB6-CA57-4B28-BB3B-151CF253B303}">
  <sheetPr codeName="Sheet15">
    <pageSetUpPr fitToPage="1"/>
  </sheetPr>
  <dimension ref="A1:Q132"/>
  <sheetViews>
    <sheetView showGridLines="0" showRowColHeaders="0" zoomScale="90" zoomScaleNormal="90" workbookViewId="0">
      <pane ySplit="9" topLeftCell="A10" activePane="bottomLeft" state="frozen"/>
      <selection activeCell="D5" sqref="D5:D13"/>
      <selection pane="bottomLeft" activeCell="B9" sqref="B9:B23"/>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Fundo de Fundos</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43</v>
      </c>
      <c r="C8" s="271"/>
      <c r="D8" s="170" t="s">
        <v>44</v>
      </c>
      <c r="E8" s="57">
        <f>SUMIFS('Stock Guide'!$H:$H,'Stock Guide'!$G:$G,B8)</f>
        <v>2.4170000000000001E-2</v>
      </c>
      <c r="F8" s="171">
        <f>AVERAGEIFS('Stock Guide'!I:I,'Stock Guide'!$G:$G,B8)</f>
        <v>568847.14190992864</v>
      </c>
      <c r="G8" s="171">
        <f>AVERAGEIFS('Stock Guide'!$M:$M,'Stock Guide'!$G:$G,B8)</f>
        <v>387715473.47999996</v>
      </c>
      <c r="H8" s="171">
        <f>AVERAGEIFS('Stock Guide'!$N:$N,'Stock Guide'!$G:$G,B8)</f>
        <v>476241877.37357146</v>
      </c>
      <c r="I8" s="172">
        <f>AVERAGEIFS('Stock Guide'!$O:$O,'Stock Guide'!$G:$G,B8)</f>
        <v>0.82129621719345514</v>
      </c>
      <c r="J8" s="172">
        <f>AVERAGEIFS('Stock Guide'!$P:$P,'Stock Guide'!$G:$G,B8)</f>
        <v>0.83882071679785708</v>
      </c>
      <c r="K8" s="57">
        <f>AVERAGEIFS('Stock Guide'!$Q:$Q,'Stock Guide'!$G:$G,B8)</f>
        <v>0.14336735199214284</v>
      </c>
      <c r="L8" s="57">
        <f>AVERAGEIFS('Stock Guide'!$R:$R,'Stock Guide'!$G:$G,B8)</f>
        <v>0.13768933760869695</v>
      </c>
      <c r="M8" s="170" t="s">
        <v>44</v>
      </c>
      <c r="N8" s="57">
        <f>AVERAGEIFS('Stock Guide'!$U:$U,'Stock Guide'!$G:$G,$B8)</f>
        <v>-2.4372758415414284E-2</v>
      </c>
      <c r="O8" s="57">
        <f>AVERAGEIFS('Stock Guide'!$V:$V,'Stock Guide'!$G:$G,$B8)</f>
        <v>7.5174357659128551E-3</v>
      </c>
      <c r="P8" s="57">
        <f>AVERAGEIFS('Stock Guide'!$W:$W,'Stock Guide'!$G:$G,$B8)</f>
        <v>0.11882948934311428</v>
      </c>
    </row>
    <row r="9" spans="1:16" s="5" customFormat="1" ht="16.5" customHeight="1" x14ac:dyDescent="0.2">
      <c r="A9" s="18"/>
      <c r="B9" s="118" t="s">
        <v>11</v>
      </c>
      <c r="C9" s="128" t="s">
        <v>43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364</v>
      </c>
      <c r="C10" s="132" t="str">
        <f>IF(B10="","",(VLOOKUP(B10,'Stock Guide'!$B:$D,3,0)))</f>
        <v>BB Fundo de Fundos Imobiliários FII</v>
      </c>
      <c r="D10" s="133">
        <f>IF(B10="","",SUMIFS('Stock Guide'!$J:$J,'Stock Guide'!$B:$B,B10))</f>
        <v>66.099999999999994</v>
      </c>
      <c r="E10" s="134">
        <f>IF(B10="","",SUMIFS('Stock Guide'!$H:$H,'Stock Guide'!$B:$B,B10))</f>
        <v>0</v>
      </c>
      <c r="F10" s="135">
        <f>IF(B10="","",SUMIFS('Stock Guide'!I:I,'Stock Guide'!$B:$B,B10))</f>
        <v>405080.61200000002</v>
      </c>
      <c r="G10" s="136">
        <f>IF(B10="","",SUMIFS('Stock Guide'!$M:$M,'Stock Guide'!$B:$B,B10))</f>
        <v>264657790</v>
      </c>
      <c r="H10" s="136">
        <f>IF(B10="","",SUMIFS('Stock Guide'!$N:$N,'Stock Guide'!$B:$B,B10))</f>
        <v>281341316.72000003</v>
      </c>
      <c r="I10" s="137">
        <f>IF(B10="","",SUMIFS('Stock Guide'!$O:$O,'Stock Guide'!$B:$B,B10))</f>
        <v>0.94070004749212144</v>
      </c>
      <c r="J10" s="137">
        <f>IF(B10="","",SUMIFS('Stock Guide'!$P:$P,'Stock Guide'!$B:$B,B10))</f>
        <v>0.83033553070999999</v>
      </c>
      <c r="K10" s="134">
        <f>IF(B10="","",SUMIFS('Stock Guide'!$Q:$Q,'Stock Guide'!$B:$B,B10))</f>
        <v>0.1517397882</v>
      </c>
      <c r="L10" s="134">
        <f>IF(B10="","",SUMIFS('Stock Guide'!$R:$R,'Stock Guide'!$B:$B,B10))</f>
        <v>0.17246596066565809</v>
      </c>
      <c r="M10" s="133">
        <f>IF(B10="","",SUMIFS('Stock Guide'!$T:$T,'Stock Guide'!$B:$B,B10))</f>
        <v>0.95</v>
      </c>
      <c r="N10" s="138">
        <f>IFERROR(IF(B10="","",AVERAGEIFS('Stock Guide'!$U:$U,'Stock Guide'!$B:$B,B10)),"-")</f>
        <v>-2.5504938819000001E-2</v>
      </c>
      <c r="O10" s="138">
        <f>IFERROR(IF(B10="","",AVERAGEIFS('Stock Guide'!$V:$V,'Stock Guide'!$B:$B,B10)),"-")</f>
        <v>0.13847616435999999</v>
      </c>
      <c r="P10" s="138">
        <f>IFERROR(IF(B10="","",AVERAGEIFS('Stock Guide'!$W:$W,'Stock Guide'!$B:$B,B10)),"-")</f>
        <v>0.23566116745999999</v>
      </c>
    </row>
    <row r="11" spans="1:16" ht="16.5" customHeight="1" x14ac:dyDescent="0.2">
      <c r="B11" s="131" t="s">
        <v>372</v>
      </c>
      <c r="C11" s="132" t="str">
        <f>IF(B11="","",(VLOOKUP(B11,'Stock Guide'!$B:$D,3,0)))</f>
        <v>Bradesco Carteira Imobiliária Ativa FII</v>
      </c>
      <c r="D11" s="133">
        <f>IF(B11="","",SUMIFS('Stock Guide'!$J:$J,'Stock Guide'!$B:$B,B11))</f>
        <v>86.8</v>
      </c>
      <c r="E11" s="134">
        <f>IF(B11="","",SUMIFS('Stock Guide'!$H:$H,'Stock Guide'!$B:$B,B11))</f>
        <v>2.1800000000000001E-3</v>
      </c>
      <c r="F11" s="135">
        <f>IF(B11="","",SUMIFS('Stock Guide'!I:I,'Stock Guide'!$B:$B,B11))</f>
        <v>360065.12215000001</v>
      </c>
      <c r="G11" s="136">
        <f>IF(B11="","",SUMIFS('Stock Guide'!$M:$M,'Stock Guide'!$B:$B,B11))</f>
        <v>322812498.39999998</v>
      </c>
      <c r="H11" s="136">
        <f>IF(B11="","",SUMIFS('Stock Guide'!$N:$N,'Stock Guide'!$B:$B,B11))</f>
        <v>363291990.06</v>
      </c>
      <c r="I11" s="137">
        <f>IF(B11="","",SUMIFS('Stock Guide'!$O:$O,'Stock Guide'!$B:$B,B11))</f>
        <v>0.88857587624402457</v>
      </c>
      <c r="J11" s="137">
        <f>IF(B11="","",SUMIFS('Stock Guide'!$P:$P,'Stock Guide'!$B:$B,B11))</f>
        <v>0.85258465228000002</v>
      </c>
      <c r="K11" s="134">
        <f>IF(B11="","",SUMIFS('Stock Guide'!$Q:$Q,'Stock Guide'!$B:$B,B11))</f>
        <v>0.11970046081999999</v>
      </c>
      <c r="L11" s="134">
        <f>IF(B11="","",SUMIFS('Stock Guide'!$R:$R,'Stock Guide'!$B:$B,B11))</f>
        <v>0.11889400921658985</v>
      </c>
      <c r="M11" s="133">
        <f>IF(B11="","",SUMIFS('Stock Guide'!$T:$T,'Stock Guide'!$B:$B,B11))</f>
        <v>0.86</v>
      </c>
      <c r="N11" s="138">
        <f>IFERROR(IF(B11="","",AVERAGEIFS('Stock Guide'!$U:$U,'Stock Guide'!$B:$B,B11)),"-")</f>
        <v>-1.0938924338E-2</v>
      </c>
      <c r="O11" s="138">
        <f>IFERROR(IF(B11="","",AVERAGEIFS('Stock Guide'!$V:$V,'Stock Guide'!$B:$B,B11)),"-")</f>
        <v>5.4525613624999997E-2</v>
      </c>
      <c r="P11" s="138">
        <f>IFERROR(IF(B11="","",AVERAGEIFS('Stock Guide'!$W:$W,'Stock Guide'!$B:$B,B11)),"-")</f>
        <v>0.19145501526</v>
      </c>
    </row>
    <row r="12" spans="1:16" ht="16.5" customHeight="1" x14ac:dyDescent="0.2">
      <c r="B12" s="131" t="s">
        <v>418</v>
      </c>
      <c r="C12" s="132" t="str">
        <f>IF(B12="","",(VLOOKUP(B12,'Stock Guide'!$B:$D,3,0)))</f>
        <v>Caixa Carteira Imobiliária FII</v>
      </c>
      <c r="D12" s="133">
        <f>IF(B12="","",SUMIFS('Stock Guide'!$J:$J,'Stock Guide'!$B:$B,B12))</f>
        <v>63.5</v>
      </c>
      <c r="E12" s="134">
        <f>IF(B12="","",SUMIFS('Stock Guide'!$H:$H,'Stock Guide'!$B:$B,B12))</f>
        <v>0</v>
      </c>
      <c r="F12" s="135">
        <f>IF(B12="","",SUMIFS('Stock Guide'!I:I,'Stock Guide'!$B:$B,B12))</f>
        <v>102739.90569</v>
      </c>
      <c r="G12" s="136">
        <f>IF(B12="","",SUMIFS('Stock Guide'!$M:$M,'Stock Guide'!$B:$B,B12))</f>
        <v>130665601</v>
      </c>
      <c r="H12" s="136">
        <f>IF(B12="","",SUMIFS('Stock Guide'!$N:$N,'Stock Guide'!$B:$B,B12))</f>
        <v>161887542.94999999</v>
      </c>
      <c r="I12" s="137">
        <f>IF(B12="","",SUMIFS('Stock Guide'!$O:$O,'Stock Guide'!$B:$B,B12))</f>
        <v>0.80713808251668206</v>
      </c>
      <c r="J12" s="137">
        <f>IF(B12="","",SUMIFS('Stock Guide'!$P:$P,'Stock Guide'!$B:$B,B12))</f>
        <v>0.79571790347000004</v>
      </c>
      <c r="K12" s="134">
        <f>IF(B12="","",SUMIFS('Stock Guide'!$Q:$Q,'Stock Guide'!$B:$B,B12))</f>
        <v>0.14488188975999999</v>
      </c>
      <c r="L12" s="134">
        <f>IF(B12="","",SUMIFS('Stock Guide'!$R:$R,'Stock Guide'!$B:$B,B12))</f>
        <v>0.14173228346456693</v>
      </c>
      <c r="M12" s="133">
        <f>IF(B12="","",SUMIFS('Stock Guide'!$T:$T,'Stock Guide'!$B:$B,B12))</f>
        <v>0.75</v>
      </c>
      <c r="N12" s="138">
        <f>IFERROR(IF(B12="","",AVERAGEIFS('Stock Guide'!$U:$U,'Stock Guide'!$B:$B,B12)),"-")</f>
        <v>-1.7717964278999999E-2</v>
      </c>
      <c r="O12" s="138">
        <f>IFERROR(IF(B12="","",AVERAGEIFS('Stock Guide'!$V:$V,'Stock Guide'!$B:$B,B12)),"-")</f>
        <v>2.9285889705E-3</v>
      </c>
      <c r="P12" s="138">
        <f>IFERROR(IF(B12="","",AVERAGEIFS('Stock Guide'!$W:$W,'Stock Guide'!$B:$B,B12)),"-")</f>
        <v>0.12010086868</v>
      </c>
    </row>
    <row r="13" spans="1:16" ht="16.5" customHeight="1" x14ac:dyDescent="0.2">
      <c r="B13" s="131" t="s">
        <v>429</v>
      </c>
      <c r="C13" s="132" t="str">
        <f>IF(B13="","",(VLOOKUP(B13,'Stock Guide'!$B:$D,3,0)))</f>
        <v>Devant Fundo de Fundos Imobiliários FII</v>
      </c>
      <c r="D13" s="133">
        <f>IF(B13="","",SUMIFS('Stock Guide'!$J:$J,'Stock Guide'!$B:$B,B13))</f>
        <v>5.12</v>
      </c>
      <c r="E13" s="134">
        <f>IF(B13="","",SUMIFS('Stock Guide'!$H:$H,'Stock Guide'!$B:$B,B13))</f>
        <v>0</v>
      </c>
      <c r="F13" s="135">
        <f>IF(B13="","",SUMIFS('Stock Guide'!I:I,'Stock Guide'!$B:$B,B13))</f>
        <v>51788.519539000001</v>
      </c>
      <c r="G13" s="136">
        <f>IF(B13="","",SUMIFS('Stock Guide'!$M:$M,'Stock Guide'!$B:$B,B13))</f>
        <v>56368640</v>
      </c>
      <c r="H13" s="136">
        <f>IF(B13="","",SUMIFS('Stock Guide'!$N:$N,'Stock Guide'!$B:$B,B13))</f>
        <v>88109343.019999996</v>
      </c>
      <c r="I13" s="137">
        <f>IF(B13="","",SUMIFS('Stock Guide'!$O:$O,'Stock Guide'!$B:$B,B13))</f>
        <v>0.63975780624314549</v>
      </c>
      <c r="J13" s="137">
        <f>IF(B13="","",SUMIFS('Stock Guide'!$P:$P,'Stock Guide'!$B:$B,B13))</f>
        <v>0.67456034681999999</v>
      </c>
      <c r="K13" s="134">
        <f>IF(B13="","",SUMIFS('Stock Guide'!$Q:$Q,'Stock Guide'!$B:$B,B13))</f>
        <v>0.20703125</v>
      </c>
      <c r="L13" s="134">
        <f>IF(B13="","",SUMIFS('Stock Guide'!$R:$R,'Stock Guide'!$B:$B,B13))</f>
        <v>0.15234375</v>
      </c>
      <c r="M13" s="133">
        <f>IF(B13="","",SUMIFS('Stock Guide'!$T:$T,'Stock Guide'!$B:$B,B13))</f>
        <v>6.5000000000000002E-2</v>
      </c>
      <c r="N13" s="138">
        <f>IFERROR(IF(B13="","",AVERAGEIFS('Stock Guide'!$U:$U,'Stock Guide'!$B:$B,B13)),"-")</f>
        <v>2.7437426452000002E-3</v>
      </c>
      <c r="O13" s="138">
        <f>IFERROR(IF(B13="","",AVERAGEIFS('Stock Guide'!$V:$V,'Stock Guide'!$B:$B,B13)),"-")</f>
        <v>5.2319217447999999E-3</v>
      </c>
      <c r="P13" s="138">
        <f>IFERROR(IF(B13="","",AVERAGEIFS('Stock Guide'!$W:$W,'Stock Guide'!$B:$B,B13)),"-")</f>
        <v>3.0877300975000001E-2</v>
      </c>
    </row>
    <row r="14" spans="1:16" ht="16.5" customHeight="1" x14ac:dyDescent="0.2">
      <c r="B14" s="131" t="s">
        <v>488</v>
      </c>
      <c r="C14" s="132" t="str">
        <f>IF(B14="","",(VLOOKUP(B14,'Stock Guide'!$B:$D,3,0)))</f>
        <v>Hedge Top FOFII 3 FII</v>
      </c>
      <c r="D14" s="133">
        <f>IF(B14="","",SUMIFS('Stock Guide'!$J:$J,'Stock Guide'!$B:$B,B14))</f>
        <v>6.18</v>
      </c>
      <c r="E14" s="134">
        <f>IF(B14="","",SUMIFS('Stock Guide'!$H:$H,'Stock Guide'!$B:$B,B14))</f>
        <v>9.4299999999999991E-3</v>
      </c>
      <c r="F14" s="135">
        <f>IF(B14="","",SUMIFS('Stock Guide'!I:I,'Stock Guide'!$B:$B,B14))</f>
        <v>2090390.6688000001</v>
      </c>
      <c r="G14" s="136">
        <f>IF(B14="","",SUMIFS('Stock Guide'!$M:$M,'Stock Guide'!$B:$B,B14))</f>
        <v>1349897400</v>
      </c>
      <c r="H14" s="136">
        <f>IF(B14="","",SUMIFS('Stock Guide'!$N:$N,'Stock Guide'!$B:$B,B14))</f>
        <v>1666400939.9000001</v>
      </c>
      <c r="I14" s="137">
        <f>IF(B14="","",SUMIFS('Stock Guide'!$O:$O,'Stock Guide'!$B:$B,B14))</f>
        <v>0.81006759398551864</v>
      </c>
      <c r="J14" s="137">
        <f>IF(B14="","",SUMIFS('Stock Guide'!$P:$P,'Stock Guide'!$B:$B,B14))</f>
        <v>0.84109209679999997</v>
      </c>
      <c r="K14" s="134">
        <f>IF(B14="","",SUMIFS('Stock Guide'!$Q:$Q,'Stock Guide'!$B:$B,B14))</f>
        <v>0.11326860841</v>
      </c>
      <c r="L14" s="134">
        <f>IF(B14="","",SUMIFS('Stock Guide'!$R:$R,'Stock Guide'!$B:$B,B14))</f>
        <v>0.11650485436893204</v>
      </c>
      <c r="M14" s="133">
        <f>IF(B14="","",SUMIFS('Stock Guide'!$T:$T,'Stock Guide'!$B:$B,B14))</f>
        <v>0.06</v>
      </c>
      <c r="N14" s="138">
        <f>IFERROR(IF(B14="","",AVERAGEIFS('Stock Guide'!$U:$U,'Stock Guide'!$B:$B,B14)),"-")</f>
        <v>-2.6771653542999999E-2</v>
      </c>
      <c r="O14" s="138">
        <f>IFERROR(IF(B14="","",AVERAGEIFS('Stock Guide'!$V:$V,'Stock Guide'!$B:$B,B14)),"-")</f>
        <v>4.3618579548000003E-4</v>
      </c>
      <c r="P14" s="138">
        <f>IFERROR(IF(B14="","",AVERAGEIFS('Stock Guide'!$W:$W,'Stock Guide'!$B:$B,B14)),"-")</f>
        <v>0.17611109473</v>
      </c>
    </row>
    <row r="15" spans="1:16" ht="16.5" customHeight="1" x14ac:dyDescent="0.2">
      <c r="B15" s="131" t="s">
        <v>747</v>
      </c>
      <c r="C15" s="132" t="str">
        <f>IF(B15="","",(VLOOKUP(B15,'Stock Guide'!$B:$D,3,0)))</f>
        <v>JHSF Capital Cidade Jardim FII</v>
      </c>
      <c r="D15" s="133">
        <f>IF(B15="","",SUMIFS('Stock Guide'!$J:$J,'Stock Guide'!$B:$B,B15))</f>
        <v>141.9</v>
      </c>
      <c r="E15" s="134">
        <f>IF(B15="","",SUMIFS('Stock Guide'!$H:$H,'Stock Guide'!$B:$B,B15))</f>
        <v>0</v>
      </c>
      <c r="F15" s="135">
        <f>IF(B15="","",SUMIFS('Stock Guide'!I:I,'Stock Guide'!$B:$B,B15))</f>
        <v>253995.49385</v>
      </c>
      <c r="G15" s="136">
        <f>IF(B15="","",SUMIFS('Stock Guide'!$M:$M,'Stock Guide'!$B:$B,B15))</f>
        <v>739729808.39999998</v>
      </c>
      <c r="H15" s="136">
        <f>IF(B15="","",SUMIFS('Stock Guide'!$N:$N,'Stock Guide'!$B:$B,B15))</f>
        <v>1032468376.4</v>
      </c>
      <c r="I15" s="137">
        <f>IF(B15="","",SUMIFS('Stock Guide'!$O:$O,'Stock Guide'!$B:$B,B15))</f>
        <v>0.71646727910377483</v>
      </c>
      <c r="J15" s="137">
        <f>IF(B15="","",SUMIFS('Stock Guide'!$P:$P,'Stock Guide'!$B:$B,B15))</f>
        <v>0.78443384652000003</v>
      </c>
      <c r="K15" s="134">
        <f>IF(B15="","",SUMIFS('Stock Guide'!$Q:$Q,'Stock Guide'!$B:$B,B15))</f>
        <v>0.11998049994</v>
      </c>
      <c r="L15" s="134">
        <f>IF(B15="","",SUMIFS('Stock Guide'!$R:$R,'Stock Guide'!$B:$B,B15))</f>
        <v>0.1496828752642706</v>
      </c>
      <c r="M15" s="133">
        <f>IF(B15="","",SUMIFS('Stock Guide'!$T:$T,'Stock Guide'!$B:$B,B15))</f>
        <v>1.77</v>
      </c>
      <c r="N15" s="138">
        <f>IFERROR(IF(B15="","",AVERAGEIFS('Stock Guide'!$U:$U,'Stock Guide'!$B:$B,B15)),"-")</f>
        <v>8.0806024796000006E-2</v>
      </c>
      <c r="O15" s="138">
        <f>IFERROR(IF(B15="","",AVERAGEIFS('Stock Guide'!$V:$V,'Stock Guide'!$B:$B,B15)),"-")</f>
        <v>1.6321789906E-2</v>
      </c>
      <c r="P15" s="138">
        <f>IFERROR(IF(B15="","",AVERAGEIFS('Stock Guide'!$W:$W,'Stock Guide'!$B:$B,B15)),"-")</f>
        <v>-7.1695925643999996E-3</v>
      </c>
    </row>
    <row r="16" spans="1:16" ht="16.5" customHeight="1" x14ac:dyDescent="0.2">
      <c r="B16" s="131" t="s">
        <v>539</v>
      </c>
      <c r="C16" s="132" t="str">
        <f>IF(B16="","",(VLOOKUP(B16,'Stock Guide'!$B:$D,3,0)))</f>
        <v>JS Ativos Financeiros FII</v>
      </c>
      <c r="D16" s="133">
        <f>IF(B16="","",SUMIFS('Stock Guide'!$J:$J,'Stock Guide'!$B:$B,B16))</f>
        <v>6.79</v>
      </c>
      <c r="E16" s="134">
        <f>IF(B16="","",SUMIFS('Stock Guide'!$H:$H,'Stock Guide'!$B:$B,B16))</f>
        <v>3.5599999999999998E-3</v>
      </c>
      <c r="F16" s="135">
        <f>IF(B16="","",SUMIFS('Stock Guide'!I:I,'Stock Guide'!$B:$B,B16))</f>
        <v>1655699.8905</v>
      </c>
      <c r="G16" s="136">
        <f>IF(B16="","",SUMIFS('Stock Guide'!$M:$M,'Stock Guide'!$B:$B,B16))</f>
        <v>526383139.10000002</v>
      </c>
      <c r="H16" s="136">
        <f>IF(B16="","",SUMIFS('Stock Guide'!$N:$N,'Stock Guide'!$B:$B,B16))</f>
        <v>693505638.04999995</v>
      </c>
      <c r="I16" s="137">
        <f>IF(B16="","",SUMIFS('Stock Guide'!$O:$O,'Stock Guide'!$B:$B,B16))</f>
        <v>0.75901782223441583</v>
      </c>
      <c r="J16" s="137">
        <f>IF(B16="","",SUMIFS('Stock Guide'!$P:$P,'Stock Guide'!$B:$B,B16))</f>
        <v>0.83073374452000004</v>
      </c>
      <c r="K16" s="134">
        <f>IF(B16="","",SUMIFS('Stock Guide'!$Q:$Q,'Stock Guide'!$B:$B,B16))</f>
        <v>0.14359351987999999</v>
      </c>
      <c r="L16" s="134">
        <f>IF(B16="","",SUMIFS('Stock Guide'!$R:$R,'Stock Guide'!$B:$B,B16))</f>
        <v>0.14138438880706922</v>
      </c>
      <c r="M16" s="133">
        <f>IF(B16="","",SUMIFS('Stock Guide'!$T:$T,'Stock Guide'!$B:$B,B16))</f>
        <v>0.08</v>
      </c>
      <c r="N16" s="138">
        <f>IFERROR(IF(B16="","",AVERAGEIFS('Stock Guide'!$U:$U,'Stock Guide'!$B:$B,B16)),"-")</f>
        <v>-4.2313117066000001E-2</v>
      </c>
      <c r="O16" s="138">
        <f>IFERROR(IF(B16="","",AVERAGEIFS('Stock Guide'!$V:$V,'Stock Guide'!$B:$B,B16)),"-")</f>
        <v>-5.0221153322000001E-2</v>
      </c>
      <c r="P16" s="138">
        <f>IFERROR(IF(B16="","",AVERAGEIFS('Stock Guide'!$W:$W,'Stock Guide'!$B:$B,B16)),"-")</f>
        <v>5.0531505988999997E-2</v>
      </c>
    </row>
    <row r="17" spans="2:16" ht="16.5" customHeight="1" x14ac:dyDescent="0.2">
      <c r="B17" s="131" t="s">
        <v>548</v>
      </c>
      <c r="C17" s="132" t="str">
        <f>IF(B17="","",(VLOOKUP(B17,'Stock Guide'!$B:$D,3,0)))</f>
        <v>Kinea Fundo de Fundos de Investimento Imobiliário FII</v>
      </c>
      <c r="D17" s="133">
        <f>IF(B17="","",SUMIFS('Stock Guide'!$J:$J,'Stock Guide'!$B:$B,B17))</f>
        <v>74.849999999999994</v>
      </c>
      <c r="E17" s="134">
        <f>IF(B17="","",SUMIFS('Stock Guide'!$H:$H,'Stock Guide'!$B:$B,B17))</f>
        <v>3.5500000000000002E-3</v>
      </c>
      <c r="F17" s="135">
        <f>IF(B17="","",SUMIFS('Stock Guide'!I:I,'Stock Guide'!$B:$B,B17))</f>
        <v>1058751.0262</v>
      </c>
      <c r="G17" s="136">
        <f>IF(B17="","",SUMIFS('Stock Guide'!$M:$M,'Stock Guide'!$B:$B,B17))</f>
        <v>525040190.25</v>
      </c>
      <c r="H17" s="136">
        <f>IF(B17="","",SUMIFS('Stock Guide'!$N:$N,'Stock Guide'!$B:$B,B17))</f>
        <v>619645324.57000005</v>
      </c>
      <c r="I17" s="137">
        <f>IF(B17="","",SUMIFS('Stock Guide'!$O:$O,'Stock Guide'!$B:$B,B17))</f>
        <v>0.84732373412863105</v>
      </c>
      <c r="J17" s="137">
        <f>IF(B17="","",SUMIFS('Stock Guide'!$P:$P,'Stock Guide'!$B:$B,B17))</f>
        <v>0.92479793900999996</v>
      </c>
      <c r="K17" s="134">
        <f>IF(B17="","",SUMIFS('Stock Guide'!$Q:$Q,'Stock Guide'!$B:$B,B17))</f>
        <v>0.12825651302999999</v>
      </c>
      <c r="L17" s="134">
        <f>IF(B17="","",SUMIFS('Stock Guide'!$R:$R,'Stock Guide'!$B:$B,B17))</f>
        <v>0.12825651302605212</v>
      </c>
      <c r="M17" s="133">
        <f>IF(B17="","",SUMIFS('Stock Guide'!$T:$T,'Stock Guide'!$B:$B,B17))</f>
        <v>0.8</v>
      </c>
      <c r="N17" s="138">
        <f>IFERROR(IF(B17="","",AVERAGEIFS('Stock Guide'!$U:$U,'Stock Guide'!$B:$B,B17)),"-")</f>
        <v>-4.0507627227E-2</v>
      </c>
      <c r="O17" s="138">
        <f>IFERROR(IF(B17="","",AVERAGEIFS('Stock Guide'!$V:$V,'Stock Guide'!$B:$B,B17)),"-")</f>
        <v>-7.1660005358999995E-2</v>
      </c>
      <c r="P17" s="138">
        <f>IFERROR(IF(B17="","",AVERAGEIFS('Stock Guide'!$W:$W,'Stock Guide'!$B:$B,B17)),"-")</f>
        <v>9.6916695359999999E-2</v>
      </c>
    </row>
    <row r="18" spans="2:16" ht="16.5" customHeight="1" x14ac:dyDescent="0.2">
      <c r="B18" s="131" t="s">
        <v>550</v>
      </c>
      <c r="C18" s="132" t="str">
        <f>IF(B18="","",(VLOOKUP(B18,'Stock Guide'!$B:$D,3,0)))</f>
        <v>Kilima Fundo de Investimento Em Cotas de FII Suno 30</v>
      </c>
      <c r="D18" s="133">
        <f>IF(B18="","",SUMIFS('Stock Guide'!$J:$J,'Stock Guide'!$B:$B,B18))</f>
        <v>6.05</v>
      </c>
      <c r="E18" s="134">
        <f>IF(B18="","",SUMIFS('Stock Guide'!$H:$H,'Stock Guide'!$B:$B,B18))</f>
        <v>1.81E-3</v>
      </c>
      <c r="F18" s="135">
        <f>IF(B18="","",SUMIFS('Stock Guide'!I:I,'Stock Guide'!$B:$B,B18))</f>
        <v>480028.25014999998</v>
      </c>
      <c r="G18" s="136">
        <f>IF(B18="","",SUMIFS('Stock Guide'!$M:$M,'Stock Guide'!$B:$B,B18))</f>
        <v>360242210.35000002</v>
      </c>
      <c r="H18" s="136">
        <f>IF(B18="","",SUMIFS('Stock Guide'!$N:$N,'Stock Guide'!$B:$B,B18))</f>
        <v>454565655.81</v>
      </c>
      <c r="I18" s="137">
        <f>IF(B18="","",SUMIFS('Stock Guide'!$O:$O,'Stock Guide'!$B:$B,B18))</f>
        <v>0.79249764197006245</v>
      </c>
      <c r="J18" s="137">
        <f>IF(B18="","",SUMIFS('Stock Guide'!$P:$P,'Stock Guide'!$B:$B,B18))</f>
        <v>0.82995863857999996</v>
      </c>
      <c r="K18" s="134">
        <f>IF(B18="","",SUMIFS('Stock Guide'!$Q:$Q,'Stock Guide'!$B:$B,B18))</f>
        <v>0.13884297521</v>
      </c>
      <c r="L18" s="134">
        <f>IF(B18="","",SUMIFS('Stock Guide'!$R:$R,'Stock Guide'!$B:$B,B18))</f>
        <v>0.1388429752066116</v>
      </c>
      <c r="M18" s="133">
        <f>IF(B18="","",SUMIFS('Stock Guide'!$T:$T,'Stock Guide'!$B:$B,B18))</f>
        <v>7.0000000000000007E-2</v>
      </c>
      <c r="N18" s="138">
        <f>IFERROR(IF(B18="","",AVERAGEIFS('Stock Guide'!$U:$U,'Stock Guide'!$B:$B,B18)),"-")</f>
        <v>-4.9831295025999998E-2</v>
      </c>
      <c r="O18" s="138">
        <f>IFERROR(IF(B18="","",AVERAGEIFS('Stock Guide'!$V:$V,'Stock Guide'!$B:$B,B18)),"-")</f>
        <v>-5.7561121568000001E-2</v>
      </c>
      <c r="P18" s="138">
        <f>IFERROR(IF(B18="","",AVERAGEIFS('Stock Guide'!$W:$W,'Stock Guide'!$B:$B,B18)),"-")</f>
        <v>2.962910249E-2</v>
      </c>
    </row>
    <row r="19" spans="2:16" ht="16.5" customHeight="1" x14ac:dyDescent="0.2">
      <c r="B19" s="131" t="s">
        <v>588</v>
      </c>
      <c r="C19" s="132" t="str">
        <f>IF(B19="","",(VLOOKUP(B19,'Stock Guide'!$B:$D,3,0)))</f>
        <v>Navi Imobiliário Total Return FII</v>
      </c>
      <c r="D19" s="133">
        <f>IF(B19="","",SUMIFS('Stock Guide'!$J:$J,'Stock Guide'!$B:$B,B19))</f>
        <v>64.39</v>
      </c>
      <c r="E19" s="134">
        <f>IF(B19="","",SUMIFS('Stock Guide'!$H:$H,'Stock Guide'!$B:$B,B19))</f>
        <v>0</v>
      </c>
      <c r="F19" s="135">
        <f>IF(B19="","",SUMIFS('Stock Guide'!I:I,'Stock Guide'!$B:$B,B19))</f>
        <v>53877.086000000003</v>
      </c>
      <c r="G19" s="136">
        <f>IF(B19="","",SUMIFS('Stock Guide'!$M:$M,'Stock Guide'!$B:$B,B19))</f>
        <v>39424837.979999997</v>
      </c>
      <c r="H19" s="136">
        <f>IF(B19="","",SUMIFS('Stock Guide'!$N:$N,'Stock Guide'!$B:$B,B19))</f>
        <v>51532143.969999999</v>
      </c>
      <c r="I19" s="137">
        <f>IF(B19="","",SUMIFS('Stock Guide'!$O:$O,'Stock Guide'!$B:$B,B19))</f>
        <v>0.76505332289204964</v>
      </c>
      <c r="J19" s="137">
        <f>IF(B19="","",SUMIFS('Stock Guide'!$P:$P,'Stock Guide'!$B:$B,B19))</f>
        <v>0.81702158512</v>
      </c>
      <c r="K19" s="134">
        <f>IF(B19="","",SUMIFS('Stock Guide'!$Q:$Q,'Stock Guide'!$B:$B,B19))</f>
        <v>0.16837664342</v>
      </c>
      <c r="L19" s="134">
        <f>IF(B19="","",SUMIFS('Stock Guide'!$R:$R,'Stock Guide'!$B:$B,B19))</f>
        <v>0.15840969094579901</v>
      </c>
      <c r="M19" s="133">
        <f>IF(B19="","",SUMIFS('Stock Guide'!$T:$T,'Stock Guide'!$B:$B,B19))</f>
        <v>0.85</v>
      </c>
      <c r="N19" s="138">
        <f>IFERROR(IF(B19="","",AVERAGEIFS('Stock Guide'!$U:$U,'Stock Guide'!$B:$B,B19)),"-")</f>
        <v>-0.11857163499999999</v>
      </c>
      <c r="O19" s="138">
        <f>IFERROR(IF(B19="","",AVERAGEIFS('Stock Guide'!$V:$V,'Stock Guide'!$B:$B,B19)),"-")</f>
        <v>-1.4810869290000001E-2</v>
      </c>
      <c r="P19" s="138">
        <f>IFERROR(IF(B19="","",AVERAGEIFS('Stock Guide'!$W:$W,'Stock Guide'!$B:$B,B19)),"-")</f>
        <v>8.2649512524000004E-2</v>
      </c>
    </row>
    <row r="20" spans="2:16" ht="16.5" customHeight="1" x14ac:dyDescent="0.2">
      <c r="B20" s="131" t="s">
        <v>644</v>
      </c>
      <c r="C20" s="132" t="str">
        <f>IF(B20="","",(VLOOKUP(B20,'Stock Guide'!$B:$D,3,0)))</f>
        <v>Real Investor FII</v>
      </c>
      <c r="D20" s="133">
        <f>IF(B20="","",SUMIFS('Stock Guide'!$J:$J,'Stock Guide'!$B:$B,B20))</f>
        <v>100.15</v>
      </c>
      <c r="E20" s="134">
        <f>IF(B20="","",SUMIFS('Stock Guide'!$H:$H,'Stock Guide'!$B:$B,B20))</f>
        <v>0</v>
      </c>
      <c r="F20" s="135">
        <f>IF(B20="","",SUMIFS('Stock Guide'!I:I,'Stock Guide'!$B:$B,B20))</f>
        <v>529715.20385000005</v>
      </c>
      <c r="G20" s="136">
        <f>IF(B20="","",SUMIFS('Stock Guide'!$M:$M,'Stock Guide'!$B:$B,B20))</f>
        <v>503922351.39999998</v>
      </c>
      <c r="H20" s="136">
        <f>IF(B20="","",SUMIFS('Stock Guide'!$N:$N,'Stock Guide'!$B:$B,B20))</f>
        <v>511363710.42000002</v>
      </c>
      <c r="I20" s="137">
        <f>IF(B20="","",SUMIFS('Stock Guide'!$O:$O,'Stock Guide'!$B:$B,B20))</f>
        <v>0.98544801113499392</v>
      </c>
      <c r="J20" s="137">
        <f>IF(B20="","",SUMIFS('Stock Guide'!$P:$P,'Stock Guide'!$B:$B,B20))</f>
        <v>1.0079624858</v>
      </c>
      <c r="K20" s="134">
        <f>IF(B20="","",SUMIFS('Stock Guide'!$Q:$Q,'Stock Guide'!$B:$B,B20))</f>
        <v>0.13479780329999999</v>
      </c>
      <c r="L20" s="134">
        <f>IF(B20="","",SUMIFS('Stock Guide'!$R:$R,'Stock Guide'!$B:$B,B20))</f>
        <v>0.12581128307538691</v>
      </c>
      <c r="M20" s="133">
        <f>IF(B20="","",SUMIFS('Stock Guide'!$T:$T,'Stock Guide'!$B:$B,B20))</f>
        <v>1.05</v>
      </c>
      <c r="N20" s="138">
        <f>IFERROR(IF(B20="","",AVERAGEIFS('Stock Guide'!$U:$U,'Stock Guide'!$B:$B,B20)),"-")</f>
        <v>-1.9529059035000001E-2</v>
      </c>
      <c r="O20" s="138">
        <f>IFERROR(IF(B20="","",AVERAGEIFS('Stock Guide'!$V:$V,'Stock Guide'!$B:$B,B20)),"-")</f>
        <v>1.8019954971999999E-2</v>
      </c>
      <c r="P20" s="138">
        <f>IFERROR(IF(B20="","",AVERAGEIFS('Stock Guide'!$W:$W,'Stock Guide'!$B:$B,B20)),"-")</f>
        <v>0.13067020846999999</v>
      </c>
    </row>
    <row r="21" spans="2:16" ht="16.5" customHeight="1" x14ac:dyDescent="0.2">
      <c r="B21" s="131" t="s">
        <v>669</v>
      </c>
      <c r="C21" s="132" t="str">
        <f>IF(B21="","",(VLOOKUP(B21,'Stock Guide'!$B:$D,3,0)))</f>
        <v>Suno Fundo de Fundos</v>
      </c>
      <c r="D21" s="133">
        <f>IF(B21="","",SUMIFS('Stock Guide'!$J:$J,'Stock Guide'!$B:$B,B21))</f>
        <v>71</v>
      </c>
      <c r="E21" s="134">
        <f>IF(B21="","",SUMIFS('Stock Guide'!$H:$H,'Stock Guide'!$B:$B,B21))</f>
        <v>1.9300000000000001E-3</v>
      </c>
      <c r="F21" s="135">
        <f>IF(B21="","",SUMIFS('Stock Guide'!I:I,'Stock Guide'!$B:$B,B21))</f>
        <v>362326.85985000001</v>
      </c>
      <c r="G21" s="136">
        <f>IF(B21="","",SUMIFS('Stock Guide'!$M:$M,'Stock Guide'!$B:$B,B21))</f>
        <v>285465085</v>
      </c>
      <c r="H21" s="136">
        <f>IF(B21="","",SUMIFS('Stock Guide'!$N:$N,'Stock Guide'!$B:$B,B21))</f>
        <v>337792105.14999998</v>
      </c>
      <c r="I21" s="137">
        <f>IF(B21="","",SUMIFS('Stock Guide'!$O:$O,'Stock Guide'!$B:$B,B21))</f>
        <v>0.84509105052421629</v>
      </c>
      <c r="J21" s="137">
        <f>IF(B21="","",SUMIFS('Stock Guide'!$P:$P,'Stock Guide'!$B:$B,B21))</f>
        <v>0.87636247143000001</v>
      </c>
      <c r="K21" s="134">
        <f>IF(B21="","",SUMIFS('Stock Guide'!$Q:$Q,'Stock Guide'!$B:$B,B21))</f>
        <v>0.14422535211000001</v>
      </c>
      <c r="L21" s="134">
        <f>IF(B21="","",SUMIFS('Stock Guide'!$R:$R,'Stock Guide'!$B:$B,B21))</f>
        <v>0.12169014084507042</v>
      </c>
      <c r="M21" s="133">
        <f>IF(B21="","",SUMIFS('Stock Guide'!$T:$T,'Stock Guide'!$B:$B,B21))</f>
        <v>0.72</v>
      </c>
      <c r="N21" s="138">
        <f>IFERROR(IF(B21="","",AVERAGEIFS('Stock Guide'!$U:$U,'Stock Guide'!$B:$B,B21)),"-")</f>
        <v>-1.8058533357999999E-2</v>
      </c>
      <c r="O21" s="138">
        <f>IFERROR(IF(B21="","",AVERAGEIFS('Stock Guide'!$V:$V,'Stock Guide'!$B:$B,B21)),"-")</f>
        <v>1.3656127509999999E-2</v>
      </c>
      <c r="P21" s="138">
        <f>IFERROR(IF(B21="","",AVERAGEIFS('Stock Guide'!$W:$W,'Stock Guide'!$B:$B,B21)),"-")</f>
        <v>0.20050248703000001</v>
      </c>
    </row>
    <row r="22" spans="2:16" ht="16.5" customHeight="1" x14ac:dyDescent="0.2">
      <c r="B22" s="131" t="s">
        <v>684</v>
      </c>
      <c r="C22" s="132" t="str">
        <f>IF(B22="","",(VLOOKUP(B22,'Stock Guide'!$B:$D,3,0)))</f>
        <v>Itaú Tempus FII</v>
      </c>
      <c r="D22" s="133">
        <f>IF(B22="","",SUMIFS('Stock Guide'!$J:$J,'Stock Guide'!$B:$B,B22))</f>
        <v>72.48</v>
      </c>
      <c r="E22" s="134">
        <f>IF(B22="","",SUMIFS('Stock Guide'!$H:$H,'Stock Guide'!$B:$B,B22))</f>
        <v>0</v>
      </c>
      <c r="F22" s="135">
        <f>IF(B22="","",SUMIFS('Stock Guide'!I:I,'Stock Guide'!$B:$B,B22))</f>
        <v>217765.37908000001</v>
      </c>
      <c r="G22" s="136">
        <f>IF(B22="","",SUMIFS('Stock Guide'!$M:$M,'Stock Guide'!$B:$B,B22))</f>
        <v>70955600.640000001</v>
      </c>
      <c r="H22" s="136">
        <f>IF(B22="","",SUMIFS('Stock Guide'!$N:$N,'Stock Guide'!$B:$B,B22))</f>
        <v>75882180.489999995</v>
      </c>
      <c r="I22" s="137">
        <f>IF(B22="","",SUMIFS('Stock Guide'!$O:$O,'Stock Guide'!$B:$B,B22))</f>
        <v>0.93507593194888183</v>
      </c>
      <c r="J22" s="137">
        <f>IF(B22="","",SUMIFS('Stock Guide'!$P:$P,'Stock Guide'!$B:$B,B22))</f>
        <v>0.87551309758999996</v>
      </c>
      <c r="K22" s="134">
        <f>IF(B22="","",SUMIFS('Stock Guide'!$Q:$Q,'Stock Guide'!$B:$B,B22))</f>
        <v>0.15093818984999999</v>
      </c>
      <c r="L22" s="134">
        <f>IF(B22="","",SUMIFS('Stock Guide'!$R:$R,'Stock Guide'!$B:$B,B22))</f>
        <v>0.11754966887417218</v>
      </c>
      <c r="M22" s="133">
        <f>IF(B22="","",SUMIFS('Stock Guide'!$T:$T,'Stock Guide'!$B:$B,B22))</f>
        <v>0.71</v>
      </c>
      <c r="N22" s="138">
        <f>IFERROR(IF(B22="","",AVERAGEIFS('Stock Guide'!$U:$U,'Stock Guide'!$B:$B,B22)),"-")</f>
        <v>-1.5484922575000001E-2</v>
      </c>
      <c r="O22" s="138">
        <f>IFERROR(IF(B22="","",AVERAGEIFS('Stock Guide'!$V:$V,'Stock Guide'!$B:$B,B22)),"-")</f>
        <v>8.5079777873000001E-2</v>
      </c>
      <c r="P22" s="138">
        <f>IFERROR(IF(B22="","",AVERAGEIFS('Stock Guide'!$W:$W,'Stock Guide'!$B:$B,B22)),"-")</f>
        <v>0.20650968518999999</v>
      </c>
    </row>
    <row r="23" spans="2:16" ht="16.5" customHeight="1" x14ac:dyDescent="0.2">
      <c r="B23" s="131" t="s">
        <v>742</v>
      </c>
      <c r="C23" s="132" t="str">
        <f>IF(B23="","",(VLOOKUP(B23,'Stock Guide'!$B:$D,3,0)))</f>
        <v>XP Selection FOF</v>
      </c>
      <c r="D23" s="133">
        <f>IF(B23="","",SUMIFS('Stock Guide'!$J:$J,'Stock Guide'!$B:$B,B23))</f>
        <v>5.83</v>
      </c>
      <c r="E23" s="134">
        <f>IF(B23="","",SUMIFS('Stock Guide'!$H:$H,'Stock Guide'!$B:$B,B23))</f>
        <v>1.7099999999999999E-3</v>
      </c>
      <c r="F23" s="135">
        <f>IF(B23="","",SUMIFS('Stock Guide'!I:I,'Stock Guide'!$B:$B,B23))</f>
        <v>341635.96908000001</v>
      </c>
      <c r="G23" s="136">
        <f>IF(B23="","",SUMIFS('Stock Guide'!$M:$M,'Stock Guide'!$B:$B,B23))</f>
        <v>252451476.19999999</v>
      </c>
      <c r="H23" s="136">
        <f>IF(B23="","",SUMIFS('Stock Guide'!$N:$N,'Stock Guide'!$B:$B,B23))</f>
        <v>329600015.72000003</v>
      </c>
      <c r="I23" s="137">
        <f>IF(B23="","",SUMIFS('Stock Guide'!$O:$O,'Stock Guide'!$B:$B,B23))</f>
        <v>0.76593284028985353</v>
      </c>
      <c r="J23" s="137">
        <f>IF(B23="","",SUMIFS('Stock Guide'!$P:$P,'Stock Guide'!$B:$B,B23))</f>
        <v>0.80241569652</v>
      </c>
      <c r="K23" s="134">
        <f>IF(B23="","",SUMIFS('Stock Guide'!$Q:$Q,'Stock Guide'!$B:$B,B23))</f>
        <v>0.14150943395999999</v>
      </c>
      <c r="L23" s="134">
        <f>IF(B23="","",SUMIFS('Stock Guide'!$R:$R,'Stock Guide'!$B:$B,B23))</f>
        <v>0.14408233276157806</v>
      </c>
      <c r="M23" s="133">
        <f>IF(B23="","",SUMIFS('Stock Guide'!$T:$T,'Stock Guide'!$B:$B,B23))</f>
        <v>7.0000000000000007E-2</v>
      </c>
      <c r="N23" s="138">
        <f>IFERROR(IF(B23="","",AVERAGEIFS('Stock Guide'!$U:$U,'Stock Guide'!$B:$B,B23)),"-")</f>
        <v>-3.9538714991E-2</v>
      </c>
      <c r="O23" s="138">
        <f>IFERROR(IF(B23="","",AVERAGEIFS('Stock Guide'!$V:$V,'Stock Guide'!$B:$B,B23)),"-")</f>
        <v>-3.5178874494999998E-2</v>
      </c>
      <c r="P23" s="138">
        <f>IFERROR(IF(B23="","",AVERAGEIFS('Stock Guide'!$W:$W,'Stock Guide'!$B:$B,B23)),"-")</f>
        <v>0.11916779920999999</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row r="83" spans="2:16" hidden="1" x14ac:dyDescent="0.2">
      <c r="B83" s="143"/>
    </row>
    <row r="84" spans="2:16" hidden="1" x14ac:dyDescent="0.2">
      <c r="B84" s="143"/>
    </row>
    <row r="85" spans="2:16" hidden="1" x14ac:dyDescent="0.2">
      <c r="B85" s="143"/>
    </row>
    <row r="86" spans="2:16" hidden="1" x14ac:dyDescent="0.2">
      <c r="B86" s="143"/>
    </row>
    <row r="87" spans="2:16" hidden="1" x14ac:dyDescent="0.2">
      <c r="B87" s="143"/>
    </row>
    <row r="88" spans="2:16" hidden="1" x14ac:dyDescent="0.2">
      <c r="B88" s="143"/>
    </row>
    <row r="89" spans="2:16" hidden="1" x14ac:dyDescent="0.2">
      <c r="B89" s="143"/>
    </row>
    <row r="90" spans="2:16" hidden="1" x14ac:dyDescent="0.2">
      <c r="B90" s="143"/>
    </row>
    <row r="91" spans="2:16" hidden="1" x14ac:dyDescent="0.2">
      <c r="B91" s="143"/>
    </row>
    <row r="92" spans="2:16" hidden="1" x14ac:dyDescent="0.2">
      <c r="B92" s="143"/>
    </row>
    <row r="93" spans="2:16" hidden="1" x14ac:dyDescent="0.2">
      <c r="B93" s="143"/>
    </row>
    <row r="94" spans="2:16" hidden="1" x14ac:dyDescent="0.2">
      <c r="B94" s="143"/>
    </row>
    <row r="95" spans="2:16" hidden="1" x14ac:dyDescent="0.2">
      <c r="B95" s="143"/>
    </row>
    <row r="96" spans="2:16" hidden="1" x14ac:dyDescent="0.2">
      <c r="B96" s="143"/>
    </row>
    <row r="97" spans="2:2" hidden="1" x14ac:dyDescent="0.2">
      <c r="B97" s="143"/>
    </row>
    <row r="98" spans="2:2" hidden="1" x14ac:dyDescent="0.2">
      <c r="B98" s="143"/>
    </row>
    <row r="99" spans="2:2" hidden="1" x14ac:dyDescent="0.2">
      <c r="B99" s="143"/>
    </row>
    <row r="100" spans="2:2" hidden="1" x14ac:dyDescent="0.2">
      <c r="B100" s="143"/>
    </row>
    <row r="101" spans="2:2" hidden="1" x14ac:dyDescent="0.2">
      <c r="B101" s="143"/>
    </row>
    <row r="102" spans="2:2" hidden="1" x14ac:dyDescent="0.2">
      <c r="B102" s="143"/>
    </row>
    <row r="103" spans="2:2" hidden="1" x14ac:dyDescent="0.2">
      <c r="B103" s="143"/>
    </row>
    <row r="104" spans="2:2" hidden="1" x14ac:dyDescent="0.2">
      <c r="B104" s="143"/>
    </row>
    <row r="105" spans="2:2" hidden="1" x14ac:dyDescent="0.2">
      <c r="B105" s="143"/>
    </row>
    <row r="106" spans="2:2" hidden="1" x14ac:dyDescent="0.2">
      <c r="B106" s="143"/>
    </row>
    <row r="107" spans="2:2" hidden="1" x14ac:dyDescent="0.2">
      <c r="B107" s="143"/>
    </row>
    <row r="108" spans="2:2" hidden="1" x14ac:dyDescent="0.2">
      <c r="B108" s="143"/>
    </row>
    <row r="109" spans="2:2" hidden="1" x14ac:dyDescent="0.2">
      <c r="B109" s="143"/>
    </row>
    <row r="110" spans="2:2" hidden="1" x14ac:dyDescent="0.2">
      <c r="B110" s="143"/>
    </row>
    <row r="111" spans="2:2" hidden="1" x14ac:dyDescent="0.2">
      <c r="B111" s="143"/>
    </row>
    <row r="112" spans="2:2" hidden="1" x14ac:dyDescent="0.2">
      <c r="B112" s="143"/>
    </row>
    <row r="113" spans="2:2" hidden="1" x14ac:dyDescent="0.2">
      <c r="B113" s="143"/>
    </row>
    <row r="114" spans="2:2" hidden="1" x14ac:dyDescent="0.2">
      <c r="B114" s="143"/>
    </row>
    <row r="115" spans="2:2" hidden="1" x14ac:dyDescent="0.2">
      <c r="B115" s="143"/>
    </row>
    <row r="116" spans="2:2" hidden="1" x14ac:dyDescent="0.2">
      <c r="B116" s="143"/>
    </row>
    <row r="117" spans="2:2" hidden="1" x14ac:dyDescent="0.2">
      <c r="B117" s="143"/>
    </row>
    <row r="118" spans="2:2" hidden="1" x14ac:dyDescent="0.2">
      <c r="B118" s="143"/>
    </row>
    <row r="119" spans="2:2" hidden="1" x14ac:dyDescent="0.2">
      <c r="B119" s="143"/>
    </row>
    <row r="120" spans="2:2" hidden="1" x14ac:dyDescent="0.2">
      <c r="B120" s="143"/>
    </row>
    <row r="121" spans="2:2" hidden="1" x14ac:dyDescent="0.2">
      <c r="B121" s="143"/>
    </row>
    <row r="122" spans="2:2" hidden="1" x14ac:dyDescent="0.2">
      <c r="B122" s="143"/>
    </row>
    <row r="123" spans="2:2" hidden="1" x14ac:dyDescent="0.2">
      <c r="B123" s="143"/>
    </row>
    <row r="124" spans="2:2" hidden="1" x14ac:dyDescent="0.2">
      <c r="B124" s="143"/>
    </row>
    <row r="125" spans="2:2" hidden="1" x14ac:dyDescent="0.2">
      <c r="B125" s="143"/>
    </row>
    <row r="126" spans="2:2" hidden="1" x14ac:dyDescent="0.2">
      <c r="B126" s="143"/>
    </row>
    <row r="127" spans="2:2" hidden="1" x14ac:dyDescent="0.2">
      <c r="B127" s="143"/>
    </row>
    <row r="128" spans="2:2" hidden="1" x14ac:dyDescent="0.2">
      <c r="B128" s="143"/>
    </row>
    <row r="129" spans="2:2" hidden="1" x14ac:dyDescent="0.2">
      <c r="B129" s="143"/>
    </row>
    <row r="130" spans="2:2" hidden="1" x14ac:dyDescent="0.2">
      <c r="B130" s="143"/>
    </row>
    <row r="131" spans="2:2" hidden="1" x14ac:dyDescent="0.2">
      <c r="B131" s="143"/>
    </row>
    <row r="132" spans="2:2" x14ac:dyDescent="0.2"/>
  </sheetData>
  <autoFilter ref="B9:P9" xr:uid="{48A41CB6-CA57-4B28-BB3B-151CF253B303}"/>
  <mergeCells count="4">
    <mergeCell ref="B6:C6"/>
    <mergeCell ref="B8:C8"/>
    <mergeCell ref="B4:C4"/>
    <mergeCell ref="B7:C7"/>
  </mergeCells>
  <conditionalFormatting sqref="N10:O69">
    <cfRule type="cellIs" dxfId="113" priority="31" operator="lessThan">
      <formula>0</formula>
    </cfRule>
    <cfRule type="cellIs" dxfId="112" priority="32" operator="greaterThan">
      <formula>0</formula>
    </cfRule>
  </conditionalFormatting>
  <conditionalFormatting sqref="N8:P8">
    <cfRule type="cellIs" dxfId="111" priority="7" operator="lessThan">
      <formula>0</formula>
    </cfRule>
    <cfRule type="cellIs" dxfId="110" priority="8" operator="greaterThan">
      <formula>0</formula>
    </cfRule>
  </conditionalFormatting>
  <conditionalFormatting sqref="P10:P69">
    <cfRule type="cellIs" dxfId="109" priority="5" operator="lessThan">
      <formula>0</formula>
    </cfRule>
    <cfRule type="cellIs" dxfId="108" priority="6" operator="greaterThan">
      <formula>0</formula>
    </cfRule>
  </conditionalFormatting>
  <conditionalFormatting sqref="N70:O82">
    <cfRule type="cellIs" dxfId="107" priority="3" operator="lessThan">
      <formula>0</formula>
    </cfRule>
    <cfRule type="cellIs" dxfId="106" priority="4" operator="greaterThan">
      <formula>0</formula>
    </cfRule>
  </conditionalFormatting>
  <conditionalFormatting sqref="P70:P82">
    <cfRule type="cellIs" dxfId="105" priority="1" operator="lessThan">
      <formula>0</formula>
    </cfRule>
    <cfRule type="cellIs" dxfId="104" priority="2" operator="greaterThan">
      <formula>0</formula>
    </cfRule>
  </conditionalFormatting>
  <hyperlinks>
    <hyperlink ref="O2" location="Menu!A1" display="Menu" xr:uid="{38CF3FD3-5786-4688-B8BF-5F55E868272B}"/>
    <hyperlink ref="P2" location="'Stock Guide'!A1" display="Stock Guide" xr:uid="{69D44C22-6364-4ADF-A82E-198C17476D68}"/>
  </hyperlinks>
  <pageMargins left="0.7" right="0.7" top="0.75" bottom="0.75" header="0.3" footer="0.3"/>
  <pageSetup fitToWidth="9"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121E-5ACA-4AF6-9A8F-45DF0C0B01C0}">
  <sheetPr codeName="Sheet21">
    <pageSetUpPr fitToPage="1"/>
  </sheetPr>
  <dimension ref="A1:Q132"/>
  <sheetViews>
    <sheetView showGridLines="0" showRowColHeaders="0" zoomScale="90" zoomScaleNormal="90" workbookViewId="0">
      <pane ySplit="9" topLeftCell="A10" activePane="bottomLeft" state="frozen"/>
      <selection activeCell="D5" sqref="D5:D13"/>
      <selection pane="bottomLeft" activeCell="B9" sqref="B9:B26"/>
    </sheetView>
  </sheetViews>
  <sheetFormatPr defaultColWidth="0" defaultRowHeight="12.75" customHeight="1"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Hedge Fund</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179</v>
      </c>
      <c r="C8" s="271"/>
      <c r="D8" s="170" t="s">
        <v>44</v>
      </c>
      <c r="E8" s="57">
        <f>SUMIFS('Stock Guide'!$H:$H,'Stock Guide'!$G:$G,B8)</f>
        <v>7.3649999999999993E-2</v>
      </c>
      <c r="F8" s="171">
        <f>AVERAGEIFS('Stock Guide'!I:I,'Stock Guide'!$G:$G,B8)</f>
        <v>1633937.0560584706</v>
      </c>
      <c r="G8" s="171">
        <f>AVERAGEIFS('Stock Guide'!$M:$M,'Stock Guide'!$G:$G,B8)</f>
        <v>721823418.30882359</v>
      </c>
      <c r="H8" s="171">
        <f>AVERAGEIFS('Stock Guide'!$N:$N,'Stock Guide'!$G:$G,B8)</f>
        <v>886184583.47588241</v>
      </c>
      <c r="I8" s="172">
        <f>AVERAGEIFS('Stock Guide'!$O:$O,'Stock Guide'!$G:$G,B8)</f>
        <v>0.83859445128512933</v>
      </c>
      <c r="J8" s="172">
        <f>AVERAGEIFS('Stock Guide'!$P:$P,'Stock Guide'!$G:$G,B8)</f>
        <v>0.89496963702374999</v>
      </c>
      <c r="K8" s="57">
        <f>AVERAGEIFS('Stock Guide'!$Q:$Q,'Stock Guide'!$G:$G,B8)</f>
        <v>0.15013515117375001</v>
      </c>
      <c r="L8" s="57">
        <f>AVERAGEIFS('Stock Guide'!$R:$R,'Stock Guide'!$G:$G,B8)</f>
        <v>0.14486762706915932</v>
      </c>
      <c r="M8" s="170" t="s">
        <v>44</v>
      </c>
      <c r="N8" s="57">
        <f>AVERAGEIFS('Stock Guide'!$U:$U,'Stock Guide'!$G:$G,$B8)</f>
        <v>-2.7127969286852939E-2</v>
      </c>
      <c r="O8" s="57">
        <f>AVERAGEIFS('Stock Guide'!$V:$V,'Stock Guide'!$G:$G,$B8)</f>
        <v>-1.5378937731300002E-2</v>
      </c>
      <c r="P8" s="57">
        <f>AVERAGEIFS('Stock Guide'!$W:$W,'Stock Guide'!$G:$G,$B8)</f>
        <v>8.1350971046862508E-2</v>
      </c>
    </row>
    <row r="9" spans="1:16" s="5" customFormat="1" ht="16.5" customHeight="1" x14ac:dyDescent="0.2">
      <c r="A9" s="18"/>
      <c r="B9" s="118" t="s">
        <v>11</v>
      </c>
      <c r="C9" s="128" t="s">
        <v>43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338</v>
      </c>
      <c r="C10" s="132" t="str">
        <f>IF(B10="","",(VLOOKUP(B10,'Stock Guide'!$B:$D,3,0)))</f>
        <v>-</v>
      </c>
      <c r="D10" s="133">
        <f>IF(B10="","",SUMIFS('Stock Guide'!$J:$J,'Stock Guide'!$B:$B,B10))</f>
        <v>10</v>
      </c>
      <c r="E10" s="134">
        <f>IF(B10="","",SUMIFS('Stock Guide'!$H:$H,'Stock Guide'!$B:$B,B10))</f>
        <v>0</v>
      </c>
      <c r="F10" s="135">
        <f>IF(B10="","",SUMIFS('Stock Guide'!I:I,'Stock Guide'!$B:$B,B10))</f>
        <v>89403.424769000005</v>
      </c>
      <c r="G10" s="136">
        <f>IF(B10="","",SUMIFS('Stock Guide'!$M:$M,'Stock Guide'!$B:$B,B10))</f>
        <v>50000000</v>
      </c>
      <c r="H10" s="136">
        <f>IF(B10="","",SUMIFS('Stock Guide'!$N:$N,'Stock Guide'!$B:$B,B10))</f>
        <v>51025265.810000002</v>
      </c>
      <c r="I10" s="137">
        <f>IF(B10="","",SUMIFS('Stock Guide'!$O:$O,'Stock Guide'!$B:$B,B10))</f>
        <v>0.97990670320429629</v>
      </c>
      <c r="J10" s="137">
        <f>IF(B10="","",SUMIFS('Stock Guide'!$P:$P,'Stock Guide'!$B:$B,B10))</f>
        <v>0.97724500566000005</v>
      </c>
      <c r="K10" s="134">
        <f>IF(B10="","",SUMIFS('Stock Guide'!$Q:$Q,'Stock Guide'!$B:$B,B10))</f>
        <v>0.1615</v>
      </c>
      <c r="L10" s="134">
        <f>IF(B10="","",SUMIFS('Stock Guide'!$R:$R,'Stock Guide'!$B:$B,B10))</f>
        <v>0.14400000000000002</v>
      </c>
      <c r="M10" s="133">
        <f>IF(B10="","",SUMIFS('Stock Guide'!$T:$T,'Stock Guide'!$B:$B,B10))</f>
        <v>0.12</v>
      </c>
      <c r="N10" s="138">
        <f>IFERROR(IF(B10="","",AVERAGEIFS('Stock Guide'!$U:$U,'Stock Guide'!$B:$B,B10)),"-")</f>
        <v>1.1134614373E-2</v>
      </c>
      <c r="O10" s="138">
        <f>IFERROR(IF(B10="","",AVERAGEIFS('Stock Guide'!$V:$V,'Stock Guide'!$B:$B,B10)),"-")</f>
        <v>0.11479339528</v>
      </c>
      <c r="P10" s="138">
        <f>IFERROR(IF(B10="","",AVERAGEIFS('Stock Guide'!$W:$W,'Stock Guide'!$B:$B,B10)),"-")</f>
        <v>0.17553394033</v>
      </c>
    </row>
    <row r="11" spans="1:16" ht="16.5" customHeight="1" x14ac:dyDescent="0.2">
      <c r="B11" s="131" t="s">
        <v>246</v>
      </c>
      <c r="C11" s="132" t="str">
        <f>IF(B11="","",(VLOOKUP(B11,'Stock Guide'!$B:$D,3,0)))</f>
        <v>BTG Pactual Real Estate Hedge Fund FII</v>
      </c>
      <c r="D11" s="133">
        <f>IF(B11="","",SUMIFS('Stock Guide'!$J:$J,'Stock Guide'!$B:$B,B11))</f>
        <v>8.5299999999999994</v>
      </c>
      <c r="E11" s="134">
        <f>IF(B11="","",SUMIFS('Stock Guide'!$H:$H,'Stock Guide'!$B:$B,B11))</f>
        <v>1.187E-2</v>
      </c>
      <c r="F11" s="135">
        <f>IF(B11="","",SUMIFS('Stock Guide'!I:I,'Stock Guide'!$B:$B,B11))</f>
        <v>3245456.8062</v>
      </c>
      <c r="G11" s="136">
        <f>IF(B11="","",SUMIFS('Stock Guide'!$M:$M,'Stock Guide'!$B:$B,B11))</f>
        <v>1755874398.2</v>
      </c>
      <c r="H11" s="136">
        <f>IF(B11="","",SUMIFS('Stock Guide'!$N:$N,'Stock Guide'!$B:$B,B11))</f>
        <v>2010623651.5</v>
      </c>
      <c r="I11" s="137">
        <f>IF(B11="","",SUMIFS('Stock Guide'!$O:$O,'Stock Guide'!$B:$B,B11))</f>
        <v>0.87329839022337796</v>
      </c>
      <c r="J11" s="137">
        <f>IF(B11="","",SUMIFS('Stock Guide'!$P:$P,'Stock Guide'!$B:$B,B11))</f>
        <v>0.88130505707999995</v>
      </c>
      <c r="K11" s="134">
        <f>IF(B11="","",SUMIFS('Stock Guide'!$Q:$Q,'Stock Guide'!$B:$B,B11))</f>
        <v>0.13845134817999999</v>
      </c>
      <c r="L11" s="134">
        <f>IF(B11="","",SUMIFS('Stock Guide'!$R:$R,'Stock Guide'!$B:$B,B11))</f>
        <v>0.14208675263774914</v>
      </c>
      <c r="M11" s="133">
        <f>IF(B11="","",SUMIFS('Stock Guide'!$T:$T,'Stock Guide'!$B:$B,B11))</f>
        <v>0.10100000000000001</v>
      </c>
      <c r="N11" s="138">
        <f>IFERROR(IF(B11="","",AVERAGEIFS('Stock Guide'!$U:$U,'Stock Guide'!$B:$B,B11)),"-")</f>
        <v>-2.5157172472999999E-2</v>
      </c>
      <c r="O11" s="138">
        <f>IFERROR(IF(B11="","",AVERAGEIFS('Stock Guide'!$V:$V,'Stock Guide'!$B:$B,B11)),"-")</f>
        <v>3.2057500193000001E-2</v>
      </c>
      <c r="P11" s="138">
        <f>IFERROR(IF(B11="","",AVERAGEIFS('Stock Guide'!$W:$W,'Stock Guide'!$B:$B,B11)),"-")</f>
        <v>0.18934658730000001</v>
      </c>
    </row>
    <row r="12" spans="1:16" ht="16.5" customHeight="1" x14ac:dyDescent="0.2">
      <c r="B12" s="131" t="s">
        <v>400</v>
      </c>
      <c r="C12" s="132" t="str">
        <f>IF(B12="","",(VLOOKUP(B12,'Stock Guide'!$B:$D,3,0)))</f>
        <v>Canuma Capital Multiestratégia FII</v>
      </c>
      <c r="D12" s="133">
        <f>IF(B12="","",SUMIFS('Stock Guide'!$J:$J,'Stock Guide'!$B:$B,B12))</f>
        <v>8.42</v>
      </c>
      <c r="E12" s="134">
        <f>IF(B12="","",SUMIFS('Stock Guide'!$H:$H,'Stock Guide'!$B:$B,B12))</f>
        <v>0</v>
      </c>
      <c r="F12" s="135">
        <f>IF(B12="","",SUMIFS('Stock Guide'!I:I,'Stock Guide'!$B:$B,B12))</f>
        <v>223966.74462000001</v>
      </c>
      <c r="G12" s="136">
        <f>IF(B12="","",SUMIFS('Stock Guide'!$M:$M,'Stock Guide'!$B:$B,B12))</f>
        <v>570851186.25999999</v>
      </c>
      <c r="H12" s="136">
        <f>IF(B12="","",SUMIFS('Stock Guide'!$N:$N,'Stock Guide'!$B:$B,B12))</f>
        <v>716474395.57000005</v>
      </c>
      <c r="I12" s="137">
        <f>IF(B12="","",SUMIFS('Stock Guide'!$O:$O,'Stock Guide'!$B:$B,B12))</f>
        <v>0.79675029532053587</v>
      </c>
      <c r="J12" s="137">
        <f>IF(B12="","",SUMIFS('Stock Guide'!$P:$P,'Stock Guide'!$B:$B,B12))</f>
        <v>0.85830023626999996</v>
      </c>
      <c r="K12" s="134">
        <f>IF(B12="","",SUMIFS('Stock Guide'!$Q:$Q,'Stock Guide'!$B:$B,B12))</f>
        <v>0.12232779085000001</v>
      </c>
      <c r="L12" s="134">
        <f>IF(B12="","",SUMIFS('Stock Guide'!$R:$R,'Stock Guide'!$B:$B,B12))</f>
        <v>0.12256532066508312</v>
      </c>
      <c r="M12" s="133">
        <f>IF(B12="","",SUMIFS('Stock Guide'!$T:$T,'Stock Guide'!$B:$B,B12))</f>
        <v>8.5999999999999993E-2</v>
      </c>
      <c r="N12" s="138">
        <f>IFERROR(IF(B12="","",AVERAGEIFS('Stock Guide'!$U:$U,'Stock Guide'!$B:$B,B12)),"-")</f>
        <v>-2.4650171437999999E-2</v>
      </c>
      <c r="O12" s="138">
        <f>IFERROR(IF(B12="","",AVERAGEIFS('Stock Guide'!$V:$V,'Stock Guide'!$B:$B,B12)),"-")</f>
        <v>4.7164543411999998E-3</v>
      </c>
      <c r="P12" s="138">
        <f>IFERROR(IF(B12="","",AVERAGEIFS('Stock Guide'!$W:$W,'Stock Guide'!$B:$B,B12)),"-")</f>
        <v>9.3599502769999995E-2</v>
      </c>
    </row>
    <row r="13" spans="1:16" ht="16.5" customHeight="1" x14ac:dyDescent="0.2">
      <c r="B13" s="131" t="s">
        <v>411</v>
      </c>
      <c r="C13" s="132" t="str">
        <f>IF(B13="","",(VLOOKUP(B13,'Stock Guide'!$B:$D,3,0)))</f>
        <v>Capitânia Securities II FII</v>
      </c>
      <c r="D13" s="133">
        <f>IF(B13="","",SUMIFS('Stock Guide'!$J:$J,'Stock Guide'!$B:$B,B13))</f>
        <v>7.34</v>
      </c>
      <c r="E13" s="134">
        <f>IF(B13="","",SUMIFS('Stock Guide'!$H:$H,'Stock Guide'!$B:$B,B13))</f>
        <v>1.804E-2</v>
      </c>
      <c r="F13" s="135">
        <f>IF(B13="","",SUMIFS('Stock Guide'!I:I,'Stock Guide'!$B:$B,B13))</f>
        <v>7710742.7379999999</v>
      </c>
      <c r="G13" s="136">
        <f>IF(B13="","",SUMIFS('Stock Guide'!$M:$M,'Stock Guide'!$B:$B,B13))</f>
        <v>2668113099</v>
      </c>
      <c r="H13" s="136">
        <f>IF(B13="","",SUMIFS('Stock Guide'!$N:$N,'Stock Guide'!$B:$B,B13))</f>
        <v>3134199949.8000002</v>
      </c>
      <c r="I13" s="137">
        <f>IF(B13="","",SUMIFS('Stock Guide'!$O:$O,'Stock Guide'!$B:$B,B13))</f>
        <v>0.85129000757282824</v>
      </c>
      <c r="J13" s="137">
        <f>IF(B13="","",SUMIFS('Stock Guide'!$P:$P,'Stock Guide'!$B:$B,B13))</f>
        <v>0.84417394934000001</v>
      </c>
      <c r="K13" s="134">
        <f>IF(B13="","",SUMIFS('Stock Guide'!$Q:$Q,'Stock Guide'!$B:$B,B13))</f>
        <v>0.14645776566999999</v>
      </c>
      <c r="L13" s="134">
        <f>IF(B13="","",SUMIFS('Stock Guide'!$R:$R,'Stock Guide'!$B:$B,B13))</f>
        <v>0.14713896457765668</v>
      </c>
      <c r="M13" s="133">
        <f>IF(B13="","",SUMIFS('Stock Guide'!$T:$T,'Stock Guide'!$B:$B,B13))</f>
        <v>0.09</v>
      </c>
      <c r="N13" s="138">
        <f>IFERROR(IF(B13="","",AVERAGEIFS('Stock Guide'!$U:$U,'Stock Guide'!$B:$B,B13)),"-")</f>
        <v>-1.1984368216E-2</v>
      </c>
      <c r="O13" s="138">
        <f>IFERROR(IF(B13="","",AVERAGEIFS('Stock Guide'!$V:$V,'Stock Guide'!$B:$B,B13)),"-")</f>
        <v>3.9467904417000002E-2</v>
      </c>
      <c r="P13" s="138">
        <f>IFERROR(IF(B13="","",AVERAGEIFS('Stock Guide'!$W:$W,'Stock Guide'!$B:$B,B13)),"-")</f>
        <v>0.16024143658000001</v>
      </c>
    </row>
    <row r="14" spans="1:16" ht="16.5" customHeight="1" x14ac:dyDescent="0.2">
      <c r="B14" s="131" t="s">
        <v>530</v>
      </c>
      <c r="C14" s="132" t="str">
        <f>IF(B14="","",(VLOOKUP(B14,'Stock Guide'!$B:$D,3,0)))</f>
        <v>Itaú Total Return FII</v>
      </c>
      <c r="D14" s="133">
        <f>IF(B14="","",SUMIFS('Stock Guide'!$J:$J,'Stock Guide'!$B:$B,B14))</f>
        <v>76.69</v>
      </c>
      <c r="E14" s="134">
        <f>IF(B14="","",SUMIFS('Stock Guide'!$H:$H,'Stock Guide'!$B:$B,B14))</f>
        <v>3.2399999999999998E-3</v>
      </c>
      <c r="F14" s="135">
        <f>IF(B14="","",SUMIFS('Stock Guide'!I:I,'Stock Guide'!$B:$B,B14))</f>
        <v>1077883.6414999999</v>
      </c>
      <c r="G14" s="136">
        <f>IF(B14="","",SUMIFS('Stock Guide'!$M:$M,'Stock Guide'!$B:$B,B14))</f>
        <v>479312500</v>
      </c>
      <c r="H14" s="136">
        <f>IF(B14="","",SUMIFS('Stock Guide'!$N:$N,'Stock Guide'!$B:$B,B14))</f>
        <v>558351347.28999996</v>
      </c>
      <c r="I14" s="137">
        <f>IF(B14="","",SUMIFS('Stock Guide'!$O:$O,'Stock Guide'!$B:$B,B14))</f>
        <v>0.85844245263556551</v>
      </c>
      <c r="J14" s="137">
        <f>IF(B14="","",SUMIFS('Stock Guide'!$P:$P,'Stock Guide'!$B:$B,B14))</f>
        <v>0.84992439473000003</v>
      </c>
      <c r="K14" s="134">
        <f>IF(B14="","",SUMIFS('Stock Guide'!$Q:$Q,'Stock Guide'!$B:$B,B14))</f>
        <v>0.13665406181</v>
      </c>
      <c r="L14" s="134">
        <f>IF(B14="","",SUMIFS('Stock Guide'!$R:$R,'Stock Guide'!$B:$B,B14))</f>
        <v>0.12517929325857347</v>
      </c>
      <c r="M14" s="133">
        <f>IF(B14="","",SUMIFS('Stock Guide'!$T:$T,'Stock Guide'!$B:$B,B14))</f>
        <v>0.8</v>
      </c>
      <c r="N14" s="138">
        <f>IFERROR(IF(B14="","",AVERAGEIFS('Stock Guide'!$U:$U,'Stock Guide'!$B:$B,B14)),"-")</f>
        <v>2.8769452074000001E-3</v>
      </c>
      <c r="O14" s="138">
        <f>IFERROR(IF(B14="","",AVERAGEIFS('Stock Guide'!$V:$V,'Stock Guide'!$B:$B,B14)),"-")</f>
        <v>1.3429579485999999E-2</v>
      </c>
      <c r="P14" s="138">
        <f>IFERROR(IF(B14="","",AVERAGEIFS('Stock Guide'!$W:$W,'Stock Guide'!$B:$B,B14)),"-")</f>
        <v>0.15608703156000001</v>
      </c>
    </row>
    <row r="15" spans="1:16" ht="16.5" customHeight="1" x14ac:dyDescent="0.2">
      <c r="B15" s="131" t="s">
        <v>555</v>
      </c>
      <c r="C15" s="132" t="str">
        <f>IF(B15="","",(VLOOKUP(B15,'Stock Guide'!$B:$D,3,0)))</f>
        <v>Kinea Hedge Fund FII</v>
      </c>
      <c r="D15" s="133">
        <f>IF(B15="","",SUMIFS('Stock Guide'!$J:$J,'Stock Guide'!$B:$B,B15))</f>
        <v>90.09</v>
      </c>
      <c r="E15" s="134">
        <f>IF(B15="","",SUMIFS('Stock Guide'!$H:$H,'Stock Guide'!$B:$B,B15))</f>
        <v>1.1979999999999999E-2</v>
      </c>
      <c r="F15" s="135">
        <f>IF(B15="","",SUMIFS('Stock Guide'!I:I,'Stock Guide'!$B:$B,B15))</f>
        <v>3664203.4454999999</v>
      </c>
      <c r="G15" s="136">
        <f>IF(B15="","",SUMIFS('Stock Guide'!$M:$M,'Stock Guide'!$B:$B,B15))</f>
        <v>1771460841.0999999</v>
      </c>
      <c r="H15" s="136">
        <f>IF(B15="","",SUMIFS('Stock Guide'!$N:$N,'Stock Guide'!$B:$B,B15))</f>
        <v>1943987087.5999999</v>
      </c>
      <c r="I15" s="137">
        <f>IF(B15="","",SUMIFS('Stock Guide'!$O:$O,'Stock Guide'!$B:$B,B15))</f>
        <v>0.9112513413280966</v>
      </c>
      <c r="J15" s="137">
        <f>IF(B15="","",SUMIFS('Stock Guide'!$P:$P,'Stock Guide'!$B:$B,B15))</f>
        <v>0.94608441994000003</v>
      </c>
      <c r="K15" s="134">
        <f>IF(B15="","",SUMIFS('Stock Guide'!$Q:$Q,'Stock Guide'!$B:$B,B15))</f>
        <v>0.13320013319999999</v>
      </c>
      <c r="L15" s="134">
        <f>IF(B15="","",SUMIFS('Stock Guide'!$R:$R,'Stock Guide'!$B:$B,B15))</f>
        <v>0.13320013320013319</v>
      </c>
      <c r="M15" s="133">
        <f>IF(B15="","",SUMIFS('Stock Guide'!$T:$T,'Stock Guide'!$B:$B,B15))</f>
        <v>1</v>
      </c>
      <c r="N15" s="138">
        <f>IFERROR(IF(B15="","",AVERAGEIFS('Stock Guide'!$U:$U,'Stock Guide'!$B:$B,B15)),"-")</f>
        <v>-5.1684210526000002E-2</v>
      </c>
      <c r="O15" s="138">
        <f>IFERROR(IF(B15="","",AVERAGEIFS('Stock Guide'!$V:$V,'Stock Guide'!$B:$B,B15)),"-")</f>
        <v>1.7469445278000002E-2</v>
      </c>
      <c r="P15" s="138">
        <f>IFERROR(IF(B15="","",AVERAGEIFS('Stock Guide'!$W:$W,'Stock Guide'!$B:$B,B15)),"-")</f>
        <v>0.13519193595000001</v>
      </c>
    </row>
    <row r="16" spans="1:16" ht="16.5" customHeight="1" x14ac:dyDescent="0.2">
      <c r="B16" s="131" t="s">
        <v>803</v>
      </c>
      <c r="C16" s="132" t="str">
        <f>IF(B16="","",(VLOOKUP(B16,'Stock Guide'!$B:$D,3,0)))</f>
        <v>-</v>
      </c>
      <c r="D16" s="133">
        <f>IF(B16="","",SUMIFS('Stock Guide'!$J:$J,'Stock Guide'!$B:$B,B16))</f>
        <v>10</v>
      </c>
      <c r="E16" s="134">
        <f>IF(B16="","",SUMIFS('Stock Guide'!$H:$H,'Stock Guide'!$B:$B,B16))</f>
        <v>0</v>
      </c>
      <c r="F16" s="135">
        <f>IF(B16="","",SUMIFS('Stock Guide'!I:I,'Stock Guide'!$B:$B,B16))</f>
        <v>64932.675077</v>
      </c>
      <c r="G16" s="136">
        <f>IF(B16="","",SUMIFS('Stock Guide'!$M:$M,'Stock Guide'!$B:$B,B16))</f>
        <v>124407650</v>
      </c>
      <c r="H16" s="136">
        <f>IF(B16="","",SUMIFS('Stock Guide'!$N:$N,'Stock Guide'!$B:$B,B16))</f>
        <v>125454154.3</v>
      </c>
      <c r="I16" s="137">
        <f>IF(B16="","",SUMIFS('Stock Guide'!$O:$O,'Stock Guide'!$B:$B,B16))</f>
        <v>0.99165827304931264</v>
      </c>
      <c r="J16" s="137">
        <f>IF(B16="","",SUMIFS('Stock Guide'!$P:$P,'Stock Guide'!$B:$B,B16))</f>
        <v>0.99628053303999997</v>
      </c>
      <c r="K16" s="134">
        <f>IF(B16="","",SUMIFS('Stock Guide'!$Q:$Q,'Stock Guide'!$B:$B,B16))</f>
        <v>0.13100000000000001</v>
      </c>
      <c r="L16" s="134">
        <f>IF(B16="","",SUMIFS('Stock Guide'!$R:$R,'Stock Guide'!$B:$B,B16))</f>
        <v>0.14400000000000002</v>
      </c>
      <c r="M16" s="133">
        <f>IF(B16="","",SUMIFS('Stock Guide'!$T:$T,'Stock Guide'!$B:$B,B16))</f>
        <v>0.12</v>
      </c>
      <c r="N16" s="138">
        <f>IFERROR(IF(B16="","",AVERAGEIFS('Stock Guide'!$U:$U,'Stock Guide'!$B:$B,B16)),"-")</f>
        <v>1.2158054711E-2</v>
      </c>
      <c r="O16" s="138">
        <f>IFERROR(IF(B16="","",AVERAGEIFS('Stock Guide'!$V:$V,'Stock Guide'!$B:$B,B16)),"-")</f>
        <v>0.10143860527</v>
      </c>
      <c r="P16" s="138">
        <f>IFERROR(IF(B16="","",AVERAGEIFS('Stock Guide'!$W:$W,'Stock Guide'!$B:$B,B16)),"-")</f>
        <v>0.14090665550000001</v>
      </c>
    </row>
    <row r="17" spans="2:16" ht="16.5" customHeight="1" x14ac:dyDescent="0.2">
      <c r="B17" s="131" t="s">
        <v>582</v>
      </c>
      <c r="C17" s="132" t="str">
        <f>IF(B17="","",(VLOOKUP(B17,'Stock Guide'!$B:$D,3,0)))</f>
        <v>Mauá Capital Real Estate FII</v>
      </c>
      <c r="D17" s="133">
        <f>IF(B17="","",SUMIFS('Stock Guide'!$J:$J,'Stock Guide'!$B:$B,B17))</f>
        <v>8.0299999999999994</v>
      </c>
      <c r="E17" s="134">
        <f>IF(B17="","",SUMIFS('Stock Guide'!$H:$H,'Stock Guide'!$B:$B,B17))</f>
        <v>6.0600000000000003E-3</v>
      </c>
      <c r="F17" s="135">
        <f>IF(B17="","",SUMIFS('Stock Guide'!I:I,'Stock Guide'!$B:$B,B17))</f>
        <v>2734526.9652</v>
      </c>
      <c r="G17" s="136">
        <f>IF(B17="","",SUMIFS('Stock Guide'!$M:$M,'Stock Guide'!$B:$B,B17))</f>
        <v>896139335.63</v>
      </c>
      <c r="H17" s="136">
        <f>IF(B17="","",SUMIFS('Stock Guide'!$N:$N,'Stock Guide'!$B:$B,B17))</f>
        <v>1132723136</v>
      </c>
      <c r="I17" s="137">
        <f>IF(B17="","",SUMIFS('Stock Guide'!$O:$O,'Stock Guide'!$B:$B,B17))</f>
        <v>0.79113713417609577</v>
      </c>
      <c r="J17" s="137">
        <f>IF(B17="","",SUMIFS('Stock Guide'!$P:$P,'Stock Guide'!$B:$B,B17))</f>
        <v>0.90717317043000001</v>
      </c>
      <c r="K17" s="134">
        <f>IF(B17="","",SUMIFS('Stock Guide'!$Q:$Q,'Stock Guide'!$B:$B,B17))</f>
        <v>0.16313823162999999</v>
      </c>
      <c r="L17" s="134">
        <f>IF(B17="","",SUMIFS('Stock Guide'!$R:$R,'Stock Guide'!$B:$B,B17))</f>
        <v>0.14943960149439603</v>
      </c>
      <c r="M17" s="133">
        <f>IF(B17="","",SUMIFS('Stock Guide'!$T:$T,'Stock Guide'!$B:$B,B17))</f>
        <v>0.1</v>
      </c>
      <c r="N17" s="138">
        <f>IFERROR(IF(B17="","",AVERAGEIFS('Stock Guide'!$U:$U,'Stock Guide'!$B:$B,B17)),"-")</f>
        <v>-6.0611655767999997E-2</v>
      </c>
      <c r="O17" s="138">
        <f>IFERROR(IF(B17="","",AVERAGEIFS('Stock Guide'!$V:$V,'Stock Guide'!$B:$B,B17)),"-")</f>
        <v>-4.1571626073000002E-2</v>
      </c>
      <c r="P17" s="138">
        <f>IFERROR(IF(B17="","",AVERAGEIFS('Stock Guide'!$W:$W,'Stock Guide'!$B:$B,B17)),"-")</f>
        <v>8.7945134731999997E-2</v>
      </c>
    </row>
    <row r="18" spans="2:16" ht="16.5" customHeight="1" x14ac:dyDescent="0.2">
      <c r="B18" s="131" t="s">
        <v>611</v>
      </c>
      <c r="C18" s="132" t="str">
        <f>IF(B18="","",(VLOOKUP(B18,'Stock Guide'!$B:$D,3,0)))</f>
        <v>Patria Securities FII</v>
      </c>
      <c r="D18" s="133">
        <f>IF(B18="","",SUMIFS('Stock Guide'!$J:$J,'Stock Guide'!$B:$B,B18))</f>
        <v>50.92</v>
      </c>
      <c r="E18" s="134">
        <f>IF(B18="","",SUMIFS('Stock Guide'!$H:$H,'Stock Guide'!$B:$B,B18))</f>
        <v>6.3299999999999997E-3</v>
      </c>
      <c r="F18" s="135">
        <f>IF(B18="","",SUMIFS('Stock Guide'!I:I,'Stock Guide'!$B:$B,B18))</f>
        <v>2278948.6395</v>
      </c>
      <c r="G18" s="136">
        <f>IF(B18="","",SUMIFS('Stock Guide'!$M:$M,'Stock Guide'!$B:$B,B18))</f>
        <v>936896327.75999999</v>
      </c>
      <c r="H18" s="136">
        <f>IF(B18="","",SUMIFS('Stock Guide'!$N:$N,'Stock Guide'!$B:$B,B18))</f>
        <v>1330054484.0999999</v>
      </c>
      <c r="I18" s="137">
        <f>IF(B18="","",SUMIFS('Stock Guide'!$O:$O,'Stock Guide'!$B:$B,B18))</f>
        <v>0.70440447286936825</v>
      </c>
      <c r="J18" s="137">
        <f>IF(B18="","",SUMIFS('Stock Guide'!$P:$P,'Stock Guide'!$B:$B,B18))</f>
        <v>0.85381526991000001</v>
      </c>
      <c r="K18" s="134">
        <f>IF(B18="","",SUMIFS('Stock Guide'!$Q:$Q,'Stock Guide'!$B:$B,B18))</f>
        <v>0.14925373134</v>
      </c>
      <c r="L18" s="134">
        <f>IF(B18="","",SUMIFS('Stock Guide'!$R:$R,'Stock Guide'!$B:$B,B18))</f>
        <v>0.14139827179890024</v>
      </c>
      <c r="M18" s="133">
        <f>IF(B18="","",SUMIFS('Stock Guide'!$T:$T,'Stock Guide'!$B:$B,B18))</f>
        <v>0.6</v>
      </c>
      <c r="N18" s="138">
        <f>IFERROR(IF(B18="","",AVERAGEIFS('Stock Guide'!$U:$U,'Stock Guide'!$B:$B,B18)),"-")</f>
        <v>-4.6461519164000001E-2</v>
      </c>
      <c r="O18" s="138">
        <f>IFERROR(IF(B18="","",AVERAGEIFS('Stock Guide'!$V:$V,'Stock Guide'!$B:$B,B18)),"-")</f>
        <v>-0.14403327320000001</v>
      </c>
      <c r="P18" s="138">
        <f>IFERROR(IF(B18="","",AVERAGEIFS('Stock Guide'!$W:$W,'Stock Guide'!$B:$B,B18)),"-")</f>
        <v>-4.8573177954999998E-2</v>
      </c>
    </row>
    <row r="19" spans="2:16" ht="16.5" customHeight="1" x14ac:dyDescent="0.2">
      <c r="B19" s="131" t="s">
        <v>614</v>
      </c>
      <c r="C19" s="132" t="str">
        <f>IF(B19="","",(VLOOKUP(B19,'Stock Guide'!$B:$D,3,0)))</f>
        <v>-</v>
      </c>
      <c r="D19" s="133">
        <f>IF(B19="","",SUMIFS('Stock Guide'!$J:$J,'Stock Guide'!$B:$B,B19))</f>
        <v>9.6300000000000008</v>
      </c>
      <c r="E19" s="134">
        <f>IF(B19="","",SUMIFS('Stock Guide'!$H:$H,'Stock Guide'!$B:$B,B19))</f>
        <v>1.2199999999999999E-3</v>
      </c>
      <c r="F19" s="135">
        <f>IF(B19="","",SUMIFS('Stock Guide'!I:I,'Stock Guide'!$B:$B,B19))</f>
        <v>324157.41214999999</v>
      </c>
      <c r="G19" s="136">
        <f>IF(B19="","",SUMIFS('Stock Guide'!$M:$M,'Stock Guide'!$B:$B,B19))</f>
        <v>180524702.25</v>
      </c>
      <c r="H19" s="136">
        <f>IF(B19="","",SUMIFS('Stock Guide'!$N:$N,'Stock Guide'!$B:$B,B19))</f>
        <v>231394227.34999999</v>
      </c>
      <c r="I19" s="137">
        <f>IF(B19="","",SUMIFS('Stock Guide'!$O:$O,'Stock Guide'!$B:$B,B19))</f>
        <v>0.78016078584771142</v>
      </c>
      <c r="J19" s="137">
        <f>IF(B19="","",SUMIFS('Stock Guide'!$P:$P,'Stock Guide'!$B:$B,B19))</f>
        <v>0.81968649075</v>
      </c>
      <c r="K19" s="134">
        <f>IF(B19="","",SUMIFS('Stock Guide'!$Q:$Q,'Stock Guide'!$B:$B,B19))</f>
        <v>0.14184839045</v>
      </c>
      <c r="L19" s="134">
        <f>IF(B19="","",SUMIFS('Stock Guide'!$R:$R,'Stock Guide'!$B:$B,B19))</f>
        <v>0.13457943925233645</v>
      </c>
      <c r="M19" s="133">
        <f>IF(B19="","",SUMIFS('Stock Guide'!$T:$T,'Stock Guide'!$B:$B,B19))</f>
        <v>0.108</v>
      </c>
      <c r="N19" s="138">
        <f>IFERROR(IF(B19="","",AVERAGEIFS('Stock Guide'!$U:$U,'Stock Guide'!$B:$B,B19)),"-")</f>
        <v>-6.3411787590000004E-2</v>
      </c>
      <c r="O19" s="138">
        <f>IFERROR(IF(B19="","",AVERAGEIFS('Stock Guide'!$V:$V,'Stock Guide'!$B:$B,B19)),"-")</f>
        <v>-2.7257365188999998E-2</v>
      </c>
      <c r="P19" s="138">
        <f>IFERROR(IF(B19="","",AVERAGEIFS('Stock Guide'!$W:$W,'Stock Guide'!$B:$B,B19)),"-")</f>
        <v>0.14152511950999999</v>
      </c>
    </row>
    <row r="20" spans="2:16" ht="16.5" customHeight="1" x14ac:dyDescent="0.2">
      <c r="B20" s="131" t="s">
        <v>626</v>
      </c>
      <c r="C20" s="132" t="str">
        <f>IF(B20="","",(VLOOKUP(B20,'Stock Guide'!$B:$D,3,0)))</f>
        <v>RBR Plus Multiestratégia Real Estate</v>
      </c>
      <c r="D20" s="133">
        <f>IF(B20="","",SUMIFS('Stock Guide'!$J:$J,'Stock Guide'!$B:$B,B20))</f>
        <v>7.24</v>
      </c>
      <c r="E20" s="134">
        <f>IF(B20="","",SUMIFS('Stock Guide'!$H:$H,'Stock Guide'!$B:$B,B20))</f>
        <v>7.1599999999999997E-3</v>
      </c>
      <c r="F20" s="135">
        <f>IF(B20="","",SUMIFS('Stock Guide'!I:I,'Stock Guide'!$B:$B,B20))</f>
        <v>2300692.2708999999</v>
      </c>
      <c r="G20" s="136">
        <f>IF(B20="","",SUMIFS('Stock Guide'!$M:$M,'Stock Guide'!$B:$B,B20))</f>
        <v>1059605146.4</v>
      </c>
      <c r="H20" s="136">
        <f>IF(B20="","",SUMIFS('Stock Guide'!$N:$N,'Stock Guide'!$B:$B,B20))</f>
        <v>1348078087.3</v>
      </c>
      <c r="I20" s="137">
        <f>IF(B20="","",SUMIFS('Stock Guide'!$O:$O,'Stock Guide'!$B:$B,B20))</f>
        <v>0.78601169797384041</v>
      </c>
      <c r="J20" s="137">
        <f>IF(B20="","",SUMIFS('Stock Guide'!$P:$P,'Stock Guide'!$B:$B,B20))</f>
        <v>0.84237902873000003</v>
      </c>
      <c r="K20" s="134">
        <f>IF(B20="","",SUMIFS('Stock Guide'!$Q:$Q,'Stock Guide'!$B:$B,B20))</f>
        <v>0.14917127072</v>
      </c>
      <c r="L20" s="134">
        <f>IF(B20="","",SUMIFS('Stock Guide'!$R:$R,'Stock Guide'!$B:$B,B20))</f>
        <v>0.14917127071823205</v>
      </c>
      <c r="M20" s="133">
        <f>IF(B20="","",SUMIFS('Stock Guide'!$T:$T,'Stock Guide'!$B:$B,B20))</f>
        <v>0.09</v>
      </c>
      <c r="N20" s="138">
        <f>IFERROR(IF(B20="","",AVERAGEIFS('Stock Guide'!$U:$U,'Stock Guide'!$B:$B,B20)),"-")</f>
        <v>-4.0559622863000001E-2</v>
      </c>
      <c r="O20" s="138">
        <f>IFERROR(IF(B20="","",AVERAGEIFS('Stock Guide'!$V:$V,'Stock Guide'!$B:$B,B20)),"-")</f>
        <v>-5.4022394231999997E-2</v>
      </c>
      <c r="P20" s="138">
        <f>IFERROR(IF(B20="","",AVERAGEIFS('Stock Guide'!$W:$W,'Stock Guide'!$B:$B,B20)),"-")</f>
        <v>7.4789818159999993E-2</v>
      </c>
    </row>
    <row r="21" spans="2:16" ht="16.5" customHeight="1" x14ac:dyDescent="0.2">
      <c r="B21" s="131" t="s">
        <v>636</v>
      </c>
      <c r="C21" s="132" t="str">
        <f>IF(B21="","",(VLOOKUP(B21,'Stock Guide'!$B:$D,3,0)))</f>
        <v>REC Multiestratégia FII</v>
      </c>
      <c r="D21" s="133">
        <f>IF(B21="","",SUMIFS('Stock Guide'!$J:$J,'Stock Guide'!$B:$B,B21))</f>
        <v>7.5</v>
      </c>
      <c r="E21" s="134">
        <f>IF(B21="","",SUMIFS('Stock Guide'!$H:$H,'Stock Guide'!$B:$B,B21))</f>
        <v>0</v>
      </c>
      <c r="F21" s="135">
        <f>IF(B21="","",SUMIFS('Stock Guide'!I:I,'Stock Guide'!$B:$B,B21))</f>
        <v>59914.752308000003</v>
      </c>
      <c r="G21" s="136">
        <f>IF(B21="","",SUMIFS('Stock Guide'!$M:$M,'Stock Guide'!$B:$B,B21))</f>
        <v>142878435</v>
      </c>
      <c r="H21" s="136">
        <f>IF(B21="","",SUMIFS('Stock Guide'!$N:$N,'Stock Guide'!$B:$B,B21))</f>
        <v>169523360.59</v>
      </c>
      <c r="I21" s="137">
        <f>IF(B21="","",SUMIFS('Stock Guide'!$O:$O,'Stock Guide'!$B:$B,B21))</f>
        <v>0.84282446090458307</v>
      </c>
      <c r="J21" s="137">
        <f>IF(B21="","",SUMIFS('Stock Guide'!$P:$P,'Stock Guide'!$B:$B,B21))</f>
        <v>0.87785134471000004</v>
      </c>
      <c r="K21" s="134">
        <f>IF(B21="","",SUMIFS('Stock Guide'!$Q:$Q,'Stock Guide'!$B:$B,B21))</f>
        <v>0.17066666666999999</v>
      </c>
      <c r="L21" s="134">
        <f>IF(B21="","",SUMIFS('Stock Guide'!$R:$R,'Stock Guide'!$B:$B,B21))</f>
        <v>0.16</v>
      </c>
      <c r="M21" s="133">
        <f>IF(B21="","",SUMIFS('Stock Guide'!$T:$T,'Stock Guide'!$B:$B,B21))</f>
        <v>0.1</v>
      </c>
      <c r="N21" s="138">
        <f>IFERROR(IF(B21="","",AVERAGEIFS('Stock Guide'!$U:$U,'Stock Guide'!$B:$B,B21)),"-")</f>
        <v>1.1930971188E-2</v>
      </c>
      <c r="O21" s="138">
        <f>IFERROR(IF(B21="","",AVERAGEIFS('Stock Guide'!$V:$V,'Stock Guide'!$B:$B,B21)),"-")</f>
        <v>-3.4252940166000001E-2</v>
      </c>
      <c r="P21" s="138">
        <f>IFERROR(IF(B21="","",AVERAGEIFS('Stock Guide'!$W:$W,'Stock Guide'!$B:$B,B21)),"-")</f>
        <v>8.5867364178000005E-3</v>
      </c>
    </row>
    <row r="22" spans="2:16" ht="16.5" customHeight="1" x14ac:dyDescent="0.2">
      <c r="B22" s="131" t="s">
        <v>806</v>
      </c>
      <c r="C22" s="132" t="str">
        <f>IF(B22="","",(VLOOKUP(B22,'Stock Guide'!$B:$D,3,0)))</f>
        <v>-</v>
      </c>
      <c r="D22" s="133">
        <f>IF(B22="","",SUMIFS('Stock Guide'!$J:$J,'Stock Guide'!$B:$B,B22))</f>
        <v>78.010000000000005</v>
      </c>
      <c r="E22" s="134">
        <f>IF(B22="","",SUMIFS('Stock Guide'!$H:$H,'Stock Guide'!$B:$B,B22))</f>
        <v>0</v>
      </c>
      <c r="F22" s="135">
        <f>IF(B22="","",SUMIFS('Stock Guide'!I:I,'Stock Guide'!$B:$B,B22))</f>
        <v>172267.96431000001</v>
      </c>
      <c r="G22" s="136">
        <f>IF(B22="","",SUMIFS('Stock Guide'!$M:$M,'Stock Guide'!$B:$B,B22))</f>
        <v>51103336.869999997</v>
      </c>
      <c r="H22" s="136">
        <f>IF(B22="","",SUMIFS('Stock Guide'!$N:$N,'Stock Guide'!$B:$B,B22))</f>
        <v>58672264.770000003</v>
      </c>
      <c r="I22" s="137">
        <f>IF(B22="","",SUMIFS('Stock Guide'!$O:$O,'Stock Guide'!$B:$B,B22))</f>
        <v>0.87099649332319429</v>
      </c>
      <c r="J22" s="137">
        <f>IF(B22="","",SUMIFS('Stock Guide'!$P:$P,'Stock Guide'!$B:$B,B22))</f>
        <v>0</v>
      </c>
      <c r="K22" s="134">
        <f>IF(B22="","",SUMIFS('Stock Guide'!$Q:$Q,'Stock Guide'!$B:$B,B22))</f>
        <v>0</v>
      </c>
      <c r="L22" s="134">
        <f>IF(B22="","",SUMIFS('Stock Guide'!$R:$R,'Stock Guide'!$B:$B,B22))</f>
        <v>0.13536726060761439</v>
      </c>
      <c r="M22" s="133">
        <f>IF(B22="","",SUMIFS('Stock Guide'!$T:$T,'Stock Guide'!$B:$B,B22))</f>
        <v>0.88</v>
      </c>
      <c r="N22" s="138">
        <f>IFERROR(IF(B22="","",AVERAGEIFS('Stock Guide'!$U:$U,'Stock Guide'!$B:$B,B22)),"-")</f>
        <v>1.2328056061999999E-2</v>
      </c>
      <c r="O22" s="138" t="str">
        <f>IFERROR(IF(B22="","",AVERAGEIFS('Stock Guide'!$V:$V,'Stock Guide'!$B:$B,B22)),"-")</f>
        <v>-</v>
      </c>
      <c r="P22" s="138" t="str">
        <f>IFERROR(IF(B22="","",AVERAGEIFS('Stock Guide'!$W:$W,'Stock Guide'!$B:$B,B22)),"-")</f>
        <v>-</v>
      </c>
    </row>
    <row r="23" spans="2:16" ht="16.5" customHeight="1" x14ac:dyDescent="0.2">
      <c r="B23" s="131" t="s">
        <v>791</v>
      </c>
      <c r="C23" s="132" t="str">
        <f>IF(B23="","",(VLOOKUP(B23,'Stock Guide'!$B:$D,3,0)))</f>
        <v>Riza Lecci FII</v>
      </c>
      <c r="D23" s="133">
        <f>IF(B23="","",SUMIFS('Stock Guide'!$J:$J,'Stock Guide'!$B:$B,B23))</f>
        <v>1008.45</v>
      </c>
      <c r="E23" s="134">
        <f>IF(B23="","",SUMIFS('Stock Guide'!$H:$H,'Stock Guide'!$B:$B,B23))</f>
        <v>0</v>
      </c>
      <c r="F23" s="135">
        <f>IF(B23="","",SUMIFS('Stock Guide'!I:I,'Stock Guide'!$B:$B,B23))</f>
        <v>937006.02599999995</v>
      </c>
      <c r="G23" s="136">
        <f>IF(B23="","",SUMIFS('Stock Guide'!$M:$M,'Stock Guide'!$B:$B,B23))</f>
        <v>163331587.34999999</v>
      </c>
      <c r="H23" s="136">
        <f>IF(B23="","",SUMIFS('Stock Guide'!$N:$N,'Stock Guide'!$B:$B,B23))</f>
        <v>161669867.61000001</v>
      </c>
      <c r="I23" s="137">
        <f>IF(B23="","",SUMIFS('Stock Guide'!$O:$O,'Stock Guide'!$B:$B,B23))</f>
        <v>1.0102784752939156</v>
      </c>
      <c r="J23" s="137">
        <f>IF(B23="","",SUMIFS('Stock Guide'!$P:$P,'Stock Guide'!$B:$B,B23))</f>
        <v>1.0223241547999999</v>
      </c>
      <c r="K23" s="134">
        <f>IF(B23="","",SUMIFS('Stock Guide'!$Q:$Q,'Stock Guide'!$B:$B,B23))</f>
        <v>0.14714451351999999</v>
      </c>
      <c r="L23" s="134">
        <f>IF(B23="","",SUMIFS('Stock Guide'!$R:$R,'Stock Guide'!$B:$B,B23))</f>
        <v>0.15579323147404434</v>
      </c>
      <c r="M23" s="133">
        <f>IF(B23="","",SUMIFS('Stock Guide'!$T:$T,'Stock Guide'!$B:$B,B23))</f>
        <v>13.09247369</v>
      </c>
      <c r="N23" s="138">
        <f>IFERROR(IF(B23="","",AVERAGEIFS('Stock Guide'!$U:$U,'Stock Guide'!$B:$B,B23)),"-")</f>
        <v>8.3998663231000005E-3</v>
      </c>
      <c r="O23" s="138">
        <f>IFERROR(IF(B23="","",AVERAGEIFS('Stock Guide'!$V:$V,'Stock Guide'!$B:$B,B23)),"-")</f>
        <v>9.7969125801999998E-2</v>
      </c>
      <c r="P23" s="138">
        <f>IFERROR(IF(B23="","",AVERAGEIFS('Stock Guide'!$W:$W,'Stock Guide'!$B:$B,B23)),"-")</f>
        <v>0.15866820106000001</v>
      </c>
    </row>
    <row r="24" spans="2:16" ht="16.5" customHeight="1" x14ac:dyDescent="0.2">
      <c r="B24" s="131" t="s">
        <v>695</v>
      </c>
      <c r="C24" s="132" t="str">
        <f>IF(B24="","",(VLOOKUP(B24,'Stock Guide'!$B:$D,3,0)))</f>
        <v>TRX Hedge Fund FII</v>
      </c>
      <c r="D24" s="133">
        <f>IF(B24="","",SUMIFS('Stock Guide'!$J:$J,'Stock Guide'!$B:$B,B24))</f>
        <v>7.73</v>
      </c>
      <c r="E24" s="134">
        <f>IF(B24="","",SUMIFS('Stock Guide'!$H:$H,'Stock Guide'!$B:$B,B24))</f>
        <v>0</v>
      </c>
      <c r="F24" s="135">
        <f>IF(B24="","",SUMIFS('Stock Guide'!I:I,'Stock Guide'!$B:$B,B24))</f>
        <v>213573.15</v>
      </c>
      <c r="G24" s="136">
        <f>IF(B24="","",SUMIFS('Stock Guide'!$M:$M,'Stock Guide'!$B:$B,B24))</f>
        <v>274160018.22000003</v>
      </c>
      <c r="H24" s="136">
        <f>IF(B24="","",SUMIFS('Stock Guide'!$N:$N,'Stock Guide'!$B:$B,B24))</f>
        <v>307712236.81</v>
      </c>
      <c r="I24" s="137">
        <f>IF(B24="","",SUMIFS('Stock Guide'!$O:$O,'Stock Guide'!$B:$B,B24))</f>
        <v>0.89096235191089546</v>
      </c>
      <c r="J24" s="137">
        <f>IF(B24="","",SUMIFS('Stock Guide'!$P:$P,'Stock Guide'!$B:$B,B24))</f>
        <v>1.0374883627</v>
      </c>
      <c r="K24" s="134">
        <f>IF(B24="","",SUMIFS('Stock Guide'!$Q:$Q,'Stock Guide'!$B:$B,B24))</f>
        <v>0.17593790427</v>
      </c>
      <c r="L24" s="134">
        <f>IF(B24="","",SUMIFS('Stock Guide'!$R:$R,'Stock Guide'!$B:$B,B24))</f>
        <v>0.17076326002587322</v>
      </c>
      <c r="M24" s="133">
        <f>IF(B24="","",SUMIFS('Stock Guide'!$T:$T,'Stock Guide'!$B:$B,B24))</f>
        <v>0.11</v>
      </c>
      <c r="N24" s="138">
        <f>IFERROR(IF(B24="","",AVERAGEIFS('Stock Guide'!$U:$U,'Stock Guide'!$B:$B,B24)),"-")</f>
        <v>-2.3989898988999999E-2</v>
      </c>
      <c r="O24" s="138">
        <f>IFERROR(IF(B24="","",AVERAGEIFS('Stock Guide'!$V:$V,'Stock Guide'!$B:$B,B24)),"-")</f>
        <v>-9.9928339695999999E-2</v>
      </c>
      <c r="P24" s="138">
        <f>IFERROR(IF(B24="","",AVERAGEIFS('Stock Guide'!$W:$W,'Stock Guide'!$B:$B,B24)),"-")</f>
        <v>-2.6469062793999999E-2</v>
      </c>
    </row>
    <row r="25" spans="2:16" ht="16.5" customHeight="1" x14ac:dyDescent="0.2">
      <c r="B25" s="131" t="s">
        <v>708</v>
      </c>
      <c r="C25" s="132" t="str">
        <f>IF(B25="","",(VLOOKUP(B25,'Stock Guide'!$B:$D,3,0)))</f>
        <v>Valora Hedge Fund FII</v>
      </c>
      <c r="D25" s="133">
        <f>IF(B25="","",SUMIFS('Stock Guide'!$J:$J,'Stock Guide'!$B:$B,B25))</f>
        <v>5.12</v>
      </c>
      <c r="E25" s="134">
        <f>IF(B25="","",SUMIFS('Stock Guide'!$H:$H,'Stock Guide'!$B:$B,B25))</f>
        <v>5.7000000000000002E-3</v>
      </c>
      <c r="F25" s="135">
        <f>IF(B25="","",SUMIFS('Stock Guide'!I:I,'Stock Guide'!$B:$B,B25))</f>
        <v>2491616.0784999998</v>
      </c>
      <c r="G25" s="136">
        <f>IF(B25="","",SUMIFS('Stock Guide'!$M:$M,'Stock Guide'!$B:$B,B25))</f>
        <v>843375016.96000004</v>
      </c>
      <c r="H25" s="136">
        <f>IF(B25="","",SUMIFS('Stock Guide'!$N:$N,'Stock Guide'!$B:$B,B25))</f>
        <v>1346302651.5999999</v>
      </c>
      <c r="I25" s="137">
        <f>IF(B25="","",SUMIFS('Stock Guide'!$O:$O,'Stock Guide'!$B:$B,B25))</f>
        <v>0.6264379082650543</v>
      </c>
      <c r="J25" s="137">
        <f>IF(B25="","",SUMIFS('Stock Guide'!$P:$P,'Stock Guide'!$B:$B,B25))</f>
        <v>0.82585636902000004</v>
      </c>
      <c r="K25" s="134">
        <f>IF(B25="","",SUMIFS('Stock Guide'!$Q:$Q,'Stock Guide'!$B:$B,B25))</f>
        <v>0.16796875</v>
      </c>
      <c r="L25" s="134">
        <f>IF(B25="","",SUMIFS('Stock Guide'!$R:$R,'Stock Guide'!$B:$B,B25))</f>
        <v>0.140625</v>
      </c>
      <c r="M25" s="133">
        <f>IF(B25="","",SUMIFS('Stock Guide'!$T:$T,'Stock Guide'!$B:$B,B25))</f>
        <v>0.06</v>
      </c>
      <c r="N25" s="138">
        <f>IFERROR(IF(B25="","",AVERAGEIFS('Stock Guide'!$U:$U,'Stock Guide'!$B:$B,B25)),"-")</f>
        <v>-0.1172413793</v>
      </c>
      <c r="O25" s="138">
        <f>IFERROR(IF(B25="","",AVERAGEIFS('Stock Guide'!$V:$V,'Stock Guide'!$B:$B,B25)),"-")</f>
        <v>-0.23069175360999999</v>
      </c>
      <c r="P25" s="138">
        <f>IFERROR(IF(B25="","",AVERAGEIFS('Stock Guide'!$W:$W,'Stock Guide'!$B:$B,B25)),"-")</f>
        <v>-0.24526465035</v>
      </c>
    </row>
    <row r="26" spans="2:16" ht="16.5" customHeight="1" x14ac:dyDescent="0.2">
      <c r="B26" s="131" t="s">
        <v>729</v>
      </c>
      <c r="C26" s="132" t="str">
        <f>IF(B26="","",(VLOOKUP(B26,'Stock Guide'!$B:$D,3,0)))</f>
        <v xml:space="preserve">Fator Verità Multiestratégia FII </v>
      </c>
      <c r="D26" s="133">
        <f>IF(B26="","",SUMIFS('Stock Guide'!$J:$J,'Stock Guide'!$B:$B,B26))</f>
        <v>6.45</v>
      </c>
      <c r="E26" s="134">
        <f>IF(B26="","",SUMIFS('Stock Guide'!$H:$H,'Stock Guide'!$B:$B,B26))</f>
        <v>2.0500000000000002E-3</v>
      </c>
      <c r="F26" s="135">
        <f>IF(B26="","",SUMIFS('Stock Guide'!I:I,'Stock Guide'!$B:$B,B26))</f>
        <v>187637.21846</v>
      </c>
      <c r="G26" s="136">
        <f>IF(B26="","",SUMIFS('Stock Guide'!$M:$M,'Stock Guide'!$B:$B,B26))</f>
        <v>302964530.25</v>
      </c>
      <c r="H26" s="136">
        <f>IF(B26="","",SUMIFS('Stock Guide'!$N:$N,'Stock Guide'!$B:$B,B26))</f>
        <v>438891751.08999997</v>
      </c>
      <c r="I26" s="137">
        <f>IF(B26="","",SUMIFS('Stock Guide'!$O:$O,'Stock Guide'!$B:$B,B26))</f>
        <v>0.69029442794852969</v>
      </c>
      <c r="J26" s="137">
        <f>IF(B26="","",SUMIFS('Stock Guide'!$P:$P,'Stock Guide'!$B:$B,B26))</f>
        <v>0.77962640527000004</v>
      </c>
      <c r="K26" s="134">
        <f>IF(B26="","",SUMIFS('Stock Guide'!$Q:$Q,'Stock Guide'!$B:$B,B26))</f>
        <v>0.16744186047000001</v>
      </c>
      <c r="L26" s="134">
        <f>IF(B26="","",SUMIFS('Stock Guide'!$R:$R,'Stock Guide'!$B:$B,B26))</f>
        <v>0.16744186046511628</v>
      </c>
      <c r="M26" s="133">
        <f>IF(B26="","",SUMIFS('Stock Guide'!$T:$T,'Stock Guide'!$B:$B,B26))</f>
        <v>0.09</v>
      </c>
      <c r="N26" s="138">
        <f>IFERROR(IF(B26="","",AVERAGEIFS('Stock Guide'!$U:$U,'Stock Guide'!$B:$B,B26)),"-")</f>
        <v>-5.4252199414000002E-2</v>
      </c>
      <c r="O26" s="138">
        <f>IFERROR(IF(B26="","",AVERAGEIFS('Stock Guide'!$V:$V,'Stock Guide'!$B:$B,B26)),"-")</f>
        <v>-3.5647321602000001E-2</v>
      </c>
      <c r="P26" s="138">
        <f>IFERROR(IF(B26="","",AVERAGEIFS('Stock Guide'!$W:$W,'Stock Guide'!$B:$B,B26)),"-")</f>
        <v>9.9500327979000006E-2</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row r="83" spans="2:16" hidden="1" x14ac:dyDescent="0.2">
      <c r="B83" s="143"/>
    </row>
    <row r="84" spans="2:16" hidden="1" x14ac:dyDescent="0.2">
      <c r="B84" s="143"/>
    </row>
    <row r="85" spans="2:16" hidden="1" x14ac:dyDescent="0.2">
      <c r="B85" s="143"/>
    </row>
    <row r="86" spans="2:16" hidden="1" x14ac:dyDescent="0.2">
      <c r="B86" s="143"/>
    </row>
    <row r="87" spans="2:16" hidden="1" x14ac:dyDescent="0.2">
      <c r="B87" s="143"/>
    </row>
    <row r="88" spans="2:16" hidden="1" x14ac:dyDescent="0.2">
      <c r="B88" s="143"/>
    </row>
    <row r="89" spans="2:16" hidden="1" x14ac:dyDescent="0.2">
      <c r="B89" s="143"/>
    </row>
    <row r="90" spans="2:16" hidden="1" x14ac:dyDescent="0.2">
      <c r="B90" s="143"/>
    </row>
    <row r="91" spans="2:16" hidden="1" x14ac:dyDescent="0.2">
      <c r="B91" s="143"/>
    </row>
    <row r="92" spans="2:16" hidden="1" x14ac:dyDescent="0.2">
      <c r="B92" s="143"/>
    </row>
    <row r="93" spans="2:16" hidden="1" x14ac:dyDescent="0.2">
      <c r="B93" s="143"/>
    </row>
    <row r="94" spans="2:16" hidden="1" x14ac:dyDescent="0.2">
      <c r="B94" s="143"/>
    </row>
    <row r="95" spans="2:16" hidden="1" x14ac:dyDescent="0.2">
      <c r="B95" s="143"/>
    </row>
    <row r="96" spans="2:16" hidden="1" x14ac:dyDescent="0.2">
      <c r="B96" s="143"/>
    </row>
    <row r="97" spans="2:2" hidden="1" x14ac:dyDescent="0.2">
      <c r="B97" s="143"/>
    </row>
    <row r="98" spans="2:2" hidden="1" x14ac:dyDescent="0.2">
      <c r="B98" s="143"/>
    </row>
    <row r="99" spans="2:2" hidden="1" x14ac:dyDescent="0.2">
      <c r="B99" s="143"/>
    </row>
    <row r="100" spans="2:2" hidden="1" x14ac:dyDescent="0.2">
      <c r="B100" s="143"/>
    </row>
    <row r="101" spans="2:2" hidden="1" x14ac:dyDescent="0.2">
      <c r="B101" s="143"/>
    </row>
    <row r="102" spans="2:2" hidden="1" x14ac:dyDescent="0.2">
      <c r="B102" s="143"/>
    </row>
    <row r="103" spans="2:2" hidden="1" x14ac:dyDescent="0.2">
      <c r="B103" s="143"/>
    </row>
    <row r="104" spans="2:2" hidden="1" x14ac:dyDescent="0.2">
      <c r="B104" s="143"/>
    </row>
    <row r="105" spans="2:2" hidden="1" x14ac:dyDescent="0.2">
      <c r="B105" s="143"/>
    </row>
    <row r="106" spans="2:2" hidden="1" x14ac:dyDescent="0.2">
      <c r="B106" s="143"/>
    </row>
    <row r="107" spans="2:2" hidden="1" x14ac:dyDescent="0.2">
      <c r="B107" s="143"/>
    </row>
    <row r="108" spans="2:2" hidden="1" x14ac:dyDescent="0.2">
      <c r="B108" s="143"/>
    </row>
    <row r="109" spans="2:2" hidden="1" x14ac:dyDescent="0.2">
      <c r="B109" s="143"/>
    </row>
    <row r="110" spans="2:2" hidden="1" x14ac:dyDescent="0.2">
      <c r="B110" s="143"/>
    </row>
    <row r="111" spans="2:2" hidden="1" x14ac:dyDescent="0.2">
      <c r="B111" s="143"/>
    </row>
    <row r="112" spans="2:2" hidden="1" x14ac:dyDescent="0.2">
      <c r="B112" s="143"/>
    </row>
    <row r="113" spans="2:2" hidden="1" x14ac:dyDescent="0.2">
      <c r="B113" s="143"/>
    </row>
    <row r="114" spans="2:2" hidden="1" x14ac:dyDescent="0.2">
      <c r="B114" s="143"/>
    </row>
    <row r="115" spans="2:2" hidden="1" x14ac:dyDescent="0.2">
      <c r="B115" s="143"/>
    </row>
    <row r="116" spans="2:2" hidden="1" x14ac:dyDescent="0.2">
      <c r="B116" s="143"/>
    </row>
    <row r="117" spans="2:2" hidden="1" x14ac:dyDescent="0.2">
      <c r="B117" s="143"/>
    </row>
    <row r="118" spans="2:2" hidden="1" x14ac:dyDescent="0.2">
      <c r="B118" s="143"/>
    </row>
    <row r="119" spans="2:2" hidden="1" x14ac:dyDescent="0.2">
      <c r="B119" s="143"/>
    </row>
    <row r="120" spans="2:2" hidden="1" x14ac:dyDescent="0.2">
      <c r="B120" s="143"/>
    </row>
    <row r="121" spans="2:2" hidden="1" x14ac:dyDescent="0.2">
      <c r="B121" s="143"/>
    </row>
    <row r="122" spans="2:2" hidden="1" x14ac:dyDescent="0.2">
      <c r="B122" s="143"/>
    </row>
    <row r="123" spans="2:2" hidden="1" x14ac:dyDescent="0.2">
      <c r="B123" s="143"/>
    </row>
    <row r="124" spans="2:2" hidden="1" x14ac:dyDescent="0.2">
      <c r="B124" s="143"/>
    </row>
    <row r="125" spans="2:2" hidden="1" x14ac:dyDescent="0.2">
      <c r="B125" s="143"/>
    </row>
    <row r="126" spans="2:2" hidden="1" x14ac:dyDescent="0.2">
      <c r="B126" s="143"/>
    </row>
    <row r="127" spans="2:2" hidden="1" x14ac:dyDescent="0.2">
      <c r="B127" s="143"/>
    </row>
    <row r="128" spans="2:2" hidden="1" x14ac:dyDescent="0.2">
      <c r="B128" s="143"/>
    </row>
    <row r="129" spans="2:2" hidden="1" x14ac:dyDescent="0.2">
      <c r="B129" s="143"/>
    </row>
    <row r="130" spans="2:2" hidden="1" x14ac:dyDescent="0.2">
      <c r="B130" s="143"/>
    </row>
    <row r="131" spans="2:2" hidden="1" x14ac:dyDescent="0.2">
      <c r="B131" s="143"/>
    </row>
    <row r="132" spans="2:2" x14ac:dyDescent="0.2"/>
  </sheetData>
  <autoFilter ref="B9:P9" xr:uid="{48A41CB6-CA57-4B28-BB3B-151CF253B303}"/>
  <mergeCells count="4">
    <mergeCell ref="B4:C4"/>
    <mergeCell ref="B6:C6"/>
    <mergeCell ref="B7:C7"/>
    <mergeCell ref="B8:C8"/>
  </mergeCells>
  <conditionalFormatting sqref="N10:O69">
    <cfRule type="cellIs" dxfId="103" priority="9" operator="lessThan">
      <formula>0</formula>
    </cfRule>
    <cfRule type="cellIs" dxfId="102" priority="10" operator="greaterThan">
      <formula>0</formula>
    </cfRule>
  </conditionalFormatting>
  <conditionalFormatting sqref="N8:P8">
    <cfRule type="cellIs" dxfId="101" priority="7" operator="lessThan">
      <formula>0</formula>
    </cfRule>
    <cfRule type="cellIs" dxfId="100" priority="8" operator="greaterThan">
      <formula>0</formula>
    </cfRule>
  </conditionalFormatting>
  <conditionalFormatting sqref="P10:P69">
    <cfRule type="cellIs" dxfId="99" priority="5" operator="lessThan">
      <formula>0</formula>
    </cfRule>
    <cfRule type="cellIs" dxfId="98" priority="6" operator="greaterThan">
      <formula>0</formula>
    </cfRule>
  </conditionalFormatting>
  <conditionalFormatting sqref="N70:O82">
    <cfRule type="cellIs" dxfId="97" priority="3" operator="lessThan">
      <formula>0</formula>
    </cfRule>
    <cfRule type="cellIs" dxfId="96" priority="4" operator="greaterThan">
      <formula>0</formula>
    </cfRule>
  </conditionalFormatting>
  <conditionalFormatting sqref="P70:P82">
    <cfRule type="cellIs" dxfId="95" priority="1" operator="lessThan">
      <formula>0</formula>
    </cfRule>
    <cfRule type="cellIs" dxfId="94" priority="2" operator="greaterThan">
      <formula>0</formula>
    </cfRule>
  </conditionalFormatting>
  <hyperlinks>
    <hyperlink ref="O2" location="Menu!A1" display="Menu" xr:uid="{A709FB00-8FB0-4226-8D12-C57D0AD25E85}"/>
    <hyperlink ref="P2" location="'Stock Guide'!A1" display="Stock Guide" xr:uid="{0B4E2AFC-1A6B-4978-998C-060F99F36636}"/>
  </hyperlinks>
  <pageMargins left="0.7" right="0.7" top="0.75" bottom="0.75" header="0.3" footer="0.3"/>
  <pageSetup fitToWidth="9"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8587-AD0F-4570-A10D-C1B673AC9C45}">
  <sheetPr codeName="Sheet9">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13"/>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Agência Bancária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62</v>
      </c>
      <c r="C8" s="271"/>
      <c r="D8" s="170" t="s">
        <v>44</v>
      </c>
      <c r="E8" s="57">
        <f>SUMIFS('Stock Guide'!$H:$H,'Stock Guide'!$G:$G,B8)</f>
        <v>9.5099999999999994E-3</v>
      </c>
      <c r="F8" s="171">
        <f>AVERAGEIFS('Stock Guide'!I:I,'Stock Guide'!$G:$G,B8)</f>
        <v>320210.97438575001</v>
      </c>
      <c r="G8" s="171">
        <f>AVERAGEIFS('Stock Guide'!$M:$M,'Stock Guide'!$G:$G,B8)</f>
        <v>436982701.35249996</v>
      </c>
      <c r="H8" s="171">
        <f>AVERAGEIFS('Stock Guide'!$N:$N,'Stock Guide'!$G:$G,B8)</f>
        <v>506978489.8075</v>
      </c>
      <c r="I8" s="172">
        <f>AVERAGEIFS('Stock Guide'!$O:$O,'Stock Guide'!$G:$G,B8)</f>
        <v>0.78473812477059168</v>
      </c>
      <c r="J8" s="172">
        <f>AVERAGEIFS('Stock Guide'!$P:$P,'Stock Guide'!$G:$G,B8)</f>
        <v>0.88774273198249998</v>
      </c>
      <c r="K8" s="57">
        <f>AVERAGEIFS('Stock Guide'!$Q:$Q,'Stock Guide'!$G:$G,B8)</f>
        <v>0.15429272242249997</v>
      </c>
      <c r="L8" s="57">
        <f>AVERAGEIFS('Stock Guide'!$R:$R,'Stock Guide'!$G:$G,B8)</f>
        <v>0.13443779127388972</v>
      </c>
      <c r="M8" s="170" t="s">
        <v>44</v>
      </c>
      <c r="N8" s="57">
        <f>AVERAGEIFS('Stock Guide'!$U:$U,'Stock Guide'!$G:$G,$B8)</f>
        <v>-1.78906579177E-2</v>
      </c>
      <c r="O8" s="57">
        <f>AVERAGEIFS('Stock Guide'!$V:$V,'Stock Guide'!$G:$G,$B8)</f>
        <v>-8.7333459963000015E-2</v>
      </c>
      <c r="P8" s="57">
        <f>AVERAGEIFS('Stock Guide'!$W:$W,'Stock Guide'!$G:$G,$B8)</f>
        <v>1.0780354965000002E-2</v>
      </c>
    </row>
    <row r="9" spans="1:16" s="5" customFormat="1" ht="16.5" customHeight="1" x14ac:dyDescent="0.2">
      <c r="A9" s="18"/>
      <c r="B9" s="118" t="s">
        <v>11</v>
      </c>
      <c r="C9" s="128" t="s">
        <v>62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368</v>
      </c>
      <c r="C10" s="132" t="str">
        <f>IF(B10="","",(VLOOKUP(B10,'Stock Guide'!$B:$D,3,0)))</f>
        <v>BB Renda Corporativa FII</v>
      </c>
      <c r="D10" s="133">
        <f>IF(B10="","",SUMIFS('Stock Guide'!$J:$J,'Stock Guide'!$B:$B,B10))</f>
        <v>102.06</v>
      </c>
      <c r="E10" s="134">
        <f>IF(B10="","",SUMIFS('Stock Guide'!$H:$H,'Stock Guide'!$B:$B,B10))</f>
        <v>0</v>
      </c>
      <c r="F10" s="135">
        <f>IF(B10="","",SUMIFS('Stock Guide'!I:I,'Stock Guide'!$B:$B,B10))</f>
        <v>70678.016308000006</v>
      </c>
      <c r="G10" s="136">
        <f>IF(B10="","",SUMIFS('Stock Guide'!$M:$M,'Stock Guide'!$B:$B,B10))</f>
        <v>162275400</v>
      </c>
      <c r="H10" s="136">
        <f>IF(B10="","",SUMIFS('Stock Guide'!$N:$N,'Stock Guide'!$B:$B,B10))</f>
        <v>164723350.5</v>
      </c>
      <c r="I10" s="137">
        <f>IF(B10="","",SUMIFS('Stock Guide'!$O:$O,'Stock Guide'!$B:$B,B10))</f>
        <v>0.98513901949802796</v>
      </c>
      <c r="J10" s="137">
        <f>IF(B10="","",SUMIFS('Stock Guide'!$P:$P,'Stock Guide'!$B:$B,B10))</f>
        <v>0.96302071628999997</v>
      </c>
      <c r="K10" s="134">
        <f>IF(B10="","",SUMIFS('Stock Guide'!$Q:$Q,'Stock Guide'!$B:$B,B10))</f>
        <v>0.14452282970999999</v>
      </c>
      <c r="L10" s="134">
        <f>IF(B10="","",SUMIFS('Stock Guide'!$R:$R,'Stock Guide'!$B:$B,B10))</f>
        <v>0.12345679012345678</v>
      </c>
      <c r="M10" s="133">
        <f>IF(B10="","",SUMIFS('Stock Guide'!$T:$T,'Stock Guide'!$B:$B,B10))</f>
        <v>1.05</v>
      </c>
      <c r="N10" s="138">
        <f>IFERROR(IF(B10="","",AVERAGEIFS('Stock Guide'!$U:$U,'Stock Guide'!$B:$B,B10)),"-")</f>
        <v>-1.1621150494000001E-2</v>
      </c>
      <c r="O10" s="138">
        <f>IFERROR(IF(B10="","",AVERAGEIFS('Stock Guide'!$V:$V,'Stock Guide'!$B:$B,B10)),"-")</f>
        <v>9.7308533262999999E-2</v>
      </c>
      <c r="P10" s="138">
        <f>IFERROR(IF(B10="","",AVERAGEIFS('Stock Guide'!$W:$W,'Stock Guide'!$B:$B,B10)),"-")</f>
        <v>0.18693957185999999</v>
      </c>
    </row>
    <row r="11" spans="1:16" ht="16.5" customHeight="1" x14ac:dyDescent="0.2">
      <c r="B11" s="131" t="s">
        <v>381</v>
      </c>
      <c r="C11" s="132" t="str">
        <f>IF(B11="","",(VLOOKUP(B11,'Stock Guide'!$B:$D,3,0)))</f>
        <v>Banrisul Novas Fronteiras FII</v>
      </c>
      <c r="D11" s="133">
        <f>IF(B11="","",SUMIFS('Stock Guide'!$J:$J,'Stock Guide'!$B:$B,B11))</f>
        <v>39.299999999999997</v>
      </c>
      <c r="E11" s="134">
        <f>IF(B11="","",SUMIFS('Stock Guide'!$H:$H,'Stock Guide'!$B:$B,B11))</f>
        <v>0</v>
      </c>
      <c r="F11" s="135">
        <f>IF(B11="","",SUMIFS('Stock Guide'!I:I,'Stock Guide'!$B:$B,B11))</f>
        <v>33422.893385000003</v>
      </c>
      <c r="G11" s="136">
        <f>IF(B11="","",SUMIFS('Stock Guide'!$M:$M,'Stock Guide'!$B:$B,B11))</f>
        <v>27510000</v>
      </c>
      <c r="H11" s="136">
        <f>IF(B11="","",SUMIFS('Stock Guide'!$N:$N,'Stock Guide'!$B:$B,B11))</f>
        <v>48056175.509999998</v>
      </c>
      <c r="I11" s="137">
        <f>IF(B11="","",SUMIFS('Stock Guide'!$O:$O,'Stock Guide'!$B:$B,B11))</f>
        <v>0.57245504262559244</v>
      </c>
      <c r="J11" s="137">
        <f>IF(B11="","",SUMIFS('Stock Guide'!$P:$P,'Stock Guide'!$B:$B,B11))</f>
        <v>0.94645404621999996</v>
      </c>
      <c r="K11" s="134">
        <f>IF(B11="","",SUMIFS('Stock Guide'!$Q:$Q,'Stock Guide'!$B:$B,B11))</f>
        <v>0.20992366411999999</v>
      </c>
      <c r="L11" s="134">
        <f>IF(B11="","",SUMIFS('Stock Guide'!$R:$R,'Stock Guide'!$B:$B,B11))</f>
        <v>0.15267175572519084</v>
      </c>
      <c r="M11" s="133">
        <f>IF(B11="","",SUMIFS('Stock Guide'!$T:$T,'Stock Guide'!$B:$B,B11))</f>
        <v>0.5</v>
      </c>
      <c r="N11" s="138">
        <f>IFERROR(IF(B11="","",AVERAGEIFS('Stock Guide'!$U:$U,'Stock Guide'!$B:$B,B11)),"-")</f>
        <v>-2.0314880658000001E-3</v>
      </c>
      <c r="O11" s="138">
        <f>IFERROR(IF(B11="","",AVERAGEIFS('Stock Guide'!$V:$V,'Stock Guide'!$B:$B,B11)),"-")</f>
        <v>-0.42548165377000002</v>
      </c>
      <c r="P11" s="138">
        <f>IFERROR(IF(B11="","",AVERAGEIFS('Stock Guide'!$W:$W,'Stock Guide'!$B:$B,B11)),"-")</f>
        <v>-0.36419539379999999</v>
      </c>
    </row>
    <row r="12" spans="1:16" ht="16.5" customHeight="1" x14ac:dyDescent="0.2">
      <c r="B12" s="131" t="s">
        <v>415</v>
      </c>
      <c r="C12" s="132" t="str">
        <f>IF(B12="","",(VLOOKUP(B12,'Stock Guide'!$B:$D,3,0)))</f>
        <v>Caixa Agências FII</v>
      </c>
      <c r="D12" s="133">
        <f>IF(B12="","",SUMIFS('Stock Guide'!$J:$J,'Stock Guide'!$B:$B,B12))</f>
        <v>72.61</v>
      </c>
      <c r="E12" s="134">
        <f>IF(B12="","",SUMIFS('Stock Guide'!$H:$H,'Stock Guide'!$B:$B,B12))</f>
        <v>0</v>
      </c>
      <c r="F12" s="135">
        <f>IF(B12="","",SUMIFS('Stock Guide'!I:I,'Stock Guide'!$B:$B,B12))</f>
        <v>230387.03631</v>
      </c>
      <c r="G12" s="136">
        <f>IF(B12="","",SUMIFS('Stock Guide'!$M:$M,'Stock Guide'!$B:$B,B12))</f>
        <v>151799990.81</v>
      </c>
      <c r="H12" s="136">
        <f>IF(B12="","",SUMIFS('Stock Guide'!$N:$N,'Stock Guide'!$B:$B,B12))</f>
        <v>216319015.81999999</v>
      </c>
      <c r="I12" s="137">
        <f>IF(B12="","",SUMIFS('Stock Guide'!$O:$O,'Stock Guide'!$B:$B,B12))</f>
        <v>0.70174131587355892</v>
      </c>
      <c r="J12" s="137">
        <f>IF(B12="","",SUMIFS('Stock Guide'!$P:$P,'Stock Guide'!$B:$B,B12))</f>
        <v>0.68768064127999995</v>
      </c>
      <c r="K12" s="134">
        <f>IF(B12="","",SUMIFS('Stock Guide'!$Q:$Q,'Stock Guide'!$B:$B,B12))</f>
        <v>0.12009365101</v>
      </c>
      <c r="L12" s="134">
        <f>IF(B12="","",SUMIFS('Stock Guide'!$R:$R,'Stock Guide'!$B:$B,B12))</f>
        <v>0.11899187439746592</v>
      </c>
      <c r="M12" s="133">
        <f>IF(B12="","",SUMIFS('Stock Guide'!$T:$T,'Stock Guide'!$B:$B,B12))</f>
        <v>0.72</v>
      </c>
      <c r="N12" s="138">
        <f>IFERROR(IF(B12="","",AVERAGEIFS('Stock Guide'!$U:$U,'Stock Guide'!$B:$B,B12)),"-")</f>
        <v>-2.3796719548999999E-2</v>
      </c>
      <c r="O12" s="138">
        <f>IFERROR(IF(B12="","",AVERAGEIFS('Stock Guide'!$V:$V,'Stock Guide'!$B:$B,B12)),"-")</f>
        <v>2.0017366530999999E-2</v>
      </c>
      <c r="P12" s="138">
        <f>IFERROR(IF(B12="","",AVERAGEIFS('Stock Guide'!$W:$W,'Stock Guide'!$B:$B,B12)),"-")</f>
        <v>0.12018267387000001</v>
      </c>
    </row>
    <row r="13" spans="1:16" ht="16.5" customHeight="1" x14ac:dyDescent="0.2">
      <c r="B13" s="131" t="s">
        <v>697</v>
      </c>
      <c r="C13" s="132" t="str">
        <f>IF(B13="","",(VLOOKUP(B13,'Stock Guide'!$B:$D,3,0)))</f>
        <v>Tivio Renda Imobiliária FII</v>
      </c>
      <c r="D13" s="133">
        <f>IF(B13="","",SUMIFS('Stock Guide'!$J:$J,'Stock Guide'!$B:$B,B13))</f>
        <v>88.34</v>
      </c>
      <c r="E13" s="134">
        <f>IF(B13="","",SUMIFS('Stock Guide'!$H:$H,'Stock Guide'!$B:$B,B13))</f>
        <v>9.5099999999999994E-3</v>
      </c>
      <c r="F13" s="135">
        <f>IF(B13="","",SUMIFS('Stock Guide'!I:I,'Stock Guide'!$B:$B,B13))</f>
        <v>946355.95154000004</v>
      </c>
      <c r="G13" s="136">
        <f>IF(B13="","",SUMIFS('Stock Guide'!$M:$M,'Stock Guide'!$B:$B,B13))</f>
        <v>1406345414.5999999</v>
      </c>
      <c r="H13" s="136">
        <f>IF(B13="","",SUMIFS('Stock Guide'!$N:$N,'Stock Guide'!$B:$B,B13))</f>
        <v>1598815417.4000001</v>
      </c>
      <c r="I13" s="137">
        <f>IF(B13="","",SUMIFS('Stock Guide'!$O:$O,'Stock Guide'!$B:$B,B13))</f>
        <v>0.87961712108518719</v>
      </c>
      <c r="J13" s="137">
        <f>IF(B13="","",SUMIFS('Stock Guide'!$P:$P,'Stock Guide'!$B:$B,B13))</f>
        <v>0.95381552414000004</v>
      </c>
      <c r="K13" s="134">
        <f>IF(B13="","",SUMIFS('Stock Guide'!$Q:$Q,'Stock Guide'!$B:$B,B13))</f>
        <v>0.14263074484999999</v>
      </c>
      <c r="L13" s="134">
        <f>IF(B13="","",SUMIFS('Stock Guide'!$R:$R,'Stock Guide'!$B:$B,B13))</f>
        <v>0.14263074484944532</v>
      </c>
      <c r="M13" s="133">
        <f>IF(B13="","",SUMIFS('Stock Guide'!$T:$T,'Stock Guide'!$B:$B,B13))</f>
        <v>1.05</v>
      </c>
      <c r="N13" s="138">
        <f>IFERROR(IF(B13="","",AVERAGEIFS('Stock Guide'!$U:$U,'Stock Guide'!$B:$B,B13)),"-")</f>
        <v>-3.4113273562000002E-2</v>
      </c>
      <c r="O13" s="138">
        <f>IFERROR(IF(B13="","",AVERAGEIFS('Stock Guide'!$V:$V,'Stock Guide'!$B:$B,B13)),"-")</f>
        <v>-4.1178085875999998E-2</v>
      </c>
      <c r="P13" s="138">
        <f>IFERROR(IF(B13="","",AVERAGEIFS('Stock Guide'!$W:$W,'Stock Guide'!$B:$B,B13)),"-")</f>
        <v>0.10019456793000001</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c r="E71" s="134" t="s">
        <v>111</v>
      </c>
      <c r="F71" s="135" t="s">
        <v>111</v>
      </c>
      <c r="G71" s="136" t="s">
        <v>111</v>
      </c>
      <c r="H71" s="136" t="str">
        <f>IF(B71="","",SUMIFS('Stock Guide'!$N:$N,'Stock Guide'!$B:$B,B71))</f>
        <v/>
      </c>
      <c r="I71" s="137" t="s">
        <v>111</v>
      </c>
      <c r="J71" s="137" t="s">
        <v>111</v>
      </c>
      <c r="K71" s="134" t="s">
        <v>111</v>
      </c>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c r="E72" s="134" t="s">
        <v>111</v>
      </c>
      <c r="F72" s="135" t="s">
        <v>111</v>
      </c>
      <c r="G72" s="136" t="s">
        <v>111</v>
      </c>
      <c r="H72" s="136" t="str">
        <f>IF(B72="","",SUMIFS('Stock Guide'!$N:$N,'Stock Guide'!$B:$B,B72))</f>
        <v/>
      </c>
      <c r="I72" s="137" t="s">
        <v>111</v>
      </c>
      <c r="J72" s="137" t="s">
        <v>111</v>
      </c>
      <c r="K72" s="134" t="s">
        <v>111</v>
      </c>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c r="E73" s="134" t="s">
        <v>111</v>
      </c>
      <c r="F73" s="135" t="s">
        <v>111</v>
      </c>
      <c r="G73" s="136" t="s">
        <v>111</v>
      </c>
      <c r="H73" s="136" t="str">
        <f>IF(B73="","",SUMIFS('Stock Guide'!$N:$N,'Stock Guide'!$B:$B,B73))</f>
        <v/>
      </c>
      <c r="I73" s="137" t="s">
        <v>111</v>
      </c>
      <c r="J73" s="137" t="s">
        <v>111</v>
      </c>
      <c r="K73" s="134" t="s">
        <v>111</v>
      </c>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c r="E74" s="134" t="s">
        <v>111</v>
      </c>
      <c r="F74" s="135" t="s">
        <v>111</v>
      </c>
      <c r="G74" s="136" t="s">
        <v>111</v>
      </c>
      <c r="H74" s="136" t="str">
        <f>IF(B74="","",SUMIFS('Stock Guide'!$N:$N,'Stock Guide'!$B:$B,B74))</f>
        <v/>
      </c>
      <c r="I74" s="137" t="s">
        <v>111</v>
      </c>
      <c r="J74" s="137" t="s">
        <v>111</v>
      </c>
      <c r="K74" s="134" t="s">
        <v>111</v>
      </c>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c r="E75" s="134" t="s">
        <v>111</v>
      </c>
      <c r="F75" s="135" t="s">
        <v>111</v>
      </c>
      <c r="G75" s="136" t="s">
        <v>111</v>
      </c>
      <c r="H75" s="136" t="str">
        <f>IF(B75="","",SUMIFS('Stock Guide'!$N:$N,'Stock Guide'!$B:$B,B75))</f>
        <v/>
      </c>
      <c r="I75" s="137" t="s">
        <v>111</v>
      </c>
      <c r="J75" s="137" t="s">
        <v>111</v>
      </c>
      <c r="K75" s="134" t="s">
        <v>111</v>
      </c>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c r="E76" s="134" t="s">
        <v>111</v>
      </c>
      <c r="F76" s="135" t="s">
        <v>111</v>
      </c>
      <c r="G76" s="136" t="s">
        <v>111</v>
      </c>
      <c r="H76" s="136" t="str">
        <f>IF(B76="","",SUMIFS('Stock Guide'!$N:$N,'Stock Guide'!$B:$B,B76))</f>
        <v/>
      </c>
      <c r="I76" s="137" t="s">
        <v>111</v>
      </c>
      <c r="J76" s="137" t="s">
        <v>111</v>
      </c>
      <c r="K76" s="134" t="s">
        <v>111</v>
      </c>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c r="E77" s="134" t="s">
        <v>111</v>
      </c>
      <c r="F77" s="135" t="s">
        <v>111</v>
      </c>
      <c r="G77" s="136" t="s">
        <v>111</v>
      </c>
      <c r="H77" s="136" t="str">
        <f>IF(B77="","",SUMIFS('Stock Guide'!$N:$N,'Stock Guide'!$B:$B,B77))</f>
        <v/>
      </c>
      <c r="I77" s="137" t="s">
        <v>111</v>
      </c>
      <c r="J77" s="137" t="s">
        <v>111</v>
      </c>
      <c r="K77" s="134" t="s">
        <v>111</v>
      </c>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c r="E78" s="134" t="s">
        <v>111</v>
      </c>
      <c r="F78" s="135" t="s">
        <v>111</v>
      </c>
      <c r="G78" s="136" t="s">
        <v>111</v>
      </c>
      <c r="H78" s="136" t="str">
        <f>IF(B78="","",SUMIFS('Stock Guide'!$N:$N,'Stock Guide'!$B:$B,B78))</f>
        <v/>
      </c>
      <c r="I78" s="137" t="s">
        <v>111</v>
      </c>
      <c r="J78" s="137" t="s">
        <v>111</v>
      </c>
      <c r="K78" s="134" t="s">
        <v>111</v>
      </c>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c r="E79" s="134" t="s">
        <v>111</v>
      </c>
      <c r="F79" s="135" t="s">
        <v>111</v>
      </c>
      <c r="G79" s="136" t="s">
        <v>111</v>
      </c>
      <c r="H79" s="136" t="str">
        <f>IF(B79="","",SUMIFS('Stock Guide'!$N:$N,'Stock Guide'!$B:$B,B79))</f>
        <v/>
      </c>
      <c r="I79" s="137" t="s">
        <v>111</v>
      </c>
      <c r="J79" s="137" t="s">
        <v>111</v>
      </c>
      <c r="K79" s="134" t="s">
        <v>111</v>
      </c>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A4C78587-AD0F-4570-A10D-C1B673AC9C45}"/>
  <mergeCells count="4">
    <mergeCell ref="B6:C6"/>
    <mergeCell ref="B8:C8"/>
    <mergeCell ref="B4:C4"/>
    <mergeCell ref="B7:C7"/>
  </mergeCells>
  <conditionalFormatting sqref="N10:O69">
    <cfRule type="cellIs" dxfId="93" priority="31" operator="lessThan">
      <formula>0</formula>
    </cfRule>
    <cfRule type="cellIs" dxfId="92" priority="32" operator="greaterThan">
      <formula>0</formula>
    </cfRule>
  </conditionalFormatting>
  <conditionalFormatting sqref="N8:P8">
    <cfRule type="cellIs" dxfId="91" priority="7" operator="lessThan">
      <formula>0</formula>
    </cfRule>
    <cfRule type="cellIs" dxfId="90" priority="8" operator="greaterThan">
      <formula>0</formula>
    </cfRule>
  </conditionalFormatting>
  <conditionalFormatting sqref="P10:P69">
    <cfRule type="cellIs" dxfId="89" priority="5" operator="lessThan">
      <formula>0</formula>
    </cfRule>
    <cfRule type="cellIs" dxfId="88" priority="6" operator="greaterThan">
      <formula>0</formula>
    </cfRule>
  </conditionalFormatting>
  <conditionalFormatting sqref="N70:O82">
    <cfRule type="cellIs" dxfId="87" priority="3" operator="lessThan">
      <formula>0</formula>
    </cfRule>
    <cfRule type="cellIs" dxfId="86" priority="4" operator="greaterThan">
      <formula>0</formula>
    </cfRule>
  </conditionalFormatting>
  <conditionalFormatting sqref="P70:P82">
    <cfRule type="cellIs" dxfId="85" priority="1" operator="lessThan">
      <formula>0</formula>
    </cfRule>
    <cfRule type="cellIs" dxfId="84" priority="2" operator="greaterThan">
      <formula>0</formula>
    </cfRule>
  </conditionalFormatting>
  <hyperlinks>
    <hyperlink ref="O2" location="Menu!A1" display="Menu" xr:uid="{B3B45B1B-354A-4728-8708-94BA896C1AFF}"/>
    <hyperlink ref="P2" location="'Stock Guide'!A1" display="Stock Guide" xr:uid="{18CF9BBA-A30D-42DC-B7DE-FA986292A6BE}"/>
  </hyperlinks>
  <pageMargins left="0.7" right="0.7" top="0.75" bottom="0.75" header="0.3" footer="0.3"/>
  <pageSetup fitToWidth="9"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B12F-9FDB-4EAA-B175-4BFACFB77CBE}">
  <sheetPr codeName="Planilha4">
    <pageSetUpPr fitToPage="1"/>
  </sheetPr>
  <dimension ref="A1:Q82"/>
  <sheetViews>
    <sheetView showGridLines="0" showRowColHeaders="0" zoomScale="90" zoomScaleNormal="90" workbookViewId="0">
      <selection activeCell="B9" sqref="B9:B1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Renda Urbana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180</v>
      </c>
      <c r="C8" s="271"/>
      <c r="D8" s="170" t="s">
        <v>44</v>
      </c>
      <c r="E8" s="57">
        <f>SUMIFS('Stock Guide'!$H:$H,'Stock Guide'!$G:$G,B8)</f>
        <v>8.2669999999999993E-2</v>
      </c>
      <c r="F8" s="171">
        <f>AVERAGEIFS('Stock Guide'!I:I,'Stock Guide'!$G:$G,B8)</f>
        <v>5061768.7654383341</v>
      </c>
      <c r="G8" s="171">
        <f>AVERAGEIFS('Stock Guide'!$M:$M,'Stock Guide'!$G:$G,B8)</f>
        <v>1425270756.1955557</v>
      </c>
      <c r="H8" s="171">
        <f>AVERAGEIFS('Stock Guide'!$N:$N,'Stock Guide'!$G:$G,B8)</f>
        <v>1674920391.4855554</v>
      </c>
      <c r="I8" s="172">
        <f>AVERAGEIFS('Stock Guide'!$O:$O,'Stock Guide'!$G:$G,B8)</f>
        <v>0.8750422119991027</v>
      </c>
      <c r="J8" s="172">
        <f>AVERAGEIFS('Stock Guide'!$P:$P,'Stock Guide'!$G:$G,B8)</f>
        <v>0.95833695236333349</v>
      </c>
      <c r="K8" s="57">
        <f>AVERAGEIFS('Stock Guide'!$Q:$Q,'Stock Guide'!$G:$G,B8)</f>
        <v>0.14673630900555557</v>
      </c>
      <c r="L8" s="57">
        <f>AVERAGEIFS('Stock Guide'!$R:$R,'Stock Guide'!$G:$G,B8)</f>
        <v>0.11614243568635557</v>
      </c>
      <c r="M8" s="170" t="s">
        <v>44</v>
      </c>
      <c r="N8" s="57">
        <f>AVERAGEIFS('Stock Guide'!$U:$U,'Stock Guide'!$G:$G,$B8)</f>
        <v>-4.3774239456222226E-2</v>
      </c>
      <c r="O8" s="57">
        <f>AVERAGEIFS('Stock Guide'!$V:$V,'Stock Guide'!$G:$G,$B8)</f>
        <v>-1.6001280553111109E-2</v>
      </c>
      <c r="P8" s="57">
        <f>AVERAGEIFS('Stock Guide'!$W:$W,'Stock Guide'!$G:$G,$B8)</f>
        <v>0.11868240319633333</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413</v>
      </c>
      <c r="C10" s="132" t="str">
        <f>IF(B10="","",(VLOOKUP(B10,'Stock Guide'!$B:$D,3,0)))</f>
        <v>HBC II FII</v>
      </c>
      <c r="D10" s="133">
        <f>IF(B10="","",SUMIFS('Stock Guide'!$J:$J,'Stock Guide'!$B:$B,B10))</f>
        <v>10.93</v>
      </c>
      <c r="E10" s="134">
        <f>IF(B10="","",SUMIFS('Stock Guide'!$H:$H,'Stock Guide'!$B:$B,B10))</f>
        <v>0</v>
      </c>
      <c r="F10" s="135">
        <f>IF(B10="","",SUMIFS('Stock Guide'!I:I,'Stock Guide'!$B:$B,B10))</f>
        <v>782631.69738000003</v>
      </c>
      <c r="G10" s="136">
        <f>IF(B10="","",SUMIFS('Stock Guide'!$M:$M,'Stock Guide'!$B:$B,B10))</f>
        <v>741335392.85000002</v>
      </c>
      <c r="H10" s="136">
        <f>IF(B10="","",SUMIFS('Stock Guide'!$N:$N,'Stock Guide'!$B:$B,B10))</f>
        <v>672494017.32000005</v>
      </c>
      <c r="I10" s="137">
        <f>IF(B10="","",SUMIFS('Stock Guide'!$O:$O,'Stock Guide'!$B:$B,B10))</f>
        <v>1.1023672683429129</v>
      </c>
      <c r="J10" s="137">
        <f>IF(B10="","",SUMIFS('Stock Guide'!$P:$P,'Stock Guide'!$B:$B,B10))</f>
        <v>1.1112217171000001</v>
      </c>
      <c r="K10" s="134">
        <f>IF(B10="","",SUMIFS('Stock Guide'!$Q:$Q,'Stock Guide'!$B:$B,B10))</f>
        <v>0.10603842635000001</v>
      </c>
      <c r="L10" s="134">
        <f>IF(B10="","",SUMIFS('Stock Guide'!$R:$R,'Stock Guide'!$B:$B,B10))</f>
        <v>0.10978956999085088</v>
      </c>
      <c r="M10" s="133">
        <f>IF(B10="","",SUMIFS('Stock Guide'!$T:$T,'Stock Guide'!$B:$B,B10))</f>
        <v>0.1</v>
      </c>
      <c r="N10" s="138">
        <f>IFERROR(IF(B10="","",AVERAGEIFS('Stock Guide'!$U:$U,'Stock Guide'!$B:$B,B10)),"-")</f>
        <v>2.6106471369E-2</v>
      </c>
      <c r="O10" s="138">
        <f>IFERROR(IF(B10="","",AVERAGEIFS('Stock Guide'!$V:$V,'Stock Guide'!$B:$B,B10)),"-")</f>
        <v>7.8789677853000006E-2</v>
      </c>
      <c r="P10" s="138">
        <f>IFERROR(IF(B10="","",AVERAGEIFS('Stock Guide'!$W:$W,'Stock Guide'!$B:$B,B10)),"-")</f>
        <v>0.18594126694999999</v>
      </c>
    </row>
    <row r="11" spans="1:16" ht="16.5" customHeight="1" x14ac:dyDescent="0.2">
      <c r="B11" s="131" t="s">
        <v>467</v>
      </c>
      <c r="C11" s="132" t="str">
        <f>IF(B11="","",(VLOOKUP(B11,'Stock Guide'!$B:$D,3,0)))</f>
        <v>Guardian Real Estate FII</v>
      </c>
      <c r="D11" s="133">
        <f>IF(B11="","",SUMIFS('Stock Guide'!$J:$J,'Stock Guide'!$B:$B,B11))</f>
        <v>8.23</v>
      </c>
      <c r="E11" s="134">
        <f>IF(B11="","",SUMIFS('Stock Guide'!$H:$H,'Stock Guide'!$B:$B,B11))</f>
        <v>1.609E-2</v>
      </c>
      <c r="F11" s="135">
        <f>IF(B11="","",SUMIFS('Stock Guide'!I:I,'Stock Guide'!$B:$B,B11))</f>
        <v>10182115.720000001</v>
      </c>
      <c r="G11" s="136">
        <f>IF(B11="","",SUMIFS('Stock Guide'!$M:$M,'Stock Guide'!$B:$B,B11))</f>
        <v>2380004384.6999998</v>
      </c>
      <c r="H11" s="136">
        <f>IF(B11="","",SUMIFS('Stock Guide'!$N:$N,'Stock Guide'!$B:$B,B11))</f>
        <v>2633841713.6999998</v>
      </c>
      <c r="I11" s="137">
        <f>IF(B11="","",SUMIFS('Stock Guide'!$O:$O,'Stock Guide'!$B:$B,B11))</f>
        <v>0.90362468341219659</v>
      </c>
      <c r="J11" s="137">
        <f>IF(B11="","",SUMIFS('Stock Guide'!$P:$P,'Stock Guide'!$B:$B,B11))</f>
        <v>0.96270049193999996</v>
      </c>
      <c r="K11" s="134">
        <f>IF(B11="","",SUMIFS('Stock Guide'!$Q:$Q,'Stock Guide'!$B:$B,B11))</f>
        <v>0.12102065613</v>
      </c>
      <c r="L11" s="134">
        <f>IF(B11="","",SUMIFS('Stock Guide'!$R:$R,'Stock Guide'!$B:$B,B11))</f>
        <v>0.12102065613608748</v>
      </c>
      <c r="M11" s="133">
        <f>IF(B11="","",SUMIFS('Stock Guide'!$T:$T,'Stock Guide'!$B:$B,B11))</f>
        <v>8.3000000000000004E-2</v>
      </c>
      <c r="N11" s="138">
        <f>IFERROR(IF(B11="","",AVERAGEIFS('Stock Guide'!$U:$U,'Stock Guide'!$B:$B,B11)),"-")</f>
        <v>1.0187799189000001E-2</v>
      </c>
      <c r="O11" s="138">
        <f>IFERROR(IF(B11="","",AVERAGEIFS('Stock Guide'!$V:$V,'Stock Guide'!$B:$B,B11)),"-")</f>
        <v>-1.7552150395E-2</v>
      </c>
      <c r="P11" s="138">
        <f>IFERROR(IF(B11="","",AVERAGEIFS('Stock Guide'!$W:$W,'Stock Guide'!$B:$B,B11)),"-")</f>
        <v>1.6892300408000001E-2</v>
      </c>
    </row>
    <row r="12" spans="1:16" ht="16.5" customHeight="1" x14ac:dyDescent="0.2">
      <c r="B12" s="131" t="s">
        <v>26</v>
      </c>
      <c r="C12" s="132" t="str">
        <f>IF(B12="","",(VLOOKUP(B12,'Stock Guide'!$B:$D,3,0)))</f>
        <v>CSHG Renda Urbana FII</v>
      </c>
      <c r="D12" s="133">
        <f>IF(B12="","",SUMIFS('Stock Guide'!$J:$J,'Stock Guide'!$B:$B,B12))</f>
        <v>114.99</v>
      </c>
      <c r="E12" s="134">
        <f>IF(B12="","",SUMIFS('Stock Guide'!$H:$H,'Stock Guide'!$B:$B,B12))</f>
        <v>2.7119999999999998E-2</v>
      </c>
      <c r="F12" s="135">
        <f>IF(B12="","",SUMIFS('Stock Guide'!I:I,'Stock Guide'!$B:$B,B12))</f>
        <v>6397340.5813999996</v>
      </c>
      <c r="G12" s="136">
        <f>IF(B12="","",SUMIFS('Stock Guide'!$M:$M,'Stock Guide'!$B:$B,B12))</f>
        <v>2855685118</v>
      </c>
      <c r="H12" s="136">
        <f>IF(B12="","",SUMIFS('Stock Guide'!$N:$N,'Stock Guide'!$B:$B,B12))</f>
        <v>3183738355.8000002</v>
      </c>
      <c r="I12" s="137">
        <f>IF(B12="","",SUMIFS('Stock Guide'!$O:$O,'Stock Guide'!$B:$B,B12))</f>
        <v>0.89695973690728492</v>
      </c>
      <c r="J12" s="137">
        <f>IF(B12="","",SUMIFS('Stock Guide'!$P:$P,'Stock Guide'!$B:$B,B12))</f>
        <v>0.96326797883000004</v>
      </c>
      <c r="K12" s="134">
        <f>IF(B12="","",SUMIFS('Stock Guide'!$Q:$Q,'Stock Guide'!$B:$B,B12))</f>
        <v>0.10348725976000001</v>
      </c>
      <c r="L12" s="134">
        <f>IF(B12="","",SUMIFS('Stock Guide'!$R:$R,'Stock Guide'!$B:$B,B12))</f>
        <v>9.9139055570049567E-2</v>
      </c>
      <c r="M12" s="133">
        <f>IF(B12="","",SUMIFS('Stock Guide'!$T:$T,'Stock Guide'!$B:$B,B12))</f>
        <v>0.95</v>
      </c>
      <c r="N12" s="138">
        <f>IFERROR(IF(B12="","",AVERAGEIFS('Stock Guide'!$U:$U,'Stock Guide'!$B:$B,B12)),"-")</f>
        <v>-7.4899436846000006E-2</v>
      </c>
      <c r="O12" s="138">
        <f>IFERROR(IF(B12="","",AVERAGEIFS('Stock Guide'!$V:$V,'Stock Guide'!$B:$B,B12)),"-")</f>
        <v>-2.8146796115000001E-2</v>
      </c>
      <c r="P12" s="138">
        <f>IFERROR(IF(B12="","",AVERAGEIFS('Stock Guide'!$W:$W,'Stock Guide'!$B:$B,B12)),"-")</f>
        <v>3.2426524423000001E-2</v>
      </c>
    </row>
    <row r="13" spans="1:16" ht="16.5" customHeight="1" x14ac:dyDescent="0.2">
      <c r="B13" s="131" t="s">
        <v>758</v>
      </c>
      <c r="C13" s="132" t="str">
        <f>IF(B13="","",(VLOOKUP(B13,'Stock Guide'!$B:$D,3,0)))</f>
        <v>FII Max Retail</v>
      </c>
      <c r="D13" s="133">
        <f>IF(B13="","",SUMIFS('Stock Guide'!$J:$J,'Stock Guide'!$B:$B,B13))</f>
        <v>49.39</v>
      </c>
      <c r="E13" s="134">
        <f>IF(B13="","",SUMIFS('Stock Guide'!$H:$H,'Stock Guide'!$B:$B,B13))</f>
        <v>0</v>
      </c>
      <c r="F13" s="135">
        <f>IF(B13="","",SUMIFS('Stock Guide'!I:I,'Stock Guide'!$B:$B,B13))</f>
        <v>42850.523692000002</v>
      </c>
      <c r="G13" s="136">
        <f>IF(B13="","",SUMIFS('Stock Guide'!$M:$M,'Stock Guide'!$B:$B,B13))</f>
        <v>55596100.450000003</v>
      </c>
      <c r="H13" s="136">
        <f>IF(B13="","",SUMIFS('Stock Guide'!$N:$N,'Stock Guide'!$B:$B,B13))</f>
        <v>105325112.54000001</v>
      </c>
      <c r="I13" s="137">
        <f>IF(B13="","",SUMIFS('Stock Guide'!$O:$O,'Stock Guide'!$B:$B,B13))</f>
        <v>0.52785227671972257</v>
      </c>
      <c r="J13" s="137">
        <f>IF(B13="","",SUMIFS('Stock Guide'!$P:$P,'Stock Guide'!$B:$B,B13))</f>
        <v>0.67875341450000004</v>
      </c>
      <c r="K13" s="134">
        <f>IF(B13="","",SUMIFS('Stock Guide'!$Q:$Q,'Stock Guide'!$B:$B,B13))</f>
        <v>7.3696036039999996E-2</v>
      </c>
      <c r="L13" s="134">
        <f>IF(B13="","",SUMIFS('Stock Guide'!$R:$R,'Stock Guide'!$B:$B,B13))</f>
        <v>6.9244786394006885E-2</v>
      </c>
      <c r="M13" s="133">
        <f>IF(B13="","",SUMIFS('Stock Guide'!$T:$T,'Stock Guide'!$B:$B,B13))</f>
        <v>0.28499999999999998</v>
      </c>
      <c r="N13" s="138">
        <f>IFERROR(IF(B13="","",AVERAGEIFS('Stock Guide'!$U:$U,'Stock Guide'!$B:$B,B13)),"-")</f>
        <v>-5.8289464215000003E-2</v>
      </c>
      <c r="O13" s="138">
        <f>IFERROR(IF(B13="","",AVERAGEIFS('Stock Guide'!$V:$V,'Stock Guide'!$B:$B,B13)),"-")</f>
        <v>-0.18912391933</v>
      </c>
      <c r="P13" s="138">
        <f>IFERROR(IF(B13="","",AVERAGEIFS('Stock Guide'!$W:$W,'Stock Guide'!$B:$B,B13)),"-")</f>
        <v>-0.18690262197999999</v>
      </c>
    </row>
    <row r="14" spans="1:16" ht="16.5" customHeight="1" x14ac:dyDescent="0.2">
      <c r="B14" s="131" t="s">
        <v>619</v>
      </c>
      <c r="C14" s="132" t="str">
        <f>IF(B14="","",(VLOOKUP(B14,'Stock Guide'!$B:$D,3,0)))</f>
        <v>RB Capital Renda II FII</v>
      </c>
      <c r="D14" s="133">
        <f>IF(B14="","",SUMIFS('Stock Guide'!$J:$J,'Stock Guide'!$B:$B,B14))</f>
        <v>35.659999999999997</v>
      </c>
      <c r="E14" s="134">
        <f>IF(B14="","",SUMIFS('Stock Guide'!$H:$H,'Stock Guide'!$B:$B,B14))</f>
        <v>0</v>
      </c>
      <c r="F14" s="135">
        <f>IF(B14="","",SUMIFS('Stock Guide'!I:I,'Stock Guide'!$B:$B,B14))</f>
        <v>54864.966923</v>
      </c>
      <c r="G14" s="136">
        <f>IF(B14="","",SUMIFS('Stock Guide'!$M:$M,'Stock Guide'!$B:$B,B14))</f>
        <v>66034688.759999998</v>
      </c>
      <c r="H14" s="136">
        <f>IF(B14="","",SUMIFS('Stock Guide'!$N:$N,'Stock Guide'!$B:$B,B14))</f>
        <v>133967894.97</v>
      </c>
      <c r="I14" s="137">
        <f>IF(B14="","",SUMIFS('Stock Guide'!$O:$O,'Stock Guide'!$B:$B,B14))</f>
        <v>0.4929142819985895</v>
      </c>
      <c r="J14" s="137">
        <f>IF(B14="","",SUMIFS('Stock Guide'!$P:$P,'Stock Guide'!$B:$B,B14))</f>
        <v>0.63294935870000002</v>
      </c>
      <c r="K14" s="134">
        <f>IF(B14="","",SUMIFS('Stock Guide'!$Q:$Q,'Stock Guide'!$B:$B,B14))</f>
        <v>0.18536174986000001</v>
      </c>
      <c r="L14" s="134">
        <f>IF(B14="","",SUMIFS('Stock Guide'!$R:$R,'Stock Guide'!$B:$B,B14))</f>
        <v>0.18508132361189011</v>
      </c>
      <c r="M14" s="133">
        <f>IF(B14="","",SUMIFS('Stock Guide'!$T:$T,'Stock Guide'!$B:$B,B14))</f>
        <v>0.55000000000000004</v>
      </c>
      <c r="N14" s="138">
        <f>IFERROR(IF(B14="","",AVERAGEIFS('Stock Guide'!$U:$U,'Stock Guide'!$B:$B,B14)),"-")</f>
        <v>-4.0107671603000002E-2</v>
      </c>
      <c r="O14" s="138">
        <f>IFERROR(IF(B14="","",AVERAGEIFS('Stock Guide'!$V:$V,'Stock Guide'!$B:$B,B14)),"-")</f>
        <v>-4.2727455035999999E-2</v>
      </c>
      <c r="P14" s="138">
        <f>IFERROR(IF(B14="","",AVERAGEIFS('Stock Guide'!$W:$W,'Stock Guide'!$B:$B,B14)),"-")</f>
        <v>5.3672835156E-2</v>
      </c>
    </row>
    <row r="15" spans="1:16" ht="16.5" customHeight="1" x14ac:dyDescent="0.2">
      <c r="B15" s="131" t="s">
        <v>629</v>
      </c>
      <c r="C15" s="132" t="str">
        <f>IF(B15="","",(VLOOKUP(B15,'Stock Guide'!$B:$D,3,0)))</f>
        <v>Agências Caixa FII</v>
      </c>
      <c r="D15" s="133">
        <f>IF(B15="","",SUMIFS('Stock Guide'!$J:$J,'Stock Guide'!$B:$B,B15))</f>
        <v>8.67</v>
      </c>
      <c r="E15" s="134">
        <f>IF(B15="","",SUMIFS('Stock Guide'!$H:$H,'Stock Guide'!$B:$B,B15))</f>
        <v>9.1500000000000001E-3</v>
      </c>
      <c r="F15" s="135">
        <f>IF(B15="","",SUMIFS('Stock Guide'!I:I,'Stock Guide'!$B:$B,B15))</f>
        <v>2055698.8698</v>
      </c>
      <c r="G15" s="136">
        <f>IF(B15="","",SUMIFS('Stock Guide'!$M:$M,'Stock Guide'!$B:$B,B15))</f>
        <v>1432874799.8</v>
      </c>
      <c r="H15" s="136">
        <f>IF(B15="","",SUMIFS('Stock Guide'!$N:$N,'Stock Guide'!$B:$B,B15))</f>
        <v>1761993977.0999999</v>
      </c>
      <c r="I15" s="137">
        <f>IF(B15="","",SUMIFS('Stock Guide'!$O:$O,'Stock Guide'!$B:$B,B15))</f>
        <v>0.81321208722762783</v>
      </c>
      <c r="J15" s="137">
        <f>IF(B15="","",SUMIFS('Stock Guide'!$P:$P,'Stock Guide'!$B:$B,B15))</f>
        <v>0.95706607099999996</v>
      </c>
      <c r="K15" s="134">
        <f>IF(B15="","",SUMIFS('Stock Guide'!$Q:$Q,'Stock Guide'!$B:$B,B15))</f>
        <v>0.12456747404</v>
      </c>
      <c r="L15" s="134">
        <f>IF(B15="","",SUMIFS('Stock Guide'!$R:$R,'Stock Guide'!$B:$B,B15))</f>
        <v>0.1245674740484429</v>
      </c>
      <c r="M15" s="133">
        <f>IF(B15="","",SUMIFS('Stock Guide'!$T:$T,'Stock Guide'!$B:$B,B15))</f>
        <v>0.09</v>
      </c>
      <c r="N15" s="138">
        <f>IFERROR(IF(B15="","",AVERAGEIFS('Stock Guide'!$U:$U,'Stock Guide'!$B:$B,B15)),"-")</f>
        <v>-2.0338983051000001E-2</v>
      </c>
      <c r="O15" s="138">
        <f>IFERROR(IF(B15="","",AVERAGEIFS('Stock Guide'!$V:$V,'Stock Guide'!$B:$B,B15)),"-")</f>
        <v>-9.9244796834999996E-2</v>
      </c>
      <c r="P15" s="138">
        <f>IFERROR(IF(B15="","",AVERAGEIFS('Stock Guide'!$W:$W,'Stock Guide'!$B:$B,B15)),"-")</f>
        <v>0.14904859645999999</v>
      </c>
    </row>
    <row r="16" spans="1:16" ht="16.5" customHeight="1" x14ac:dyDescent="0.2">
      <c r="B16" s="131" t="s">
        <v>691</v>
      </c>
      <c r="C16" s="132" t="str">
        <f>IF(B16="","",(VLOOKUP(B16,'Stock Guide'!$B:$D,3,0)))</f>
        <v>TRX Real Estate II FII</v>
      </c>
      <c r="D16" s="133">
        <f>IF(B16="","",SUMIFS('Stock Guide'!$J:$J,'Stock Guide'!$B:$B,B16))</f>
        <v>185</v>
      </c>
      <c r="E16" s="134">
        <f>IF(B16="","",SUMIFS('Stock Guide'!$H:$H,'Stock Guide'!$B:$B,B16))</f>
        <v>0</v>
      </c>
      <c r="F16" s="135">
        <f>IF(B16="","",SUMIFS('Stock Guide'!I:I,'Stock Guide'!$B:$B,B16))</f>
        <v>2078323.8446</v>
      </c>
      <c r="G16" s="136">
        <f>IF(B16="","",SUMIFS('Stock Guide'!$M:$M,'Stock Guide'!$B:$B,B16))</f>
        <v>752214070</v>
      </c>
      <c r="H16" s="136">
        <f>IF(B16="","",SUMIFS('Stock Guide'!$N:$N,'Stock Guide'!$B:$B,B16))</f>
        <v>427069557.02999997</v>
      </c>
      <c r="I16" s="137">
        <f>IF(B16="","",SUMIFS('Stock Guide'!$O:$O,'Stock Guide'!$B:$B,B16))</f>
        <v>1.7613385398649708</v>
      </c>
      <c r="J16" s="137">
        <f>IF(B16="","",SUMIFS('Stock Guide'!$P:$P,'Stock Guide'!$B:$B,B16))</f>
        <v>1.6240316363</v>
      </c>
      <c r="K16" s="134">
        <f>IF(B16="","",SUMIFS('Stock Guide'!$Q:$Q,'Stock Guide'!$B:$B,B16))</f>
        <v>0.19378378378</v>
      </c>
      <c r="L16" s="134">
        <f>IF(B16="","",SUMIFS('Stock Guide'!$R:$R,'Stock Guide'!$B:$B,B16))</f>
        <v>6.4864864864864868E-2</v>
      </c>
      <c r="M16" s="133">
        <f>IF(B16="","",SUMIFS('Stock Guide'!$T:$T,'Stock Guide'!$B:$B,B16))</f>
        <v>1</v>
      </c>
      <c r="N16" s="138">
        <f>IFERROR(IF(B16="","",AVERAGEIFS('Stock Guide'!$U:$U,'Stock Guide'!$B:$B,B16)),"-")</f>
        <v>-4.6293432311999998E-2</v>
      </c>
      <c r="O16" s="138">
        <f>IFERROR(IF(B16="","",AVERAGEIFS('Stock Guide'!$V:$V,'Stock Guide'!$B:$B,B16)),"-")</f>
        <v>0.24631703079</v>
      </c>
      <c r="P16" s="138">
        <f>IFERROR(IF(B16="","",AVERAGEIFS('Stock Guide'!$W:$W,'Stock Guide'!$B:$B,B16)),"-")</f>
        <v>0.64168713915999998</v>
      </c>
    </row>
    <row r="17" spans="2:16" ht="16.5" customHeight="1" x14ac:dyDescent="0.2">
      <c r="B17" s="131" t="s">
        <v>164</v>
      </c>
      <c r="C17" s="132" t="str">
        <f>IF(B17="","",(VLOOKUP(B17,'Stock Guide'!$B:$D,3,0)))</f>
        <v>TRX Real Estate FII</v>
      </c>
      <c r="D17" s="133">
        <f>IF(B17="","",SUMIFS('Stock Guide'!$J:$J,'Stock Guide'!$B:$B,B17))</f>
        <v>71.8</v>
      </c>
      <c r="E17" s="134">
        <f>IF(B17="","",SUMIFS('Stock Guide'!$H:$H,'Stock Guide'!$B:$B,B17))</f>
        <v>3.031E-2</v>
      </c>
      <c r="F17" s="135">
        <f>IF(B17="","",SUMIFS('Stock Guide'!I:I,'Stock Guide'!$B:$B,B17))</f>
        <v>23831970.943</v>
      </c>
      <c r="G17" s="136">
        <f>IF(B17="","",SUMIFS('Stock Guide'!$M:$M,'Stock Guide'!$B:$B,B17))</f>
        <v>4482524331.8000002</v>
      </c>
      <c r="H17" s="136">
        <f>IF(B17="","",SUMIFS('Stock Guide'!$N:$N,'Stock Guide'!$B:$B,B17))</f>
        <v>6059889222.1999998</v>
      </c>
      <c r="I17" s="137">
        <f>IF(B17="","",SUMIFS('Stock Guide'!$O:$O,'Stock Guide'!$B:$B,B17))</f>
        <v>0.73970400570666728</v>
      </c>
      <c r="J17" s="137">
        <f>IF(B17="","",SUMIFS('Stock Guide'!$P:$P,'Stock Guide'!$B:$B,B17))</f>
        <v>0.94138712473999997</v>
      </c>
      <c r="K17" s="134">
        <f>IF(B17="","",SUMIFS('Stock Guide'!$Q:$Q,'Stock Guide'!$B:$B,B17))</f>
        <v>0.16434540389999999</v>
      </c>
      <c r="L17" s="134">
        <f>IF(B17="","",SUMIFS('Stock Guide'!$R:$R,'Stock Guide'!$B:$B,B17))</f>
        <v>0.15543175487465183</v>
      </c>
      <c r="M17" s="133">
        <f>IF(B17="","",SUMIFS('Stock Guide'!$T:$T,'Stock Guide'!$B:$B,B17))</f>
        <v>0.93</v>
      </c>
      <c r="N17" s="138">
        <f>IFERROR(IF(B17="","",AVERAGEIFS('Stock Guide'!$U:$U,'Stock Guide'!$B:$B,B17)),"-")</f>
        <v>-0.20372629478000001</v>
      </c>
      <c r="O17" s="138">
        <f>IFERROR(IF(B17="","",AVERAGEIFS('Stock Guide'!$V:$V,'Stock Guide'!$B:$B,B17)),"-")</f>
        <v>-0.20018374333</v>
      </c>
      <c r="P17" s="138">
        <f>IFERROR(IF(B17="","",AVERAGEIFS('Stock Guide'!$W:$W,'Stock Guide'!$B:$B,B17)),"-")</f>
        <v>-0.1619183609</v>
      </c>
    </row>
    <row r="18" spans="2:16" ht="16.5" customHeight="1" x14ac:dyDescent="0.2">
      <c r="B18" s="131" t="s">
        <v>722</v>
      </c>
      <c r="C18" s="132" t="str">
        <f>IF(B18="","",(VLOOKUP(B18,'Stock Guide'!$B:$D,3,0)))</f>
        <v>Vinci Imoveis Urbanos FII</v>
      </c>
      <c r="D18" s="133">
        <f>IF(B18="","",SUMIFS('Stock Guide'!$J:$J,'Stock Guide'!$B:$B,B18))</f>
        <v>2.27</v>
      </c>
      <c r="E18" s="134">
        <f>IF(B18="","",SUMIFS('Stock Guide'!$H:$H,'Stock Guide'!$B:$B,B18))</f>
        <v>0</v>
      </c>
      <c r="F18" s="135">
        <f>IF(B18="","",SUMIFS('Stock Guide'!I:I,'Stock Guide'!$B:$B,B18))</f>
        <v>130121.74215000001</v>
      </c>
      <c r="G18" s="136">
        <f>IF(B18="","",SUMIFS('Stock Guide'!$M:$M,'Stock Guide'!$B:$B,B18))</f>
        <v>61167919.399999999</v>
      </c>
      <c r="H18" s="136">
        <f>IF(B18="","",SUMIFS('Stock Guide'!$N:$N,'Stock Guide'!$B:$B,B18))</f>
        <v>95963672.709999993</v>
      </c>
      <c r="I18" s="137">
        <f>IF(B18="","",SUMIFS('Stock Guide'!$O:$O,'Stock Guide'!$B:$B,B18))</f>
        <v>0.63740702781195169</v>
      </c>
      <c r="J18" s="137">
        <f>IF(B18="","",SUMIFS('Stock Guide'!$P:$P,'Stock Guide'!$B:$B,B18))</f>
        <v>0.75365477816000004</v>
      </c>
      <c r="K18" s="134">
        <f>IF(B18="","",SUMIFS('Stock Guide'!$Q:$Q,'Stock Guide'!$B:$B,B18))</f>
        <v>0.24832599119000001</v>
      </c>
      <c r="L18" s="134">
        <f>IF(B18="","",SUMIFS('Stock Guide'!$R:$R,'Stock Guide'!$B:$B,B18))</f>
        <v>0</v>
      </c>
      <c r="M18" s="133">
        <f>IF(B18="","",SUMIFS('Stock Guide'!$T:$T,'Stock Guide'!$B:$B,B18))</f>
        <v>0</v>
      </c>
      <c r="N18" s="138">
        <f>IFERROR(IF(B18="","",AVERAGEIFS('Stock Guide'!$U:$U,'Stock Guide'!$B:$B,B18)),"-")</f>
        <v>1.3392857143E-2</v>
      </c>
      <c r="O18" s="138">
        <f>IFERROR(IF(B18="","",AVERAGEIFS('Stock Guide'!$V:$V,'Stock Guide'!$B:$B,B18)),"-")</f>
        <v>0.10786062741999999</v>
      </c>
      <c r="P18" s="138">
        <f>IFERROR(IF(B18="","",AVERAGEIFS('Stock Guide'!$W:$W,'Stock Guide'!$B:$B,B18)),"-")</f>
        <v>0.33729394908999999</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c r="E71" s="134" t="s">
        <v>111</v>
      </c>
      <c r="F71" s="135" t="s">
        <v>111</v>
      </c>
      <c r="G71" s="136" t="s">
        <v>111</v>
      </c>
      <c r="H71" s="136" t="str">
        <f>IF(B71="","",SUMIFS('Stock Guide'!$N:$N,'Stock Guide'!$B:$B,B71))</f>
        <v/>
      </c>
      <c r="I71" s="137" t="s">
        <v>111</v>
      </c>
      <c r="J71" s="137" t="s">
        <v>111</v>
      </c>
      <c r="K71" s="134" t="s">
        <v>111</v>
      </c>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c r="E72" s="134" t="s">
        <v>111</v>
      </c>
      <c r="F72" s="135" t="s">
        <v>111</v>
      </c>
      <c r="G72" s="136" t="s">
        <v>111</v>
      </c>
      <c r="H72" s="136" t="str">
        <f>IF(B72="","",SUMIFS('Stock Guide'!$N:$N,'Stock Guide'!$B:$B,B72))</f>
        <v/>
      </c>
      <c r="I72" s="137" t="s">
        <v>111</v>
      </c>
      <c r="J72" s="137" t="s">
        <v>111</v>
      </c>
      <c r="K72" s="134" t="s">
        <v>111</v>
      </c>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c r="E73" s="134" t="s">
        <v>111</v>
      </c>
      <c r="F73" s="135" t="s">
        <v>111</v>
      </c>
      <c r="G73" s="136" t="s">
        <v>111</v>
      </c>
      <c r="H73" s="136" t="str">
        <f>IF(B73="","",SUMIFS('Stock Guide'!$N:$N,'Stock Guide'!$B:$B,B73))</f>
        <v/>
      </c>
      <c r="I73" s="137" t="s">
        <v>111</v>
      </c>
      <c r="J73" s="137" t="s">
        <v>111</v>
      </c>
      <c r="K73" s="134" t="s">
        <v>111</v>
      </c>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c r="E74" s="134" t="s">
        <v>111</v>
      </c>
      <c r="F74" s="135" t="s">
        <v>111</v>
      </c>
      <c r="G74" s="136" t="s">
        <v>111</v>
      </c>
      <c r="H74" s="136" t="str">
        <f>IF(B74="","",SUMIFS('Stock Guide'!$N:$N,'Stock Guide'!$B:$B,B74))</f>
        <v/>
      </c>
      <c r="I74" s="137" t="s">
        <v>111</v>
      </c>
      <c r="J74" s="137" t="s">
        <v>111</v>
      </c>
      <c r="K74" s="134" t="s">
        <v>111</v>
      </c>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c r="E75" s="134" t="s">
        <v>111</v>
      </c>
      <c r="F75" s="135" t="s">
        <v>111</v>
      </c>
      <c r="G75" s="136" t="s">
        <v>111</v>
      </c>
      <c r="H75" s="136" t="str">
        <f>IF(B75="","",SUMIFS('Stock Guide'!$N:$N,'Stock Guide'!$B:$B,B75))</f>
        <v/>
      </c>
      <c r="I75" s="137" t="s">
        <v>111</v>
      </c>
      <c r="J75" s="137" t="s">
        <v>111</v>
      </c>
      <c r="K75" s="134" t="s">
        <v>111</v>
      </c>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c r="E76" s="134" t="s">
        <v>111</v>
      </c>
      <c r="F76" s="135" t="s">
        <v>111</v>
      </c>
      <c r="G76" s="136" t="s">
        <v>111</v>
      </c>
      <c r="H76" s="136" t="str">
        <f>IF(B76="","",SUMIFS('Stock Guide'!$N:$N,'Stock Guide'!$B:$B,B76))</f>
        <v/>
      </c>
      <c r="I76" s="137" t="s">
        <v>111</v>
      </c>
      <c r="J76" s="137" t="s">
        <v>111</v>
      </c>
      <c r="K76" s="134" t="s">
        <v>111</v>
      </c>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c r="E77" s="134" t="s">
        <v>111</v>
      </c>
      <c r="F77" s="135" t="s">
        <v>111</v>
      </c>
      <c r="G77" s="136" t="s">
        <v>111</v>
      </c>
      <c r="H77" s="136" t="str">
        <f>IF(B77="","",SUMIFS('Stock Guide'!$N:$N,'Stock Guide'!$B:$B,B77))</f>
        <v/>
      </c>
      <c r="I77" s="137" t="s">
        <v>111</v>
      </c>
      <c r="J77" s="137" t="s">
        <v>111</v>
      </c>
      <c r="K77" s="134" t="s">
        <v>111</v>
      </c>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c r="E78" s="134" t="s">
        <v>111</v>
      </c>
      <c r="F78" s="135" t="s">
        <v>111</v>
      </c>
      <c r="G78" s="136" t="s">
        <v>111</v>
      </c>
      <c r="H78" s="136" t="str">
        <f>IF(B78="","",SUMIFS('Stock Guide'!$N:$N,'Stock Guide'!$B:$B,B78))</f>
        <v/>
      </c>
      <c r="I78" s="137" t="s">
        <v>111</v>
      </c>
      <c r="J78" s="137" t="s">
        <v>111</v>
      </c>
      <c r="K78" s="134" t="s">
        <v>111</v>
      </c>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c r="E79" s="134" t="s">
        <v>111</v>
      </c>
      <c r="F79" s="135" t="s">
        <v>111</v>
      </c>
      <c r="G79" s="136" t="s">
        <v>111</v>
      </c>
      <c r="H79" s="136" t="str">
        <f>IF(B79="","",SUMIFS('Stock Guide'!$N:$N,'Stock Guide'!$B:$B,B79))</f>
        <v/>
      </c>
      <c r="I79" s="137" t="s">
        <v>111</v>
      </c>
      <c r="J79" s="137" t="s">
        <v>111</v>
      </c>
      <c r="K79" s="134" t="s">
        <v>111</v>
      </c>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15D4B12F-9FDB-4EAA-B175-4BFACFB77CBE}"/>
  <mergeCells count="4">
    <mergeCell ref="B4:C4"/>
    <mergeCell ref="B6:C6"/>
    <mergeCell ref="B7:C7"/>
    <mergeCell ref="B8:C8"/>
  </mergeCells>
  <conditionalFormatting sqref="N10:O69">
    <cfRule type="cellIs" dxfId="83" priority="31" operator="lessThan">
      <formula>0</formula>
    </cfRule>
    <cfRule type="cellIs" dxfId="82" priority="32" operator="greaterThan">
      <formula>0</formula>
    </cfRule>
  </conditionalFormatting>
  <conditionalFormatting sqref="N8:P8">
    <cfRule type="cellIs" dxfId="81" priority="7" operator="lessThan">
      <formula>0</formula>
    </cfRule>
    <cfRule type="cellIs" dxfId="80" priority="8" operator="greaterThan">
      <formula>0</formula>
    </cfRule>
  </conditionalFormatting>
  <conditionalFormatting sqref="P10:P69">
    <cfRule type="cellIs" dxfId="79" priority="5" operator="lessThan">
      <formula>0</formula>
    </cfRule>
    <cfRule type="cellIs" dxfId="78" priority="6" operator="greaterThan">
      <formula>0</formula>
    </cfRule>
  </conditionalFormatting>
  <conditionalFormatting sqref="N70:O82">
    <cfRule type="cellIs" dxfId="77" priority="3" operator="lessThan">
      <formula>0</formula>
    </cfRule>
    <cfRule type="cellIs" dxfId="76" priority="4" operator="greaterThan">
      <formula>0</formula>
    </cfRule>
  </conditionalFormatting>
  <conditionalFormatting sqref="P70:P82">
    <cfRule type="cellIs" dxfId="75" priority="1" operator="lessThan">
      <formula>0</formula>
    </cfRule>
    <cfRule type="cellIs" dxfId="74" priority="2" operator="greaterThan">
      <formula>0</formula>
    </cfRule>
  </conditionalFormatting>
  <hyperlinks>
    <hyperlink ref="O2" location="Menu!A1" display="Menu" xr:uid="{BE0B56D4-7AD4-4876-9C02-CA83F424E19A}"/>
    <hyperlink ref="P2" location="'Stock Guide'!A1" display="Stock Guide" xr:uid="{B3A1F80A-67FE-4CE1-B8AF-D6B2FCF08A27}"/>
  </hyperlinks>
  <pageMargins left="0.7" right="0.7" top="0.75" bottom="0.75" header="0.3" footer="0.3"/>
  <pageSetup fitToWidth="9"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E0C7-D1FD-4771-B436-F66BB846FC72}">
  <sheetPr codeName="Sheet11">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12"/>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Educacional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20</v>
      </c>
      <c r="C8" s="271"/>
      <c r="D8" s="170" t="s">
        <v>44</v>
      </c>
      <c r="E8" s="57">
        <f>SUMIFS('Stock Guide'!$H:$H,'Stock Guide'!$G:$G,B8)</f>
        <v>0</v>
      </c>
      <c r="F8" s="171">
        <f>AVERAGEIFS('Stock Guide'!I:I,'Stock Guide'!$G:$G,B8)</f>
        <v>125333.21922666667</v>
      </c>
      <c r="G8" s="171">
        <f>AVERAGEIFS('Stock Guide'!$M:$M,'Stock Guide'!$G:$G,B8)</f>
        <v>352758979.34999996</v>
      </c>
      <c r="H8" s="171">
        <f>AVERAGEIFS('Stock Guide'!$N:$N,'Stock Guide'!$G:$G,B8)</f>
        <v>396373446.6566667</v>
      </c>
      <c r="I8" s="172">
        <f>AVERAGEIFS('Stock Guide'!$O:$O,'Stock Guide'!$G:$G,B8)</f>
        <v>0.84435109484036364</v>
      </c>
      <c r="J8" s="172">
        <f>AVERAGEIFS('Stock Guide'!$P:$P,'Stock Guide'!$G:$G,B8)</f>
        <v>0.85874040866666668</v>
      </c>
      <c r="K8" s="57">
        <f>AVERAGEIFS('Stock Guide'!$Q:$Q,'Stock Guide'!$G:$G,B8)</f>
        <v>0.12117637046699999</v>
      </c>
      <c r="L8" s="57">
        <f>AVERAGEIFS('Stock Guide'!$R:$R,'Stock Guide'!$G:$G,B8)</f>
        <v>0.12231841998504438</v>
      </c>
      <c r="M8" s="170" t="s">
        <v>44</v>
      </c>
      <c r="N8" s="57">
        <f>AVERAGEIFS('Stock Guide'!$U:$U,'Stock Guide'!$G:$G,$B8)</f>
        <v>6.9449807599999995E-3</v>
      </c>
      <c r="O8" s="57">
        <f>AVERAGEIFS('Stock Guide'!$V:$V,'Stock Guide'!$G:$G,$B8)</f>
        <v>6.2681363391999992E-2</v>
      </c>
      <c r="P8" s="57">
        <f>AVERAGEIFS('Stock Guide'!$W:$W,'Stock Guide'!$G:$G,$B8)</f>
        <v>0.13613937550900002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441</v>
      </c>
      <c r="C10" s="132" t="str">
        <f>IF(B10="","",(VLOOKUP(B10,'Stock Guide'!$B:$D,3,0)))</f>
        <v>FII Anhanguera Educacional</v>
      </c>
      <c r="D10" s="133">
        <f>IF(B10="","",SUMIFS('Stock Guide'!$J:$J,'Stock Guide'!$B:$B,B10))</f>
        <v>152.44999999999999</v>
      </c>
      <c r="E10" s="134">
        <f>IF(B10="","",SUMIFS('Stock Guide'!$H:$H,'Stock Guide'!$B:$B,B10))</f>
        <v>0</v>
      </c>
      <c r="F10" s="135">
        <f>IF(B10="","",SUMIFS('Stock Guide'!I:I,'Stock Guide'!$B:$B,B10))</f>
        <v>112635.41076</v>
      </c>
      <c r="G10" s="136">
        <f>IF(B10="","",SUMIFS('Stock Guide'!$M:$M,'Stock Guide'!$B:$B,B10))</f>
        <v>105552873.65000001</v>
      </c>
      <c r="H10" s="136">
        <f>IF(B10="","",SUMIFS('Stock Guide'!$N:$N,'Stock Guide'!$B:$B,B10))</f>
        <v>154944944.09</v>
      </c>
      <c r="I10" s="137">
        <f>IF(B10="","",SUMIFS('Stock Guide'!$O:$O,'Stock Guide'!$B:$B,B10))</f>
        <v>0.6812282534929921</v>
      </c>
      <c r="J10" s="137">
        <f>IF(B10="","",SUMIFS('Stock Guide'!$P:$P,'Stock Guide'!$B:$B,B10))</f>
        <v>0.69419026831999997</v>
      </c>
      <c r="K10" s="134">
        <f>IF(B10="","",SUMIFS('Stock Guide'!$Q:$Q,'Stock Guide'!$B:$B,B10))</f>
        <v>0.13440501766999999</v>
      </c>
      <c r="L10" s="134">
        <f>IF(B10="","",SUMIFS('Stock Guide'!$R:$R,'Stock Guide'!$B:$B,B10))</f>
        <v>0.1353886520170548</v>
      </c>
      <c r="M10" s="133">
        <f>IF(B10="","",SUMIFS('Stock Guide'!$T:$T,'Stock Guide'!$B:$B,B10))</f>
        <v>1.72</v>
      </c>
      <c r="N10" s="138">
        <f>IFERROR(IF(B10="","",AVERAGEIFS('Stock Guide'!$U:$U,'Stock Guide'!$B:$B,B10)),"-")</f>
        <v>1.4400887778999999E-2</v>
      </c>
      <c r="O10" s="138">
        <f>IFERROR(IF(B10="","",AVERAGEIFS('Stock Guide'!$V:$V,'Stock Guide'!$B:$B,B10)),"-")</f>
        <v>7.9130334502999999E-2</v>
      </c>
      <c r="P10" s="138">
        <f>IFERROR(IF(B10="","",AVERAGEIFS('Stock Guide'!$W:$W,'Stock Guide'!$B:$B,B10)),"-")</f>
        <v>0.20997868097</v>
      </c>
    </row>
    <row r="11" spans="1:16" ht="16.5" customHeight="1" x14ac:dyDescent="0.2">
      <c r="B11" s="131" t="s">
        <v>446</v>
      </c>
      <c r="C11" s="132" t="str">
        <f>IF(B11="","",(VLOOKUP(B11,'Stock Guide'!$B:$D,3,0)))</f>
        <v>FII Campus Faria Lima</v>
      </c>
      <c r="D11" s="133">
        <f>IF(B11="","",SUMIFS('Stock Guide'!$J:$J,'Stock Guide'!$B:$B,B11))</f>
        <v>119.5</v>
      </c>
      <c r="E11" s="134">
        <f>IF(B11="","",SUMIFS('Stock Guide'!$H:$H,'Stock Guide'!$B:$B,B11))</f>
        <v>0</v>
      </c>
      <c r="F11" s="135">
        <f>IF(B11="","",SUMIFS('Stock Guide'!I:I,'Stock Guide'!$B:$B,B11))</f>
        <v>136279.99708</v>
      </c>
      <c r="G11" s="136">
        <f>IF(B11="","",SUMIFS('Stock Guide'!$M:$M,'Stock Guide'!$B:$B,B11))</f>
        <v>415144195</v>
      </c>
      <c r="H11" s="136">
        <f>IF(B11="","",SUMIFS('Stock Guide'!$N:$N,'Stock Guide'!$B:$B,B11))</f>
        <v>434612477.42000002</v>
      </c>
      <c r="I11" s="137">
        <f>IF(B11="","",SUMIFS('Stock Guide'!$O:$O,'Stock Guide'!$B:$B,B11))</f>
        <v>0.95520542222908544</v>
      </c>
      <c r="J11" s="137">
        <f>IF(B11="","",SUMIFS('Stock Guide'!$P:$P,'Stock Guide'!$B:$B,B11))</f>
        <v>1.0113515605000001</v>
      </c>
      <c r="K11" s="134">
        <f>IF(B11="","",SUMIFS('Stock Guide'!$Q:$Q,'Stock Guide'!$B:$B,B11))</f>
        <v>9.2534854101E-2</v>
      </c>
      <c r="L11" s="134">
        <f>IF(B11="","",SUMIFS('Stock Guide'!$R:$R,'Stock Guide'!$B:$B,B11))</f>
        <v>9.338912133891214E-2</v>
      </c>
      <c r="M11" s="133">
        <f>IF(B11="","",SUMIFS('Stock Guide'!$T:$T,'Stock Guide'!$B:$B,B11))</f>
        <v>0.93</v>
      </c>
      <c r="N11" s="138">
        <f>IFERROR(IF(B11="","",AVERAGEIFS('Stock Guide'!$U:$U,'Stock Guide'!$B:$B,B11)),"-")</f>
        <v>-1.2809062087999999E-2</v>
      </c>
      <c r="O11" s="138">
        <f>IFERROR(IF(B11="","",AVERAGEIFS('Stock Guide'!$V:$V,'Stock Guide'!$B:$B,B11)),"-")</f>
        <v>6.8879743429999998E-3</v>
      </c>
      <c r="P11" s="138">
        <f>IFERROR(IF(B11="","",AVERAGEIFS('Stock Guide'!$W:$W,'Stock Guide'!$B:$B,B11)),"-")</f>
        <v>4.4858899637000002E-2</v>
      </c>
    </row>
    <row r="12" spans="1:16" ht="16.5" customHeight="1" x14ac:dyDescent="0.2">
      <c r="B12" s="131" t="s">
        <v>793</v>
      </c>
      <c r="C12" s="132" t="str">
        <f>IF(B12="","",(VLOOKUP(B12,'Stock Guide'!$B:$D,3,0)))</f>
        <v>TJK Renda Imobiliária FII</v>
      </c>
      <c r="D12" s="133">
        <f>IF(B12="","",SUMIFS('Stock Guide'!$J:$J,'Stock Guide'!$B:$B,B12))</f>
        <v>251.85</v>
      </c>
      <c r="E12" s="134">
        <f>IF(B12="","",SUMIFS('Stock Guide'!$H:$H,'Stock Guide'!$B:$B,B12))</f>
        <v>0</v>
      </c>
      <c r="F12" s="135">
        <f>IF(B12="","",SUMIFS('Stock Guide'!I:I,'Stock Guide'!$B:$B,B12))</f>
        <v>127084.24984</v>
      </c>
      <c r="G12" s="136">
        <f>IF(B12="","",SUMIFS('Stock Guide'!$M:$M,'Stock Guide'!$B:$B,B12))</f>
        <v>537579869.39999998</v>
      </c>
      <c r="H12" s="136">
        <f>IF(B12="","",SUMIFS('Stock Guide'!$N:$N,'Stock Guide'!$B:$B,B12))</f>
        <v>599562918.46000004</v>
      </c>
      <c r="I12" s="137">
        <f>IF(B12="","",SUMIFS('Stock Guide'!$O:$O,'Stock Guide'!$B:$B,B12))</f>
        <v>0.89661960879901337</v>
      </c>
      <c r="J12" s="137">
        <f>IF(B12="","",SUMIFS('Stock Guide'!$P:$P,'Stock Guide'!$B:$B,B12))</f>
        <v>0.87067939717999998</v>
      </c>
      <c r="K12" s="134">
        <f>IF(B12="","",SUMIFS('Stock Guide'!$Q:$Q,'Stock Guide'!$B:$B,B12))</f>
        <v>0.13658923963</v>
      </c>
      <c r="L12" s="134">
        <f>IF(B12="","",SUMIFS('Stock Guide'!$R:$R,'Stock Guide'!$B:$B,B12))</f>
        <v>0.13817748659916618</v>
      </c>
      <c r="M12" s="133">
        <f>IF(B12="","",SUMIFS('Stock Guide'!$T:$T,'Stock Guide'!$B:$B,B12))</f>
        <v>2.9</v>
      </c>
      <c r="N12" s="138">
        <f>IFERROR(IF(B12="","",AVERAGEIFS('Stock Guide'!$U:$U,'Stock Guide'!$B:$B,B12)),"-")</f>
        <v>1.9243116588999999E-2</v>
      </c>
      <c r="O12" s="138">
        <f>IFERROR(IF(B12="","",AVERAGEIFS('Stock Guide'!$V:$V,'Stock Guide'!$B:$B,B12)),"-")</f>
        <v>0.10202578133</v>
      </c>
      <c r="P12" s="138">
        <f>IFERROR(IF(B12="","",AVERAGEIFS('Stock Guide'!$W:$W,'Stock Guide'!$B:$B,B12)),"-")</f>
        <v>0.15358054592000001</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c r="D70" s="133" t="s">
        <v>111</v>
      </c>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7BBAE0C7-D1FD-4771-B436-F66BB846FC72}"/>
  <mergeCells count="4">
    <mergeCell ref="B6:C6"/>
    <mergeCell ref="B8:C8"/>
    <mergeCell ref="B4:C4"/>
    <mergeCell ref="B7:C7"/>
  </mergeCells>
  <conditionalFormatting sqref="N10:O69">
    <cfRule type="cellIs" dxfId="73" priority="31" operator="lessThan">
      <formula>0</formula>
    </cfRule>
    <cfRule type="cellIs" dxfId="72" priority="32" operator="greaterThan">
      <formula>0</formula>
    </cfRule>
  </conditionalFormatting>
  <conditionalFormatting sqref="N8:P8">
    <cfRule type="cellIs" dxfId="71" priority="7" operator="lessThan">
      <formula>0</formula>
    </cfRule>
    <cfRule type="cellIs" dxfId="70" priority="8" operator="greaterThan">
      <formula>0</formula>
    </cfRule>
  </conditionalFormatting>
  <conditionalFormatting sqref="P10:P69">
    <cfRule type="cellIs" dxfId="69" priority="5" operator="lessThan">
      <formula>0</formula>
    </cfRule>
    <cfRule type="cellIs" dxfId="68" priority="6" operator="greaterThan">
      <formula>0</formula>
    </cfRule>
  </conditionalFormatting>
  <conditionalFormatting sqref="N70:O82">
    <cfRule type="cellIs" dxfId="67" priority="3" operator="lessThan">
      <formula>0</formula>
    </cfRule>
    <cfRule type="cellIs" dxfId="66" priority="4" operator="greaterThan">
      <formula>0</formula>
    </cfRule>
  </conditionalFormatting>
  <conditionalFormatting sqref="P70:P82">
    <cfRule type="cellIs" dxfId="65" priority="1" operator="lessThan">
      <formula>0</formula>
    </cfRule>
    <cfRule type="cellIs" dxfId="64" priority="2" operator="greaterThan">
      <formula>0</formula>
    </cfRule>
  </conditionalFormatting>
  <hyperlinks>
    <hyperlink ref="O2" location="Menu!A1" display="Menu" xr:uid="{435263E6-B7D4-438D-B0B0-83AC45E54C94}"/>
    <hyperlink ref="P2" location="'Stock Guide'!A1" display="Stock Guide" xr:uid="{82BD7F88-0DF4-46D7-893F-6AE9B888590F}"/>
  </hyperlinks>
  <pageMargins left="0.7" right="0.7" top="0.75" bottom="0.75" header="0.3" footer="0.3"/>
  <pageSetup fitToWidth="9"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59A2-2C7E-4C8F-AD79-0A6A6BC92F44}">
  <sheetPr codeName="Planilha3">
    <pageSetUpPr fitToPage="1"/>
  </sheetPr>
  <dimension ref="A1:Q98"/>
  <sheetViews>
    <sheetView showGridLines="0" showRowColHeaders="0" zoomScale="90" zoomScaleNormal="90" workbookViewId="0">
      <pane ySplit="9" topLeftCell="A10" activePane="bottomLeft" state="frozen"/>
      <selection activeCell="D5" sqref="D5:D13"/>
      <selection pane="bottomLeft" activeCell="B9" sqref="B9:B15"/>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Desenvolvimento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66</v>
      </c>
      <c r="C8" s="271"/>
      <c r="D8" s="170" t="s">
        <v>44</v>
      </c>
      <c r="E8" s="57">
        <f>SUMIFS('Stock Guide'!$H:$H,'Stock Guide'!$G:$G,B8)</f>
        <v>8.4499999999999992E-3</v>
      </c>
      <c r="F8" s="171">
        <f>AVERAGEIFS('Stock Guide'!I:I,'Stock Guide'!$G:$G,B8)</f>
        <v>1260936.9872868333</v>
      </c>
      <c r="G8" s="171">
        <f>AVERAGEIFS('Stock Guide'!$M:$M,'Stock Guide'!$G:$G,B8)</f>
        <v>266768103.54133335</v>
      </c>
      <c r="H8" s="171">
        <f>AVERAGEIFS('Stock Guide'!$N:$N,'Stock Guide'!$G:$G,B8)</f>
        <v>601112668.49333334</v>
      </c>
      <c r="I8" s="172">
        <f>AVERAGEIFS('Stock Guide'!$O:$O,'Stock Guide'!$G:$G,B8)</f>
        <v>0.72542782321439148</v>
      </c>
      <c r="J8" s="172">
        <f>AVERAGEIFS('Stock Guide'!$P:$P,'Stock Guide'!$G:$G,B8)</f>
        <v>0.84389660781833342</v>
      </c>
      <c r="K8" s="57">
        <f>AVERAGEIFS('Stock Guide'!$Q:$Q,'Stock Guide'!$G:$G,B8)</f>
        <v>0.24162840811000003</v>
      </c>
      <c r="L8" s="57">
        <f>AVERAGEIFS('Stock Guide'!$R:$R,'Stock Guide'!$G:$G,B8)</f>
        <v>0.25826211544636524</v>
      </c>
      <c r="M8" s="170" t="s">
        <v>44</v>
      </c>
      <c r="N8" s="57">
        <f>AVERAGEIFS('Stock Guide'!$U:$U,'Stock Guide'!$G:$G,$B8)</f>
        <v>-8.3223891600266664E-2</v>
      </c>
      <c r="O8" s="57">
        <f>AVERAGEIFS('Stock Guide'!$V:$V,'Stock Guide'!$G:$G,$B8)</f>
        <v>-0.20292074562020002</v>
      </c>
      <c r="P8" s="57">
        <f>AVERAGEIFS('Stock Guide'!$W:$W,'Stock Guide'!$G:$G,$B8)</f>
        <v>4.2485033222E-2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798</v>
      </c>
      <c r="C10" s="132" t="str">
        <f>IF(B10="","",(VLOOKUP(B10,'Stock Guide'!$B:$D,3,0)))</f>
        <v>Cyrela Desenvolvimento Logístico FII</v>
      </c>
      <c r="D10" s="133">
        <f>IF(B10="","",SUMIFS('Stock Guide'!$J:$J,'Stock Guide'!$B:$B,B10))</f>
        <v>114.48</v>
      </c>
      <c r="E10" s="134">
        <f>IF(B10="","",SUMIFS('Stock Guide'!$H:$H,'Stock Guide'!$B:$B,B10))</f>
        <v>0</v>
      </c>
      <c r="F10" s="135">
        <f>IF(B10="","",SUMIFS('Stock Guide'!I:I,'Stock Guide'!$B:$B,B10))</f>
        <v>164577.20491999999</v>
      </c>
      <c r="G10" s="136">
        <f>IF(B10="","",SUMIFS('Stock Guide'!$M:$M,'Stock Guide'!$B:$B,B10))</f>
        <v>142166644.56</v>
      </c>
      <c r="H10" s="136">
        <f>IF(B10="","",SUMIFS('Stock Guide'!$N:$N,'Stock Guide'!$B:$B,B10))</f>
        <v>156532302.06</v>
      </c>
      <c r="I10" s="137">
        <f>IF(B10="","",SUMIFS('Stock Guide'!$O:$O,'Stock Guide'!$B:$B,B10))</f>
        <v>0.90822560384697126</v>
      </c>
      <c r="J10" s="137">
        <f>IF(B10="","",SUMIFS('Stock Guide'!$P:$P,'Stock Guide'!$B:$B,B10))</f>
        <v>0.66440611515000003</v>
      </c>
      <c r="K10" s="134">
        <f>IF(B10="","",SUMIFS('Stock Guide'!$Q:$Q,'Stock Guide'!$B:$B,B10))</f>
        <v>0.22611497851000001</v>
      </c>
      <c r="L10" s="134">
        <f>IF(B10="","",SUMIFS('Stock Guide'!$R:$R,'Stock Guide'!$B:$B,B10))</f>
        <v>0.68448637316561844</v>
      </c>
      <c r="M10" s="133">
        <f>IF(B10="","",SUMIFS('Stock Guide'!$T:$T,'Stock Guide'!$B:$B,B10))</f>
        <v>6.53</v>
      </c>
      <c r="N10" s="138">
        <f>IFERROR(IF(B10="","",AVERAGEIFS('Stock Guide'!$U:$U,'Stock Guide'!$B:$B,B10)),"-")</f>
        <v>5.5190974539000001E-2</v>
      </c>
      <c r="O10" s="138" t="str">
        <f>IFERROR(IF(B10="","",AVERAGEIFS('Stock Guide'!$V:$V,'Stock Guide'!$B:$B,B10)),"-")</f>
        <v>-</v>
      </c>
      <c r="P10" s="138">
        <f>IFERROR(IF(B10="","",AVERAGEIFS('Stock Guide'!$W:$W,'Stock Guide'!$B:$B,B10)),"-")</f>
        <v>1.2087357028000001</v>
      </c>
    </row>
    <row r="11" spans="1:16" ht="16.5" customHeight="1" x14ac:dyDescent="0.2">
      <c r="B11" s="131" t="s">
        <v>584</v>
      </c>
      <c r="C11" s="132" t="str">
        <f>IF(B11="","",(VLOOKUP(B11,'Stock Guide'!$B:$D,3,0)))</f>
        <v>Merito Desenvolvimento Imobiliário FII</v>
      </c>
      <c r="D11" s="133">
        <f>IF(B11="","",SUMIFS('Stock Guide'!$J:$J,'Stock Guide'!$B:$B,B11))</f>
        <v>31.55</v>
      </c>
      <c r="E11" s="134">
        <f>IF(B11="","",SUMIFS('Stock Guide'!$H:$H,'Stock Guide'!$B:$B,B11))</f>
        <v>1.4499999999999999E-3</v>
      </c>
      <c r="F11" s="135">
        <f>IF(B11="","",SUMIFS('Stock Guide'!I:I,'Stock Guide'!$B:$B,B11))</f>
        <v>1716328.2997000001</v>
      </c>
      <c r="G11" s="136">
        <f>IF(B11="","",SUMIFS('Stock Guide'!$M:$M,'Stock Guide'!$B:$B,B11))</f>
        <v>214540000</v>
      </c>
      <c r="H11" s="136">
        <f>IF(B11="","",SUMIFS('Stock Guide'!$N:$N,'Stock Guide'!$B:$B,B11))</f>
        <v>662776461.34000003</v>
      </c>
      <c r="I11" s="137">
        <f>IF(B11="","",SUMIFS('Stock Guide'!$O:$O,'Stock Guide'!$B:$B,B11))</f>
        <v>0.32369888267643587</v>
      </c>
      <c r="J11" s="137">
        <f>IF(B11="","",SUMIFS('Stock Guide'!$P:$P,'Stock Guide'!$B:$B,B11))</f>
        <v>0.76157234665999995</v>
      </c>
      <c r="K11" s="134">
        <f>IF(B11="","",SUMIFS('Stock Guide'!$Q:$Q,'Stock Guide'!$B:$B,B11))</f>
        <v>0.36545166403000001</v>
      </c>
      <c r="L11" s="134">
        <f>IF(B11="","",SUMIFS('Stock Guide'!$R:$R,'Stock Guide'!$B:$B,B11))</f>
        <v>0.11410459587955624</v>
      </c>
      <c r="M11" s="133">
        <f>IF(B11="","",SUMIFS('Stock Guide'!$T:$T,'Stock Guide'!$B:$B,B11))</f>
        <v>0.3</v>
      </c>
      <c r="N11" s="138">
        <f>IFERROR(IF(B11="","",AVERAGEIFS('Stock Guide'!$U:$U,'Stock Guide'!$B:$B,B11)),"-")</f>
        <v>-0.35414534288999999</v>
      </c>
      <c r="O11" s="138">
        <f>IFERROR(IF(B11="","",AVERAGEIFS('Stock Guide'!$V:$V,'Stock Guide'!$B:$B,B11)),"-")</f>
        <v>-0.54156688528999997</v>
      </c>
      <c r="P11" s="138">
        <f>IFERROR(IF(B11="","",AVERAGEIFS('Stock Guide'!$W:$W,'Stock Guide'!$B:$B,B11)),"-")</f>
        <v>-0.53493646120000005</v>
      </c>
    </row>
    <row r="12" spans="1:16" ht="16.5" customHeight="1" x14ac:dyDescent="0.2">
      <c r="B12" s="131" t="s">
        <v>790</v>
      </c>
      <c r="C12" s="132" t="str">
        <f>IF(B12="","",(VLOOKUP(B12,'Stock Guide'!$B:$D,3,0)))</f>
        <v>-</v>
      </c>
      <c r="D12" s="133">
        <f>IF(B12="","",SUMIFS('Stock Guide'!$J:$J,'Stock Guide'!$B:$B,B12))</f>
        <v>110.01</v>
      </c>
      <c r="E12" s="134">
        <f>IF(B12="","",SUMIFS('Stock Guide'!$H:$H,'Stock Guide'!$B:$B,B12))</f>
        <v>0</v>
      </c>
      <c r="F12" s="135">
        <f>IF(B12="","",SUMIFS('Stock Guide'!I:I,'Stock Guide'!$B:$B,B12))</f>
        <v>47687.341230999999</v>
      </c>
      <c r="G12" s="136">
        <f>IF(B12="","",SUMIFS('Stock Guide'!$M:$M,'Stock Guide'!$B:$B,B12))</f>
        <v>43361871.630000003</v>
      </c>
      <c r="H12" s="136">
        <f>IF(B12="","",SUMIFS('Stock Guide'!$N:$N,'Stock Guide'!$B:$B,B12))</f>
        <v>33938515.590000004</v>
      </c>
      <c r="I12" s="137">
        <f>IF(B12="","",SUMIFS('Stock Guide'!$O:$O,'Stock Guide'!$B:$B,B12))</f>
        <v>1.2776596405641441</v>
      </c>
      <c r="J12" s="137">
        <f>IF(B12="","",SUMIFS('Stock Guide'!$P:$P,'Stock Guide'!$B:$B,B12))</f>
        <v>1.1667069084999999</v>
      </c>
      <c r="K12" s="134">
        <f>IF(B12="","",SUMIFS('Stock Guide'!$Q:$Q,'Stock Guide'!$B:$B,B12))</f>
        <v>0</v>
      </c>
      <c r="L12" s="134">
        <f>IF(B12="","",SUMIFS('Stock Guide'!$R:$R,'Stock Guide'!$B:$B,B12))</f>
        <v>0</v>
      </c>
      <c r="M12" s="133">
        <f>IF(B12="","",SUMIFS('Stock Guide'!$T:$T,'Stock Guide'!$B:$B,B12))</f>
        <v>0</v>
      </c>
      <c r="N12" s="138">
        <f>IFERROR(IF(B12="","",AVERAGEIFS('Stock Guide'!$U:$U,'Stock Guide'!$B:$B,B12)),"-")</f>
        <v>6.4038056898000004E-3</v>
      </c>
      <c r="O12" s="138">
        <f>IFERROR(IF(B12="","",AVERAGEIFS('Stock Guide'!$V:$V,'Stock Guide'!$B:$B,B12)),"-")</f>
        <v>9.6938726131999997E-2</v>
      </c>
      <c r="P12" s="138" t="str">
        <f>IFERROR(IF(B12="","",AVERAGEIFS('Stock Guide'!$W:$W,'Stock Guide'!$B:$B,B12)),"-")</f>
        <v>-</v>
      </c>
    </row>
    <row r="13" spans="1:16" ht="16.5" customHeight="1" x14ac:dyDescent="0.2">
      <c r="B13" s="131" t="s">
        <v>773</v>
      </c>
      <c r="C13" s="132" t="str">
        <f>IF(B13="","",(VLOOKUP(B13,'Stock Guide'!$B:$D,3,0)))</f>
        <v>RB Capital Desenvolvimento Residencial IV FII</v>
      </c>
      <c r="D13" s="133">
        <f>IF(B13="","",SUMIFS('Stock Guide'!$J:$J,'Stock Guide'!$B:$B,B13))</f>
        <v>72.5</v>
      </c>
      <c r="E13" s="134">
        <f>IF(B13="","",SUMIFS('Stock Guide'!$H:$H,'Stock Guide'!$B:$B,B13))</f>
        <v>0</v>
      </c>
      <c r="F13" s="135">
        <f>IF(B13="","",SUMIFS('Stock Guide'!I:I,'Stock Guide'!$B:$B,B13))</f>
        <v>202333.55569000001</v>
      </c>
      <c r="G13" s="136">
        <f>IF(B13="","",SUMIFS('Stock Guide'!$M:$M,'Stock Guide'!$B:$B,B13))</f>
        <v>110824587.5</v>
      </c>
      <c r="H13" s="136">
        <f>IF(B13="","",SUMIFS('Stock Guide'!$N:$N,'Stock Guide'!$B:$B,B13))</f>
        <v>123751511.45</v>
      </c>
      <c r="I13" s="137">
        <f>IF(B13="","",SUMIFS('Stock Guide'!$O:$O,'Stock Guide'!$B:$B,B13))</f>
        <v>0.8955412843161682</v>
      </c>
      <c r="J13" s="137">
        <f>IF(B13="","",SUMIFS('Stock Guide'!$P:$P,'Stock Guide'!$B:$B,B13))</f>
        <v>1.0177836256999999</v>
      </c>
      <c r="K13" s="134">
        <f>IF(B13="","",SUMIFS('Stock Guide'!$Q:$Q,'Stock Guide'!$B:$B,B13))</f>
        <v>0.16636600386</v>
      </c>
      <c r="L13" s="134">
        <f>IF(B13="","",SUMIFS('Stock Guide'!$R:$R,'Stock Guide'!$B:$B,B13))</f>
        <v>7.8299511724137932E-2</v>
      </c>
      <c r="M13" s="133">
        <f>IF(B13="","",SUMIFS('Stock Guide'!$T:$T,'Stock Guide'!$B:$B,B13))</f>
        <v>0.47305955</v>
      </c>
      <c r="N13" s="138">
        <f>IFERROR(IF(B13="","",AVERAGEIFS('Stock Guide'!$U:$U,'Stock Guide'!$B:$B,B13)),"-")</f>
        <v>-6.8493150684E-3</v>
      </c>
      <c r="O13" s="138">
        <f>IFERROR(IF(B13="","",AVERAGEIFS('Stock Guide'!$V:$V,'Stock Guide'!$B:$B,B13)),"-")</f>
        <v>-2.4340180913000001E-2</v>
      </c>
      <c r="P13" s="138">
        <f>IFERROR(IF(B13="","",AVERAGEIFS('Stock Guide'!$W:$W,'Stock Guide'!$B:$B,B13)),"-")</f>
        <v>0.11301012975999999</v>
      </c>
    </row>
    <row r="14" spans="1:16" ht="16.5" customHeight="1" x14ac:dyDescent="0.2">
      <c r="B14" s="131" t="s">
        <v>768</v>
      </c>
      <c r="C14" s="132" t="str">
        <f>IF(B14="","",(VLOOKUP(B14,'Stock Guide'!$B:$D,3,0)))</f>
        <v>Smart Real Estate FII</v>
      </c>
      <c r="D14" s="133">
        <f>IF(B14="","",SUMIFS('Stock Guide'!$J:$J,'Stock Guide'!$B:$B,B14))</f>
        <v>55.2</v>
      </c>
      <c r="E14" s="134">
        <f>IF(B14="","",SUMIFS('Stock Guide'!$H:$H,'Stock Guide'!$B:$B,B14))</f>
        <v>0</v>
      </c>
      <c r="F14" s="135">
        <f>IF(B14="","",SUMIFS('Stock Guide'!I:I,'Stock Guide'!$B:$B,B14))</f>
        <v>179143.66308</v>
      </c>
      <c r="G14" s="136">
        <f>IF(B14="","",SUMIFS('Stock Guide'!$M:$M,'Stock Guide'!$B:$B,B14))</f>
        <v>55081706.457999997</v>
      </c>
      <c r="H14" s="136">
        <f>IF(B14="","",SUMIFS('Stock Guide'!$N:$N,'Stock Guide'!$B:$B,B14))</f>
        <v>102371038.42</v>
      </c>
      <c r="I14" s="137">
        <f>IF(B14="","",SUMIFS('Stock Guide'!$O:$O,'Stock Guide'!$B:$B,B14))</f>
        <v>0.53805946787425385</v>
      </c>
      <c r="J14" s="137">
        <f>IF(B14="","",SUMIFS('Stock Guide'!$P:$P,'Stock Guide'!$B:$B,B14))</f>
        <v>0.64207163014000002</v>
      </c>
      <c r="K14" s="134">
        <f>IF(B14="","",SUMIFS('Stock Guide'!$Q:$Q,'Stock Guide'!$B:$B,B14))</f>
        <v>0.22173559004999999</v>
      </c>
      <c r="L14" s="134">
        <f>IF(B14="","",SUMIFS('Stock Guide'!$R:$R,'Stock Guide'!$B:$B,B14))</f>
        <v>0.21760916252173909</v>
      </c>
      <c r="M14" s="133">
        <f>IF(B14="","",SUMIFS('Stock Guide'!$T:$T,'Stock Guide'!$B:$B,B14))</f>
        <v>1.0010021475999999</v>
      </c>
      <c r="N14" s="138">
        <f>IFERROR(IF(B14="","",AVERAGEIFS('Stock Guide'!$U:$U,'Stock Guide'!$B:$B,B14)),"-")</f>
        <v>-7.8294812411999995E-2</v>
      </c>
      <c r="O14" s="138">
        <f>IFERROR(IF(B14="","",AVERAGEIFS('Stock Guide'!$V:$V,'Stock Guide'!$B:$B,B14)),"-")</f>
        <v>-6.2021304520000001E-2</v>
      </c>
      <c r="P14" s="138">
        <f>IFERROR(IF(B14="","",AVERAGEIFS('Stock Guide'!$W:$W,'Stock Guide'!$B:$B,B14)),"-")</f>
        <v>-0.17074201326999999</v>
      </c>
    </row>
    <row r="15" spans="1:16" ht="16.5" customHeight="1" x14ac:dyDescent="0.2">
      <c r="B15" s="131" t="s">
        <v>681</v>
      </c>
      <c r="C15" s="132" t="str">
        <f>IF(B15="","",(VLOOKUP(B15,'Stock Guide'!$B:$D,3,0)))</f>
        <v>TG Ativo Real FII</v>
      </c>
      <c r="D15" s="133">
        <f>IF(B15="","",SUMIFS('Stock Guide'!$J:$J,'Stock Guide'!$B:$B,B15))</f>
        <v>43.9</v>
      </c>
      <c r="E15" s="134">
        <f>IF(B15="","",SUMIFS('Stock Guide'!$H:$H,'Stock Guide'!$B:$B,B15))</f>
        <v>7.0000000000000001E-3</v>
      </c>
      <c r="F15" s="135">
        <f>IF(B15="","",SUMIFS('Stock Guide'!I:I,'Stock Guide'!$B:$B,B15))</f>
        <v>5255551.8591</v>
      </c>
      <c r="G15" s="136">
        <f>IF(B15="","",SUMIFS('Stock Guide'!$M:$M,'Stock Guide'!$B:$B,B15))</f>
        <v>1034633811.1</v>
      </c>
      <c r="H15" s="136">
        <f>IF(B15="","",SUMIFS('Stock Guide'!$N:$N,'Stock Guide'!$B:$B,B15))</f>
        <v>2527306182.0999999</v>
      </c>
      <c r="I15" s="137">
        <f>IF(B15="","",SUMIFS('Stock Guide'!$O:$O,'Stock Guide'!$B:$B,B15))</f>
        <v>0.40938206000837529</v>
      </c>
      <c r="J15" s="137">
        <f>IF(B15="","",SUMIFS('Stock Guide'!$P:$P,'Stock Guide'!$B:$B,B15))</f>
        <v>0.81083902076000003</v>
      </c>
      <c r="K15" s="134">
        <f>IF(B15="","",SUMIFS('Stock Guide'!$Q:$Q,'Stock Guide'!$B:$B,B15))</f>
        <v>0.22847380410000001</v>
      </c>
      <c r="L15" s="134">
        <f>IF(B15="","",SUMIFS('Stock Guide'!$R:$R,'Stock Guide'!$B:$B,B15))</f>
        <v>0.19681093394077451</v>
      </c>
      <c r="M15" s="133">
        <f>IF(B15="","",SUMIFS('Stock Guide'!$T:$T,'Stock Guide'!$B:$B,B15))</f>
        <v>0.72</v>
      </c>
      <c r="N15" s="138">
        <f>IFERROR(IF(B15="","",AVERAGEIFS('Stock Guide'!$U:$U,'Stock Guide'!$B:$B,B15)),"-")</f>
        <v>-0.12164865946</v>
      </c>
      <c r="O15" s="138">
        <f>IFERROR(IF(B15="","",AVERAGEIFS('Stock Guide'!$V:$V,'Stock Guide'!$B:$B,B15)),"-")</f>
        <v>-0.48361408351000001</v>
      </c>
      <c r="P15" s="138">
        <f>IFERROR(IF(B15="","",AVERAGEIFS('Stock Guide'!$W:$W,'Stock Guide'!$B:$B,B15)),"-")</f>
        <v>-0.40364219198000001</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t="s">
        <v>111</v>
      </c>
      <c r="E71" s="134" t="s">
        <v>111</v>
      </c>
      <c r="F71" s="135" t="s">
        <v>111</v>
      </c>
      <c r="G71" s="136" t="s">
        <v>111</v>
      </c>
      <c r="H71" s="136" t="str">
        <f>IF(B71="","",SUMIFS('Stock Guide'!$N:$N,'Stock Guide'!$B:$B,B71))</f>
        <v/>
      </c>
      <c r="I71" s="137" t="s">
        <v>111</v>
      </c>
      <c r="J71" s="137" t="s">
        <v>111</v>
      </c>
      <c r="K71" s="134" t="s">
        <v>111</v>
      </c>
      <c r="L71" s="134" t="s">
        <v>111</v>
      </c>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t="s">
        <v>111</v>
      </c>
      <c r="E72" s="134" t="s">
        <v>111</v>
      </c>
      <c r="F72" s="135" t="s">
        <v>111</v>
      </c>
      <c r="G72" s="136" t="s">
        <v>111</v>
      </c>
      <c r="H72" s="136" t="str">
        <f>IF(B72="","",SUMIFS('Stock Guide'!$N:$N,'Stock Guide'!$B:$B,B72))</f>
        <v/>
      </c>
      <c r="I72" s="137" t="s">
        <v>111</v>
      </c>
      <c r="J72" s="137" t="s">
        <v>111</v>
      </c>
      <c r="K72" s="134" t="s">
        <v>111</v>
      </c>
      <c r="L72" s="134" t="s">
        <v>111</v>
      </c>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t="s">
        <v>111</v>
      </c>
      <c r="E73" s="134" t="s">
        <v>111</v>
      </c>
      <c r="F73" s="135" t="s">
        <v>111</v>
      </c>
      <c r="G73" s="136" t="s">
        <v>111</v>
      </c>
      <c r="H73" s="136" t="str">
        <f>IF(B73="","",SUMIFS('Stock Guide'!$N:$N,'Stock Guide'!$B:$B,B73))</f>
        <v/>
      </c>
      <c r="I73" s="137" t="s">
        <v>111</v>
      </c>
      <c r="J73" s="137" t="s">
        <v>111</v>
      </c>
      <c r="K73" s="134" t="s">
        <v>111</v>
      </c>
      <c r="L73" s="134" t="s">
        <v>111</v>
      </c>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t="s">
        <v>111</v>
      </c>
      <c r="E74" s="134" t="s">
        <v>111</v>
      </c>
      <c r="F74" s="135" t="s">
        <v>111</v>
      </c>
      <c r="G74" s="136" t="s">
        <v>111</v>
      </c>
      <c r="H74" s="136" t="str">
        <f>IF(B74="","",SUMIFS('Stock Guide'!$N:$N,'Stock Guide'!$B:$B,B74))</f>
        <v/>
      </c>
      <c r="I74" s="137" t="s">
        <v>111</v>
      </c>
      <c r="J74" s="137" t="s">
        <v>111</v>
      </c>
      <c r="K74" s="134" t="s">
        <v>111</v>
      </c>
      <c r="L74" s="134" t="s">
        <v>111</v>
      </c>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t="s">
        <v>111</v>
      </c>
      <c r="E75" s="134" t="s">
        <v>111</v>
      </c>
      <c r="F75" s="135" t="s">
        <v>111</v>
      </c>
      <c r="G75" s="136" t="s">
        <v>111</v>
      </c>
      <c r="H75" s="136" t="str">
        <f>IF(B75="","",SUMIFS('Stock Guide'!$N:$N,'Stock Guide'!$B:$B,B75))</f>
        <v/>
      </c>
      <c r="I75" s="137" t="s">
        <v>111</v>
      </c>
      <c r="J75" s="137" t="s">
        <v>111</v>
      </c>
      <c r="K75" s="134" t="s">
        <v>111</v>
      </c>
      <c r="L75" s="134" t="s">
        <v>111</v>
      </c>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t="s">
        <v>111</v>
      </c>
      <c r="E76" s="134" t="s">
        <v>111</v>
      </c>
      <c r="F76" s="135" t="s">
        <v>111</v>
      </c>
      <c r="G76" s="136" t="s">
        <v>111</v>
      </c>
      <c r="H76" s="136" t="str">
        <f>IF(B76="","",SUMIFS('Stock Guide'!$N:$N,'Stock Guide'!$B:$B,B76))</f>
        <v/>
      </c>
      <c r="I76" s="137" t="s">
        <v>111</v>
      </c>
      <c r="J76" s="137" t="s">
        <v>111</v>
      </c>
      <c r="K76" s="134" t="s">
        <v>111</v>
      </c>
      <c r="L76" s="134" t="s">
        <v>111</v>
      </c>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t="s">
        <v>111</v>
      </c>
      <c r="E77" s="134" t="s">
        <v>111</v>
      </c>
      <c r="F77" s="135" t="s">
        <v>111</v>
      </c>
      <c r="G77" s="136" t="s">
        <v>111</v>
      </c>
      <c r="H77" s="136" t="str">
        <f>IF(B77="","",SUMIFS('Stock Guide'!$N:$N,'Stock Guide'!$B:$B,B77))</f>
        <v/>
      </c>
      <c r="I77" s="137" t="s">
        <v>111</v>
      </c>
      <c r="J77" s="137" t="s">
        <v>111</v>
      </c>
      <c r="K77" s="134" t="s">
        <v>111</v>
      </c>
      <c r="L77" s="134" t="s">
        <v>111</v>
      </c>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t="s">
        <v>111</v>
      </c>
      <c r="E78" s="134" t="s">
        <v>111</v>
      </c>
      <c r="F78" s="135" t="s">
        <v>111</v>
      </c>
      <c r="G78" s="136" t="s">
        <v>111</v>
      </c>
      <c r="H78" s="136" t="str">
        <f>IF(B78="","",SUMIFS('Stock Guide'!$N:$N,'Stock Guide'!$B:$B,B78))</f>
        <v/>
      </c>
      <c r="I78" s="137" t="s">
        <v>111</v>
      </c>
      <c r="J78" s="137" t="s">
        <v>111</v>
      </c>
      <c r="K78" s="134" t="s">
        <v>111</v>
      </c>
      <c r="L78" s="134" t="s">
        <v>111</v>
      </c>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t="s">
        <v>111</v>
      </c>
      <c r="E79" s="134" t="s">
        <v>111</v>
      </c>
      <c r="F79" s="135" t="s">
        <v>111</v>
      </c>
      <c r="G79" s="136" t="s">
        <v>111</v>
      </c>
      <c r="H79" s="136" t="str">
        <f>IF(B79="","",SUMIFS('Stock Guide'!$N:$N,'Stock Guide'!$B:$B,B79))</f>
        <v/>
      </c>
      <c r="I79" s="137" t="s">
        <v>111</v>
      </c>
      <c r="J79" s="137" t="s">
        <v>111</v>
      </c>
      <c r="K79" s="134" t="s">
        <v>111</v>
      </c>
      <c r="L79" s="134" t="s">
        <v>111</v>
      </c>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t="s">
        <v>111</v>
      </c>
      <c r="E80" s="134" t="s">
        <v>111</v>
      </c>
      <c r="F80" s="135" t="s">
        <v>111</v>
      </c>
      <c r="G80" s="136" t="s">
        <v>111</v>
      </c>
      <c r="H80" s="136" t="str">
        <f>IF(B80="","",SUMIFS('Stock Guide'!$N:$N,'Stock Guide'!$B:$B,B80))</f>
        <v/>
      </c>
      <c r="I80" s="137" t="s">
        <v>111</v>
      </c>
      <c r="J80" s="137" t="s">
        <v>111</v>
      </c>
      <c r="K80" s="134" t="s">
        <v>111</v>
      </c>
      <c r="L80" s="134" t="s">
        <v>111</v>
      </c>
      <c r="M80" s="133"/>
      <c r="N80" s="138" t="s">
        <v>111</v>
      </c>
      <c r="O80" s="138" t="s">
        <v>111</v>
      </c>
      <c r="P80" s="138" t="s">
        <v>111</v>
      </c>
    </row>
    <row r="81" spans="2:16" ht="16.5" customHeight="1" x14ac:dyDescent="0.2">
      <c r="B81" s="131"/>
      <c r="C81" s="132" t="s">
        <v>111</v>
      </c>
      <c r="D81" s="133" t="s">
        <v>111</v>
      </c>
      <c r="E81" s="134" t="s">
        <v>111</v>
      </c>
      <c r="F81" s="135" t="s">
        <v>111</v>
      </c>
      <c r="G81" s="136" t="s">
        <v>111</v>
      </c>
      <c r="H81" s="136" t="str">
        <f>IF(B81="","",SUMIFS('Stock Guide'!$N:$N,'Stock Guide'!$B:$B,B81))</f>
        <v/>
      </c>
      <c r="I81" s="137" t="s">
        <v>111</v>
      </c>
      <c r="J81" s="137" t="s">
        <v>111</v>
      </c>
      <c r="K81" s="134" t="s">
        <v>111</v>
      </c>
      <c r="L81" s="134" t="s">
        <v>111</v>
      </c>
      <c r="M81" s="133"/>
      <c r="N81" s="138" t="s">
        <v>111</v>
      </c>
      <c r="O81" s="138" t="s">
        <v>111</v>
      </c>
      <c r="P81" s="138" t="s">
        <v>111</v>
      </c>
    </row>
    <row r="82" spans="2:16" ht="16.5" customHeight="1" x14ac:dyDescent="0.2">
      <c r="B82" s="131"/>
      <c r="C82" s="132" t="s">
        <v>111</v>
      </c>
      <c r="D82" s="133" t="s">
        <v>111</v>
      </c>
      <c r="E82" s="134" t="s">
        <v>111</v>
      </c>
      <c r="F82" s="135" t="s">
        <v>111</v>
      </c>
      <c r="G82" s="136" t="s">
        <v>111</v>
      </c>
      <c r="H82" s="136" t="str">
        <f>IF(B82="","",SUMIFS('Stock Guide'!$N:$N,'Stock Guide'!$B:$B,B82))</f>
        <v/>
      </c>
      <c r="I82" s="137" t="s">
        <v>111</v>
      </c>
      <c r="J82" s="137" t="s">
        <v>111</v>
      </c>
      <c r="K82" s="134" t="s">
        <v>111</v>
      </c>
      <c r="L82" s="134" t="s">
        <v>111</v>
      </c>
      <c r="M82" s="133"/>
      <c r="N82" s="138" t="s">
        <v>111</v>
      </c>
      <c r="O82" s="138" t="s">
        <v>111</v>
      </c>
      <c r="P82" s="138" t="s">
        <v>111</v>
      </c>
    </row>
    <row r="83" spans="2:16" hidden="1" x14ac:dyDescent="0.2">
      <c r="C83" s="132" t="s">
        <v>111</v>
      </c>
      <c r="D83" s="133" t="s">
        <v>111</v>
      </c>
      <c r="E83" s="134" t="s">
        <v>111</v>
      </c>
      <c r="F83" s="135" t="s">
        <v>111</v>
      </c>
      <c r="G83" s="136" t="s">
        <v>111</v>
      </c>
      <c r="H83" s="136"/>
      <c r="I83" s="137" t="s">
        <v>111</v>
      </c>
      <c r="J83" s="137" t="s">
        <v>111</v>
      </c>
      <c r="K83" s="137" t="s">
        <v>111</v>
      </c>
      <c r="L83" s="134" t="s">
        <v>111</v>
      </c>
      <c r="M83" s="138"/>
      <c r="N83" s="138" t="s">
        <v>111</v>
      </c>
      <c r="O83" s="138" t="s">
        <v>111</v>
      </c>
      <c r="P83" s="138" t="s">
        <v>111</v>
      </c>
    </row>
    <row r="84" spans="2:16" hidden="1" x14ac:dyDescent="0.2">
      <c r="C84" s="132" t="s">
        <v>111</v>
      </c>
      <c r="D84" s="133" t="s">
        <v>111</v>
      </c>
      <c r="E84" s="134" t="s">
        <v>111</v>
      </c>
      <c r="F84" s="135" t="s">
        <v>111</v>
      </c>
      <c r="G84" s="136" t="s">
        <v>111</v>
      </c>
      <c r="H84" s="136"/>
      <c r="I84" s="137" t="s">
        <v>111</v>
      </c>
      <c r="J84" s="137" t="s">
        <v>111</v>
      </c>
      <c r="K84" s="137" t="s">
        <v>111</v>
      </c>
      <c r="L84" s="134" t="s">
        <v>111</v>
      </c>
      <c r="M84" s="138"/>
      <c r="N84" s="138" t="s">
        <v>111</v>
      </c>
      <c r="O84" s="138" t="s">
        <v>111</v>
      </c>
      <c r="P84" s="138" t="s">
        <v>111</v>
      </c>
    </row>
    <row r="85" spans="2:16" hidden="1" x14ac:dyDescent="0.2">
      <c r="C85" s="132" t="s">
        <v>111</v>
      </c>
      <c r="D85" s="133" t="s">
        <v>111</v>
      </c>
      <c r="E85" s="134" t="s">
        <v>111</v>
      </c>
      <c r="F85" s="135" t="s">
        <v>111</v>
      </c>
      <c r="G85" s="136" t="s">
        <v>111</v>
      </c>
      <c r="H85" s="136"/>
      <c r="I85" s="137" t="s">
        <v>111</v>
      </c>
      <c r="J85" s="137" t="s">
        <v>111</v>
      </c>
      <c r="K85" s="137" t="s">
        <v>111</v>
      </c>
      <c r="L85" s="134" t="s">
        <v>111</v>
      </c>
      <c r="M85" s="138"/>
      <c r="N85" s="138" t="s">
        <v>111</v>
      </c>
      <c r="O85" s="138" t="s">
        <v>111</v>
      </c>
      <c r="P85" s="138" t="s">
        <v>111</v>
      </c>
    </row>
    <row r="86" spans="2:16" hidden="1" x14ac:dyDescent="0.2">
      <c r="C86" s="132" t="s">
        <v>111</v>
      </c>
      <c r="D86" s="133" t="s">
        <v>111</v>
      </c>
      <c r="E86" s="134" t="s">
        <v>111</v>
      </c>
      <c r="F86" s="135" t="s">
        <v>111</v>
      </c>
      <c r="G86" s="136" t="s">
        <v>111</v>
      </c>
      <c r="H86" s="136"/>
      <c r="I86" s="137" t="s">
        <v>111</v>
      </c>
      <c r="J86" s="137" t="s">
        <v>111</v>
      </c>
      <c r="K86" s="137" t="s">
        <v>111</v>
      </c>
      <c r="L86" s="134" t="s">
        <v>111</v>
      </c>
      <c r="M86" s="138"/>
      <c r="N86" s="138" t="s">
        <v>111</v>
      </c>
      <c r="O86" s="138" t="s">
        <v>111</v>
      </c>
      <c r="P86" s="138" t="s">
        <v>111</v>
      </c>
    </row>
    <row r="87" spans="2:16" hidden="1" x14ac:dyDescent="0.2">
      <c r="C87" s="132" t="s">
        <v>111</v>
      </c>
      <c r="D87" s="133" t="s">
        <v>111</v>
      </c>
      <c r="E87" s="134" t="s">
        <v>111</v>
      </c>
      <c r="F87" s="135" t="s">
        <v>111</v>
      </c>
      <c r="G87" s="136" t="s">
        <v>111</v>
      </c>
      <c r="H87" s="136"/>
      <c r="I87" s="137" t="s">
        <v>111</v>
      </c>
      <c r="J87" s="137" t="s">
        <v>111</v>
      </c>
      <c r="K87" s="137" t="s">
        <v>111</v>
      </c>
      <c r="L87" s="134" t="s">
        <v>111</v>
      </c>
      <c r="M87" s="138"/>
      <c r="N87" s="138" t="s">
        <v>111</v>
      </c>
      <c r="O87" s="138" t="s">
        <v>111</v>
      </c>
      <c r="P87" s="138" t="s">
        <v>111</v>
      </c>
    </row>
    <row r="88" spans="2:16" hidden="1" x14ac:dyDescent="0.2">
      <c r="C88" s="132" t="s">
        <v>111</v>
      </c>
      <c r="D88" s="133" t="s">
        <v>111</v>
      </c>
      <c r="E88" s="134" t="s">
        <v>111</v>
      </c>
      <c r="F88" s="135" t="s">
        <v>111</v>
      </c>
      <c r="G88" s="136" t="s">
        <v>111</v>
      </c>
      <c r="H88" s="136"/>
      <c r="I88" s="137" t="s">
        <v>111</v>
      </c>
      <c r="J88" s="137" t="s">
        <v>111</v>
      </c>
      <c r="K88" s="137" t="s">
        <v>111</v>
      </c>
      <c r="L88" s="134" t="s">
        <v>111</v>
      </c>
      <c r="M88" s="138"/>
      <c r="N88" s="138" t="s">
        <v>111</v>
      </c>
      <c r="O88" s="138" t="s">
        <v>111</v>
      </c>
      <c r="P88" s="138" t="s">
        <v>111</v>
      </c>
    </row>
    <row r="89" spans="2:16" hidden="1" x14ac:dyDescent="0.2">
      <c r="C89" s="132" t="s">
        <v>111</v>
      </c>
      <c r="D89" s="133" t="s">
        <v>111</v>
      </c>
      <c r="E89" s="134" t="s">
        <v>111</v>
      </c>
      <c r="F89" s="135" t="s">
        <v>111</v>
      </c>
      <c r="G89" s="136" t="s">
        <v>111</v>
      </c>
      <c r="H89" s="136"/>
      <c r="I89" s="137" t="s">
        <v>111</v>
      </c>
      <c r="J89" s="137" t="s">
        <v>111</v>
      </c>
      <c r="K89" s="137" t="s">
        <v>111</v>
      </c>
      <c r="L89" s="134" t="s">
        <v>111</v>
      </c>
      <c r="M89" s="138"/>
      <c r="N89" s="138" t="s">
        <v>111</v>
      </c>
      <c r="O89" s="138" t="s">
        <v>111</v>
      </c>
      <c r="P89" s="138" t="s">
        <v>111</v>
      </c>
    </row>
    <row r="90" spans="2:16" hidden="1" x14ac:dyDescent="0.2">
      <c r="C90" s="132" t="s">
        <v>111</v>
      </c>
      <c r="D90" s="133" t="s">
        <v>111</v>
      </c>
      <c r="E90" s="134" t="s">
        <v>111</v>
      </c>
      <c r="F90" s="135" t="s">
        <v>111</v>
      </c>
      <c r="G90" s="136" t="s">
        <v>111</v>
      </c>
      <c r="H90" s="136"/>
      <c r="I90" s="137" t="s">
        <v>111</v>
      </c>
      <c r="J90" s="137" t="s">
        <v>111</v>
      </c>
      <c r="K90" s="137" t="s">
        <v>111</v>
      </c>
      <c r="L90" s="134" t="s">
        <v>111</v>
      </c>
      <c r="M90" s="138"/>
      <c r="N90" s="138" t="s">
        <v>111</v>
      </c>
      <c r="O90" s="138" t="s">
        <v>111</v>
      </c>
      <c r="P90" s="138" t="s">
        <v>111</v>
      </c>
    </row>
    <row r="91" spans="2:16" hidden="1" x14ac:dyDescent="0.2">
      <c r="C91" s="132" t="s">
        <v>111</v>
      </c>
      <c r="D91" s="133" t="s">
        <v>111</v>
      </c>
      <c r="E91" s="134" t="s">
        <v>111</v>
      </c>
      <c r="F91" s="135" t="s">
        <v>111</v>
      </c>
      <c r="G91" s="136" t="s">
        <v>111</v>
      </c>
      <c r="H91" s="136"/>
      <c r="I91" s="137" t="s">
        <v>111</v>
      </c>
      <c r="J91" s="137" t="s">
        <v>111</v>
      </c>
      <c r="K91" s="137" t="s">
        <v>111</v>
      </c>
      <c r="L91" s="134" t="s">
        <v>111</v>
      </c>
      <c r="M91" s="138"/>
      <c r="N91" s="138" t="s">
        <v>111</v>
      </c>
      <c r="O91" s="138" t="s">
        <v>111</v>
      </c>
      <c r="P91" s="138" t="s">
        <v>111</v>
      </c>
    </row>
    <row r="92" spans="2:16" hidden="1" x14ac:dyDescent="0.2">
      <c r="C92" s="132" t="s">
        <v>111</v>
      </c>
      <c r="D92" s="133" t="s">
        <v>111</v>
      </c>
      <c r="E92" s="134" t="s">
        <v>111</v>
      </c>
      <c r="F92" s="135" t="s">
        <v>111</v>
      </c>
      <c r="G92" s="136" t="s">
        <v>111</v>
      </c>
      <c r="H92" s="136"/>
      <c r="I92" s="137" t="s">
        <v>111</v>
      </c>
      <c r="J92" s="137" t="s">
        <v>111</v>
      </c>
      <c r="K92" s="137" t="s">
        <v>111</v>
      </c>
      <c r="L92" s="134" t="s">
        <v>111</v>
      </c>
      <c r="M92" s="138"/>
      <c r="N92" s="138" t="s">
        <v>111</v>
      </c>
      <c r="O92" s="138" t="s">
        <v>111</v>
      </c>
      <c r="P92" s="138" t="s">
        <v>111</v>
      </c>
    </row>
    <row r="93" spans="2:16" hidden="1" x14ac:dyDescent="0.2">
      <c r="C93" s="132" t="s">
        <v>111</v>
      </c>
      <c r="D93" s="133" t="s">
        <v>111</v>
      </c>
      <c r="E93" s="134" t="s">
        <v>111</v>
      </c>
      <c r="F93" s="135" t="s">
        <v>111</v>
      </c>
      <c r="G93" s="136" t="s">
        <v>111</v>
      </c>
      <c r="H93" s="136"/>
      <c r="I93" s="137" t="s">
        <v>111</v>
      </c>
      <c r="J93" s="137" t="s">
        <v>111</v>
      </c>
      <c r="K93" s="137" t="s">
        <v>111</v>
      </c>
      <c r="L93" s="134" t="s">
        <v>111</v>
      </c>
      <c r="M93" s="138"/>
      <c r="N93" s="138" t="s">
        <v>111</v>
      </c>
      <c r="O93" s="138" t="s">
        <v>111</v>
      </c>
      <c r="P93" s="138" t="s">
        <v>111</v>
      </c>
    </row>
    <row r="94" spans="2:16" hidden="1" x14ac:dyDescent="0.2">
      <c r="C94" s="132" t="s">
        <v>111</v>
      </c>
      <c r="D94" s="133" t="s">
        <v>111</v>
      </c>
      <c r="E94" s="134" t="s">
        <v>111</v>
      </c>
      <c r="F94" s="135" t="s">
        <v>111</v>
      </c>
      <c r="G94" s="136" t="s">
        <v>111</v>
      </c>
      <c r="H94" s="136"/>
      <c r="I94" s="137" t="s">
        <v>111</v>
      </c>
      <c r="J94" s="137" t="s">
        <v>111</v>
      </c>
      <c r="K94" s="137" t="s">
        <v>111</v>
      </c>
      <c r="L94" s="134" t="s">
        <v>111</v>
      </c>
      <c r="M94" s="138"/>
      <c r="N94" s="138" t="s">
        <v>111</v>
      </c>
      <c r="O94" s="138" t="s">
        <v>111</v>
      </c>
      <c r="P94" s="138" t="s">
        <v>111</v>
      </c>
    </row>
    <row r="95" spans="2:16" hidden="1" x14ac:dyDescent="0.2">
      <c r="C95" s="132" t="s">
        <v>111</v>
      </c>
      <c r="D95" s="133" t="s">
        <v>111</v>
      </c>
      <c r="E95" s="134" t="s">
        <v>111</v>
      </c>
      <c r="F95" s="135" t="s">
        <v>111</v>
      </c>
      <c r="G95" s="136" t="s">
        <v>111</v>
      </c>
      <c r="H95" s="136"/>
      <c r="I95" s="137" t="s">
        <v>111</v>
      </c>
      <c r="J95" s="137" t="s">
        <v>111</v>
      </c>
      <c r="K95" s="137" t="s">
        <v>111</v>
      </c>
      <c r="L95" s="134" t="s">
        <v>111</v>
      </c>
      <c r="M95" s="138"/>
      <c r="N95" s="138" t="s">
        <v>111</v>
      </c>
      <c r="O95" s="138" t="s">
        <v>111</v>
      </c>
      <c r="P95" s="138" t="s">
        <v>111</v>
      </c>
    </row>
    <row r="96" spans="2:16" hidden="1" x14ac:dyDescent="0.2">
      <c r="C96" s="132" t="s">
        <v>111</v>
      </c>
      <c r="D96" s="133" t="s">
        <v>111</v>
      </c>
      <c r="E96" s="134" t="s">
        <v>111</v>
      </c>
      <c r="F96" s="135" t="s">
        <v>111</v>
      </c>
      <c r="G96" s="136" t="s">
        <v>111</v>
      </c>
      <c r="H96" s="136"/>
      <c r="I96" s="137" t="s">
        <v>111</v>
      </c>
      <c r="J96" s="137" t="s">
        <v>111</v>
      </c>
      <c r="K96" s="137" t="s">
        <v>111</v>
      </c>
      <c r="L96" s="134" t="s">
        <v>111</v>
      </c>
      <c r="M96" s="138"/>
      <c r="N96" s="138" t="s">
        <v>111</v>
      </c>
      <c r="O96" s="138" t="s">
        <v>111</v>
      </c>
      <c r="P96" s="138" t="s">
        <v>111</v>
      </c>
    </row>
    <row r="97" spans="3:16" hidden="1" x14ac:dyDescent="0.2">
      <c r="C97" s="132" t="s">
        <v>111</v>
      </c>
      <c r="D97" s="133" t="s">
        <v>111</v>
      </c>
      <c r="E97" s="134" t="s">
        <v>111</v>
      </c>
      <c r="F97" s="135" t="s">
        <v>111</v>
      </c>
      <c r="G97" s="136" t="s">
        <v>111</v>
      </c>
      <c r="H97" s="136"/>
      <c r="I97" s="137" t="s">
        <v>111</v>
      </c>
      <c r="J97" s="137" t="s">
        <v>111</v>
      </c>
      <c r="K97" s="137" t="s">
        <v>111</v>
      </c>
      <c r="L97" s="134" t="s">
        <v>111</v>
      </c>
      <c r="M97" s="138"/>
      <c r="N97" s="138" t="s">
        <v>111</v>
      </c>
      <c r="O97" s="138" t="s">
        <v>111</v>
      </c>
      <c r="P97" s="138" t="s">
        <v>111</v>
      </c>
    </row>
    <row r="98" spans="3:16" hidden="1" x14ac:dyDescent="0.2">
      <c r="C98" s="132" t="s">
        <v>111</v>
      </c>
      <c r="D98" s="132"/>
      <c r="E98" s="133" t="s">
        <v>111</v>
      </c>
      <c r="F98" s="135" t="s">
        <v>111</v>
      </c>
      <c r="G98" s="136" t="s">
        <v>111</v>
      </c>
      <c r="H98" s="136"/>
      <c r="I98" s="136" t="s">
        <v>111</v>
      </c>
      <c r="J98" s="137" t="s">
        <v>111</v>
      </c>
      <c r="K98" s="137" t="s">
        <v>111</v>
      </c>
      <c r="L98" s="134"/>
      <c r="M98" s="138"/>
      <c r="N98" s="138" t="s">
        <v>111</v>
      </c>
      <c r="O98" s="138" t="s">
        <v>111</v>
      </c>
      <c r="P98" s="138" t="s">
        <v>111</v>
      </c>
    </row>
  </sheetData>
  <autoFilter ref="B9:P9" xr:uid="{D9F259A2-2C7E-4C8F-AD79-0A6A6BC92F44}"/>
  <mergeCells count="4">
    <mergeCell ref="B4:C4"/>
    <mergeCell ref="B6:C6"/>
    <mergeCell ref="B7:C7"/>
    <mergeCell ref="B8:C8"/>
  </mergeCells>
  <conditionalFormatting sqref="O83:P98">
    <cfRule type="cellIs" dxfId="63" priority="41" operator="lessThan">
      <formula>0</formula>
    </cfRule>
    <cfRule type="cellIs" dxfId="62" priority="42" operator="greaterThan">
      <formula>0</formula>
    </cfRule>
  </conditionalFormatting>
  <conditionalFormatting sqref="N83:N98">
    <cfRule type="cellIs" dxfId="61" priority="39" operator="lessThan">
      <formula>0</formula>
    </cfRule>
    <cfRule type="cellIs" dxfId="60" priority="40" operator="greaterThan">
      <formula>0</formula>
    </cfRule>
  </conditionalFormatting>
  <conditionalFormatting sqref="N10:O69">
    <cfRule type="cellIs" dxfId="59" priority="31" operator="lessThan">
      <formula>0</formula>
    </cfRule>
    <cfRule type="cellIs" dxfId="58" priority="32" operator="greaterThan">
      <formula>0</formula>
    </cfRule>
  </conditionalFormatting>
  <conditionalFormatting sqref="N8:P8">
    <cfRule type="cellIs" dxfId="57" priority="7" operator="lessThan">
      <formula>0</formula>
    </cfRule>
    <cfRule type="cellIs" dxfId="56" priority="8" operator="greaterThan">
      <formula>0</formula>
    </cfRule>
  </conditionalFormatting>
  <conditionalFormatting sqref="P10:P69">
    <cfRule type="cellIs" dxfId="55" priority="5" operator="lessThan">
      <formula>0</formula>
    </cfRule>
    <cfRule type="cellIs" dxfId="54" priority="6" operator="greaterThan">
      <formula>0</formula>
    </cfRule>
  </conditionalFormatting>
  <conditionalFormatting sqref="N70:O82">
    <cfRule type="cellIs" dxfId="53" priority="3" operator="lessThan">
      <formula>0</formula>
    </cfRule>
    <cfRule type="cellIs" dxfId="52" priority="4" operator="greaterThan">
      <formula>0</formula>
    </cfRule>
  </conditionalFormatting>
  <conditionalFormatting sqref="P70:P82">
    <cfRule type="cellIs" dxfId="51" priority="1" operator="lessThan">
      <formula>0</formula>
    </cfRule>
    <cfRule type="cellIs" dxfId="50" priority="2" operator="greaterThan">
      <formula>0</formula>
    </cfRule>
  </conditionalFormatting>
  <hyperlinks>
    <hyperlink ref="O2" location="Menu!A1" display="Menu" xr:uid="{1F7DA4CC-C38B-4FB7-8F58-19B440B40032}"/>
    <hyperlink ref="P2" location="'Stock Guide'!A1" display="Stock Guide" xr:uid="{8948B806-5449-462F-A370-336187222711}"/>
  </hyperlinks>
  <pageMargins left="0.7" right="0.7" top="0.75" bottom="0.75" header="0.3" footer="0.3"/>
  <pageSetup fitToWidth="9"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6C7A2-CCF5-4EBC-9BA9-E915EA2B0B68}">
  <sheetPr codeName="Sheet12">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11"/>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Hospital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25</v>
      </c>
      <c r="C8" s="271"/>
      <c r="D8" s="170" t="s">
        <v>44</v>
      </c>
      <c r="E8" s="57">
        <f>SUMIFS('Stock Guide'!$H:$H,'Stock Guide'!$G:$G,B8)</f>
        <v>0</v>
      </c>
      <c r="F8" s="171">
        <f>AVERAGEIFS('Stock Guide'!I:I,'Stock Guide'!$G:$G,B8)</f>
        <v>84129.428151500004</v>
      </c>
      <c r="G8" s="171">
        <f>AVERAGEIFS('Stock Guide'!$M:$M,'Stock Guide'!$G:$G,B8)</f>
        <v>138577684.44</v>
      </c>
      <c r="H8" s="171">
        <f>AVERAGEIFS('Stock Guide'!$N:$N,'Stock Guide'!$G:$G,B8)</f>
        <v>196694660.595</v>
      </c>
      <c r="I8" s="172">
        <f>AVERAGEIFS('Stock Guide'!$O:$O,'Stock Guide'!$G:$G,B8)</f>
        <v>0.76187257400198005</v>
      </c>
      <c r="J8" s="172">
        <f>AVERAGEIFS('Stock Guide'!$P:$P,'Stock Guide'!$G:$G,B8)</f>
        <v>0.89906374617499996</v>
      </c>
      <c r="K8" s="57">
        <f>AVERAGEIFS('Stock Guide'!$Q:$Q,'Stock Guide'!$G:$G,B8)</f>
        <v>0.18646703269999998</v>
      </c>
      <c r="L8" s="57">
        <f>AVERAGEIFS('Stock Guide'!$R:$R,'Stock Guide'!$G:$G,B8)</f>
        <v>0.18203341373196816</v>
      </c>
      <c r="M8" s="170" t="s">
        <v>44</v>
      </c>
      <c r="N8" s="57">
        <f>AVERAGEIFS('Stock Guide'!$U:$U,'Stock Guide'!$G:$G,$B8)</f>
        <v>2.4421104363649998E-2</v>
      </c>
      <c r="O8" s="57">
        <f>AVERAGEIFS('Stock Guide'!$V:$V,'Stock Guide'!$G:$G,$B8)</f>
        <v>2.3040190150000125E-4</v>
      </c>
      <c r="P8" s="57">
        <f>AVERAGEIFS('Stock Guide'!$W:$W,'Stock Guide'!$G:$G,$B8)</f>
        <v>0.274419529775</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484</v>
      </c>
      <c r="C10" s="132" t="str">
        <f>IF(B10="","",(VLOOKUP(B10,'Stock Guide'!$B:$D,3,0)))</f>
        <v xml:space="preserve">FII Hospital da Criança </v>
      </c>
      <c r="D10" s="133">
        <f>IF(B10="","",SUMIFS('Stock Guide'!$J:$J,'Stock Guide'!$B:$B,B10))</f>
        <v>279.5</v>
      </c>
      <c r="E10" s="134">
        <f>IF(B10="","",SUMIFS('Stock Guide'!$H:$H,'Stock Guide'!$B:$B,B10))</f>
        <v>0</v>
      </c>
      <c r="F10" s="135">
        <f>IF(B10="","",SUMIFS('Stock Guide'!I:I,'Stock Guide'!$B:$B,B10))</f>
        <v>37732.930923</v>
      </c>
      <c r="G10" s="136">
        <f>IF(B10="","",SUMIFS('Stock Guide'!$M:$M,'Stock Guide'!$B:$B,B10))</f>
        <v>55900000</v>
      </c>
      <c r="H10" s="136">
        <f>IF(B10="","",SUMIFS('Stock Guide'!$N:$N,'Stock Guide'!$B:$B,B10))</f>
        <v>65911171.509999998</v>
      </c>
      <c r="I10" s="137">
        <f>IF(B10="","",SUMIFS('Stock Guide'!$O:$O,'Stock Guide'!$B:$B,B10))</f>
        <v>0.84811115808370796</v>
      </c>
      <c r="J10" s="137">
        <f>IF(B10="","",SUMIFS('Stock Guide'!$P:$P,'Stock Guide'!$B:$B,B10))</f>
        <v>1.0311693032</v>
      </c>
      <c r="K10" s="134">
        <f>IF(B10="","",SUMIFS('Stock Guide'!$Q:$Q,'Stock Guide'!$B:$B,B10))</f>
        <v>0.18171962222999999</v>
      </c>
      <c r="L10" s="134">
        <f>IF(B10="","",SUMIFS('Stock Guide'!$R:$R,'Stock Guide'!$B:$B,B10))</f>
        <v>0.10948121731663685</v>
      </c>
      <c r="M10" s="133">
        <f>IF(B10="","",SUMIFS('Stock Guide'!$T:$T,'Stock Guide'!$B:$B,B10))</f>
        <v>2.5500000200000001</v>
      </c>
      <c r="N10" s="138">
        <f>IFERROR(IF(B10="","",AVERAGEIFS('Stock Guide'!$U:$U,'Stock Guide'!$B:$B,B10)),"-")</f>
        <v>4.5031022685999997E-2</v>
      </c>
      <c r="O10" s="138">
        <f>IFERROR(IF(B10="","",AVERAGEIFS('Stock Guide'!$V:$V,'Stock Guide'!$B:$B,B10)),"-")</f>
        <v>5.4640544800000003E-2</v>
      </c>
      <c r="P10" s="138">
        <f>IFERROR(IF(B10="","",AVERAGEIFS('Stock Guide'!$W:$W,'Stock Guide'!$B:$B,B10)),"-")</f>
        <v>0.29712592913000002</v>
      </c>
    </row>
    <row r="11" spans="1:16" ht="16.5" customHeight="1" x14ac:dyDescent="0.2">
      <c r="B11" s="131" t="s">
        <v>592</v>
      </c>
      <c r="C11" s="132" t="str">
        <f>IF(B11="","",(VLOOKUP(B11,'Stock Guide'!$B:$D,3,0)))</f>
        <v>FII Hospital Nossa Senhor</v>
      </c>
      <c r="D11" s="133">
        <f>IF(B11="","",SUMIFS('Stock Guide'!$J:$J,'Stock Guide'!$B:$B,B11))</f>
        <v>171.08</v>
      </c>
      <c r="E11" s="134">
        <f>IF(B11="","",SUMIFS('Stock Guide'!$H:$H,'Stock Guide'!$B:$B,B11))</f>
        <v>0</v>
      </c>
      <c r="F11" s="135">
        <f>IF(B11="","",SUMIFS('Stock Guide'!I:I,'Stock Guide'!$B:$B,B11))</f>
        <v>130525.92538</v>
      </c>
      <c r="G11" s="136">
        <f>IF(B11="","",SUMIFS('Stock Guide'!$M:$M,'Stock Guide'!$B:$B,B11))</f>
        <v>221255368.88</v>
      </c>
      <c r="H11" s="136">
        <f>IF(B11="","",SUMIFS('Stock Guide'!$N:$N,'Stock Guide'!$B:$B,B11))</f>
        <v>327478149.68000001</v>
      </c>
      <c r="I11" s="137">
        <f>IF(B11="","",SUMIFS('Stock Guide'!$O:$O,'Stock Guide'!$B:$B,B11))</f>
        <v>0.67563398992025225</v>
      </c>
      <c r="J11" s="137">
        <f>IF(B11="","",SUMIFS('Stock Guide'!$P:$P,'Stock Guide'!$B:$B,B11))</f>
        <v>0.76695818915000002</v>
      </c>
      <c r="K11" s="134">
        <f>IF(B11="","",SUMIFS('Stock Guide'!$Q:$Q,'Stock Guide'!$B:$B,B11))</f>
        <v>0.19121444317</v>
      </c>
      <c r="L11" s="134">
        <f>IF(B11="","",SUMIFS('Stock Guide'!$R:$R,'Stock Guide'!$B:$B,B11))</f>
        <v>0.25458561014729947</v>
      </c>
      <c r="M11" s="133">
        <f>IF(B11="","",SUMIFS('Stock Guide'!$T:$T,'Stock Guide'!$B:$B,B11))</f>
        <v>3.6295421819999998</v>
      </c>
      <c r="N11" s="138">
        <f>IFERROR(IF(B11="","",AVERAGEIFS('Stock Guide'!$U:$U,'Stock Guide'!$B:$B,B11)),"-")</f>
        <v>3.8111860413000001E-3</v>
      </c>
      <c r="O11" s="138">
        <f>IFERROR(IF(B11="","",AVERAGEIFS('Stock Guide'!$V:$V,'Stock Guide'!$B:$B,B11)),"-")</f>
        <v>-5.4179740997E-2</v>
      </c>
      <c r="P11" s="138">
        <f>IFERROR(IF(B11="","",AVERAGEIFS('Stock Guide'!$W:$W,'Stock Guide'!$B:$B,B11)),"-")</f>
        <v>0.25171313041999999</v>
      </c>
    </row>
    <row r="12" spans="1:16" ht="16.5" customHeight="1" x14ac:dyDescent="0.2">
      <c r="B12" s="131"/>
      <c r="C12" s="132" t="str">
        <f>IF(B12="","",(VLOOKUP(B12,'Stock Guide'!$B:$D,3,0)))</f>
        <v/>
      </c>
      <c r="D12" s="133" t="str">
        <f>IF(B12="","",SUMIFS('Stock Guide'!$J:$J,'Stock Guide'!$B:$B,B12))</f>
        <v/>
      </c>
      <c r="E12" s="134" t="str">
        <f>IF(B12="","",SUMIFS('Stock Guide'!$H:$H,'Stock Guide'!$B:$B,B12))</f>
        <v/>
      </c>
      <c r="F12" s="135" t="str">
        <f>IF(B12="","",SUMIFS('Stock Guide'!I:I,'Stock Guide'!$B:$B,B12))</f>
        <v/>
      </c>
      <c r="G12" s="136" t="str">
        <f>IF(B12="","",SUMIFS('Stock Guide'!$M:$M,'Stock Guide'!$B:$B,B12))</f>
        <v/>
      </c>
      <c r="H12" s="136" t="str">
        <f>IF(B12="","",SUMIFS('Stock Guide'!$N:$N,'Stock Guide'!$B:$B,B12))</f>
        <v/>
      </c>
      <c r="I12" s="137" t="str">
        <f>IF(B12="","",SUMIFS('Stock Guide'!$O:$O,'Stock Guide'!$B:$B,B12))</f>
        <v/>
      </c>
      <c r="J12" s="137" t="str">
        <f>IF(B12="","",SUMIFS('Stock Guide'!$P:$P,'Stock Guide'!$B:$B,B12))</f>
        <v/>
      </c>
      <c r="K12" s="134" t="str">
        <f>IF(B12="","",SUMIFS('Stock Guide'!$Q:$Q,'Stock Guide'!$B:$B,B12))</f>
        <v/>
      </c>
      <c r="L12" s="134" t="str">
        <f>IF(B12="","",SUMIFS('Stock Guide'!$R:$R,'Stock Guide'!$B:$B,B12))</f>
        <v/>
      </c>
      <c r="M12" s="133" t="str">
        <f>IF(B12="","",SUMIFS('Stock Guide'!$T:$T,'Stock Guide'!$B:$B,B12))</f>
        <v/>
      </c>
      <c r="N12" s="138" t="str">
        <f>IFERROR(IF(B12="","",AVERAGEIFS('Stock Guide'!$U:$U,'Stock Guide'!$B:$B,B12)),"-")</f>
        <v/>
      </c>
      <c r="O12" s="138" t="str">
        <f>IFERROR(IF(B12="","",AVERAGEIFS('Stock Guide'!$V:$V,'Stock Guide'!$B:$B,B12)),"-")</f>
        <v/>
      </c>
      <c r="P12" s="138" t="str">
        <f>IFERROR(IF(B12="","",AVERAGEIFS('Stock Guide'!$W:$W,'Stock Guide'!$B:$B,B12)),"-")</f>
        <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1866C7A2-CCF5-4EBC-9BA9-E915EA2B0B68}"/>
  <mergeCells count="4">
    <mergeCell ref="B6:C6"/>
    <mergeCell ref="B7:C7"/>
    <mergeCell ref="B4:C4"/>
    <mergeCell ref="B8:C8"/>
  </mergeCells>
  <conditionalFormatting sqref="N10:O69">
    <cfRule type="cellIs" dxfId="49" priority="31" operator="lessThan">
      <formula>0</formula>
    </cfRule>
    <cfRule type="cellIs" dxfId="48" priority="32" operator="greaterThan">
      <formula>0</formula>
    </cfRule>
  </conditionalFormatting>
  <conditionalFormatting sqref="N8:P8">
    <cfRule type="cellIs" dxfId="47" priority="7" operator="lessThan">
      <formula>0</formula>
    </cfRule>
    <cfRule type="cellIs" dxfId="46" priority="8" operator="greaterThan">
      <formula>0</formula>
    </cfRule>
  </conditionalFormatting>
  <conditionalFormatting sqref="P10:P69">
    <cfRule type="cellIs" dxfId="45" priority="5" operator="lessThan">
      <formula>0</formula>
    </cfRule>
    <cfRule type="cellIs" dxfId="44" priority="6" operator="greaterThan">
      <formula>0</formula>
    </cfRule>
  </conditionalFormatting>
  <conditionalFormatting sqref="N70:O82">
    <cfRule type="cellIs" dxfId="43" priority="3" operator="lessThan">
      <formula>0</formula>
    </cfRule>
    <cfRule type="cellIs" dxfId="42" priority="4" operator="greaterThan">
      <formula>0</formula>
    </cfRule>
  </conditionalFormatting>
  <conditionalFormatting sqref="P70:P82">
    <cfRule type="cellIs" dxfId="41" priority="1" operator="lessThan">
      <formula>0</formula>
    </cfRule>
    <cfRule type="cellIs" dxfId="40" priority="2" operator="greaterThan">
      <formula>0</formula>
    </cfRule>
  </conditionalFormatting>
  <hyperlinks>
    <hyperlink ref="O2" location="Menu!A1" display="Menu" xr:uid="{E1AC235A-0706-4BA5-B5DE-EEBB3A7CFB3A}"/>
    <hyperlink ref="P2" location="'Stock Guide'!A1" display="Stock Guide" xr:uid="{190FDA50-DDAF-471F-BF45-F4058A38BB58}"/>
  </hyperlinks>
  <pageMargins left="0.7" right="0.7" top="0.75" bottom="0.75" header="0.3" footer="0.3"/>
  <pageSetup fitToWidth="9"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591F-35E4-484C-B104-F60555E04D49}">
  <sheetPr codeName="Sheet13">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10"/>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1" width="16.7109375" style="86" customWidth="1"/>
    <col min="12"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Hotel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28</v>
      </c>
      <c r="C8" s="271"/>
      <c r="D8" s="170" t="s">
        <v>44</v>
      </c>
      <c r="E8" s="57">
        <f>SUMIFS('Stock Guide'!$H:$H,'Stock Guide'!$G:$G,B8)</f>
        <v>2.65E-3</v>
      </c>
      <c r="F8" s="171">
        <f>AVERAGEIFS('Stock Guide'!I:I,'Stock Guide'!$G:$G,B8)</f>
        <v>458137.14415000001</v>
      </c>
      <c r="G8" s="171">
        <f>AVERAGEIFS('Stock Guide'!$M:$M,'Stock Guide'!$G:$G,B8)</f>
        <v>391654427.33999997</v>
      </c>
      <c r="H8" s="171">
        <f>AVERAGEIFS('Stock Guide'!$N:$N,'Stock Guide'!$G:$G,B8)</f>
        <v>428115267.01999998</v>
      </c>
      <c r="I8" s="172">
        <f>AVERAGEIFS('Stock Guide'!$O:$O,'Stock Guide'!$G:$G,B8)</f>
        <v>0.91483405874825596</v>
      </c>
      <c r="J8" s="172">
        <f>AVERAGEIFS('Stock Guide'!$P:$P,'Stock Guide'!$G:$G,B8)</f>
        <v>0.98994816768000005</v>
      </c>
      <c r="K8" s="57">
        <f>AVERAGEIFS('Stock Guide'!$Q:$Q,'Stock Guide'!$G:$G,B8)</f>
        <v>0.12661308163000001</v>
      </c>
      <c r="L8" s="57">
        <f>AVERAGEIFS('Stock Guide'!$R:$R,'Stock Guide'!$G:$G,B8)</f>
        <v>0.10618685937615219</v>
      </c>
      <c r="M8" s="170" t="s">
        <v>44</v>
      </c>
      <c r="N8" s="57">
        <f>AVERAGEIFS('Stock Guide'!$U:$U,'Stock Guide'!$G:$G,$B8)</f>
        <v>-2.2066777241E-2</v>
      </c>
      <c r="O8" s="57">
        <f>AVERAGEIFS('Stock Guide'!$V:$V,'Stock Guide'!$G:$G,$B8)</f>
        <v>-2.4129604926000001E-2</v>
      </c>
      <c r="P8" s="57">
        <f>AVERAGEIFS('Stock Guide'!$W:$W,'Stock Guide'!$G:$G,$B8)</f>
        <v>0.10230252606</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511</v>
      </c>
      <c r="C10" s="132" t="str">
        <f>IF(B10="","",(VLOOKUP(B10,'Stock Guide'!$B:$D,3,0)))</f>
        <v>FII Hotel Maxinvest</v>
      </c>
      <c r="D10" s="133">
        <f>IF(B10="","",SUMIFS('Stock Guide'!$J:$J,'Stock Guide'!$B:$B,B10))</f>
        <v>135.61000000000001</v>
      </c>
      <c r="E10" s="134">
        <f>IF(B10="","",SUMIFS('Stock Guide'!$H:$H,'Stock Guide'!$B:$B,B10))</f>
        <v>2.65E-3</v>
      </c>
      <c r="F10" s="135">
        <f>IF(B10="","",SUMIFS('Stock Guide'!I:I,'Stock Guide'!$B:$B,B10))</f>
        <v>458137.14415000001</v>
      </c>
      <c r="G10" s="136">
        <f>IF(B10="","",SUMIFS('Stock Guide'!$M:$M,'Stock Guide'!$B:$B,B10))</f>
        <v>391654427.33999997</v>
      </c>
      <c r="H10" s="136">
        <f>IF(B10="","",SUMIFS('Stock Guide'!$N:$N,'Stock Guide'!$B:$B,B10))</f>
        <v>428115267.01999998</v>
      </c>
      <c r="I10" s="137">
        <f>IF(B10="","",SUMIFS('Stock Guide'!$O:$O,'Stock Guide'!$B:$B,B10))</f>
        <v>0.91483405874825596</v>
      </c>
      <c r="J10" s="137">
        <f>IF(B10="","",SUMIFS('Stock Guide'!$P:$P,'Stock Guide'!$B:$B,B10))</f>
        <v>0.98994816768000005</v>
      </c>
      <c r="K10" s="134">
        <f>IF(B10="","",SUMIFS('Stock Guide'!$Q:$Q,'Stock Guide'!$B:$B,B10))</f>
        <v>0.12661308163000001</v>
      </c>
      <c r="L10" s="134">
        <f>IF(B10="","",SUMIFS('Stock Guide'!$R:$R,'Stock Guide'!$B:$B,B10))</f>
        <v>0.10618685937615219</v>
      </c>
      <c r="M10" s="133">
        <f>IF(B10="","",SUMIFS('Stock Guide'!$T:$T,'Stock Guide'!$B:$B,B10))</f>
        <v>1.2</v>
      </c>
      <c r="N10" s="138">
        <f>IFERROR(IF(B10="","",AVERAGEIFS('Stock Guide'!$U:$U,'Stock Guide'!$B:$B,B10)),"-")</f>
        <v>-2.2066777241E-2</v>
      </c>
      <c r="O10" s="138">
        <f>IFERROR(IF(B10="","",AVERAGEIFS('Stock Guide'!$V:$V,'Stock Guide'!$B:$B,B10)),"-")</f>
        <v>-2.4129604926000001E-2</v>
      </c>
      <c r="P10" s="138">
        <f>IFERROR(IF(B10="","",AVERAGEIFS('Stock Guide'!$W:$W,'Stock Guide'!$B:$B,B10)),"-")</f>
        <v>0.10230252606</v>
      </c>
    </row>
    <row r="11" spans="1:16" ht="16.5" customHeight="1" x14ac:dyDescent="0.2">
      <c r="B11" s="131"/>
      <c r="C11" s="132" t="str">
        <f>IF(B11="","",(VLOOKUP(B11,'Stock Guide'!$B:$D,3,0)))</f>
        <v/>
      </c>
      <c r="D11" s="133" t="str">
        <f>IF(B11="","",SUMIFS('Stock Guide'!$J:$J,'Stock Guide'!$B:$B,B11))</f>
        <v/>
      </c>
      <c r="E11" s="134" t="str">
        <f>IF(B11="","",SUMIFS('Stock Guide'!$H:$H,'Stock Guide'!$B:$B,B11))</f>
        <v/>
      </c>
      <c r="F11" s="135" t="str">
        <f>IF(B11="","",SUMIFS('Stock Guide'!I:I,'Stock Guide'!$B:$B,B11))</f>
        <v/>
      </c>
      <c r="G11" s="136" t="str">
        <f>IF(B11="","",SUMIFS('Stock Guide'!$M:$M,'Stock Guide'!$B:$B,B11))</f>
        <v/>
      </c>
      <c r="H11" s="136" t="str">
        <f>IF(B11="","",SUMIFS('Stock Guide'!$N:$N,'Stock Guide'!$B:$B,B11))</f>
        <v/>
      </c>
      <c r="I11" s="137" t="str">
        <f>IF(B11="","",SUMIFS('Stock Guide'!$O:$O,'Stock Guide'!$B:$B,B11))</f>
        <v/>
      </c>
      <c r="J11" s="137" t="str">
        <f>IF(B11="","",SUMIFS('Stock Guide'!$P:$P,'Stock Guide'!$B:$B,B11))</f>
        <v/>
      </c>
      <c r="K11" s="134" t="str">
        <f>IF(B11="","",SUMIFS('Stock Guide'!$Q:$Q,'Stock Guide'!$B:$B,B11))</f>
        <v/>
      </c>
      <c r="L11" s="134" t="str">
        <f>IF(B11="","",SUMIFS('Stock Guide'!$R:$R,'Stock Guide'!$B:$B,B11))</f>
        <v/>
      </c>
      <c r="M11" s="133" t="str">
        <f>IF(B11="","",SUMIFS('Stock Guide'!$T:$T,'Stock Guide'!$B:$B,B11))</f>
        <v/>
      </c>
      <c r="N11" s="138" t="str">
        <f>IFERROR(IF(B11="","",AVERAGEIFS('Stock Guide'!$U:$U,'Stock Guide'!$B:$B,B11)),"-")</f>
        <v/>
      </c>
      <c r="O11" s="138" t="str">
        <f>IFERROR(IF(B11="","",AVERAGEIFS('Stock Guide'!$V:$V,'Stock Guide'!$B:$B,B11)),"-")</f>
        <v/>
      </c>
      <c r="P11" s="138" t="str">
        <f>IFERROR(IF(B11="","",AVERAGEIFS('Stock Guide'!$W:$W,'Stock Guide'!$B:$B,B11)),"-")</f>
        <v/>
      </c>
    </row>
    <row r="12" spans="1:16" ht="16.5" customHeight="1" x14ac:dyDescent="0.2">
      <c r="B12" s="131"/>
      <c r="C12" s="132" t="str">
        <f>IF(B12="","",(VLOOKUP(B12,'Stock Guide'!$B:$D,3,0)))</f>
        <v/>
      </c>
      <c r="D12" s="133" t="str">
        <f>IF(B12="","",SUMIFS('Stock Guide'!$J:$J,'Stock Guide'!$B:$B,B12))</f>
        <v/>
      </c>
      <c r="E12" s="134" t="str">
        <f>IF(B12="","",SUMIFS('Stock Guide'!$H:$H,'Stock Guide'!$B:$B,B12))</f>
        <v/>
      </c>
      <c r="F12" s="135" t="str">
        <f>IF(B12="","",SUMIFS('Stock Guide'!I:I,'Stock Guide'!$B:$B,B12))</f>
        <v/>
      </c>
      <c r="G12" s="136" t="str">
        <f>IF(B12="","",SUMIFS('Stock Guide'!$M:$M,'Stock Guide'!$B:$B,B12))</f>
        <v/>
      </c>
      <c r="H12" s="136" t="str">
        <f>IF(B12="","",SUMIFS('Stock Guide'!$N:$N,'Stock Guide'!$B:$B,B12))</f>
        <v/>
      </c>
      <c r="I12" s="137" t="str">
        <f>IF(B12="","",SUMIFS('Stock Guide'!$O:$O,'Stock Guide'!$B:$B,B12))</f>
        <v/>
      </c>
      <c r="J12" s="137" t="str">
        <f>IF(B12="","",SUMIFS('Stock Guide'!$P:$P,'Stock Guide'!$B:$B,B12))</f>
        <v/>
      </c>
      <c r="K12" s="134" t="str">
        <f>IF(B12="","",SUMIFS('Stock Guide'!$Q:$Q,'Stock Guide'!$B:$B,B12))</f>
        <v/>
      </c>
      <c r="L12" s="134" t="str">
        <f>IF(B12="","",SUMIFS('Stock Guide'!$R:$R,'Stock Guide'!$B:$B,B12))</f>
        <v/>
      </c>
      <c r="M12" s="133" t="str">
        <f>IF(B12="","",SUMIFS('Stock Guide'!$T:$T,'Stock Guide'!$B:$B,B12))</f>
        <v/>
      </c>
      <c r="N12" s="138" t="str">
        <f>IFERROR(IF(B12="","",AVERAGEIFS('Stock Guide'!$U:$U,'Stock Guide'!$B:$B,B12)),"-")</f>
        <v/>
      </c>
      <c r="O12" s="138" t="str">
        <f>IFERROR(IF(B12="","",AVERAGEIFS('Stock Guide'!$V:$V,'Stock Guide'!$B:$B,B12)),"-")</f>
        <v/>
      </c>
      <c r="P12" s="138" t="str">
        <f>IFERROR(IF(B12="","",AVERAGEIFS('Stock Guide'!$W:$W,'Stock Guide'!$B:$B,B12)),"-")</f>
        <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0D2E591F-35E4-484C-B104-F60555E04D49}"/>
  <mergeCells count="4">
    <mergeCell ref="B6:C6"/>
    <mergeCell ref="B8:C8"/>
    <mergeCell ref="B4:C4"/>
    <mergeCell ref="B7:C7"/>
  </mergeCells>
  <conditionalFormatting sqref="N10:O69">
    <cfRule type="cellIs" dxfId="39" priority="31" operator="lessThan">
      <formula>0</formula>
    </cfRule>
    <cfRule type="cellIs" dxfId="38" priority="32" operator="greaterThan">
      <formula>0</formula>
    </cfRule>
  </conditionalFormatting>
  <conditionalFormatting sqref="N8:P8">
    <cfRule type="cellIs" dxfId="37" priority="7" operator="lessThan">
      <formula>0</formula>
    </cfRule>
    <cfRule type="cellIs" dxfId="36" priority="8" operator="greaterThan">
      <formula>0</formula>
    </cfRule>
  </conditionalFormatting>
  <conditionalFormatting sqref="P10:P69">
    <cfRule type="cellIs" dxfId="35" priority="5" operator="lessThan">
      <formula>0</formula>
    </cfRule>
    <cfRule type="cellIs" dxfId="34" priority="6" operator="greaterThan">
      <formula>0</formula>
    </cfRule>
  </conditionalFormatting>
  <conditionalFormatting sqref="N70:O82">
    <cfRule type="cellIs" dxfId="33" priority="3" operator="lessThan">
      <formula>0</formula>
    </cfRule>
    <cfRule type="cellIs" dxfId="32" priority="4" operator="greaterThan">
      <formula>0</formula>
    </cfRule>
  </conditionalFormatting>
  <conditionalFormatting sqref="P70:P82">
    <cfRule type="cellIs" dxfId="31" priority="1" operator="lessThan">
      <formula>0</formula>
    </cfRule>
    <cfRule type="cellIs" dxfId="30" priority="2" operator="greaterThan">
      <formula>0</formula>
    </cfRule>
  </conditionalFormatting>
  <hyperlinks>
    <hyperlink ref="O2" location="Menu!A1" display="Menu" xr:uid="{C62998E0-8003-43BE-907E-2CF5B644BE4E}"/>
    <hyperlink ref="P2" location="'Stock Guide'!A1" display="Stock Guide" xr:uid="{99E409DE-FD24-454C-BBD1-A81F63EEDA6A}"/>
  </hyperlinks>
  <pageMargins left="0.7" right="0.7" top="0.75" bottom="0.75" header="0.3" footer="0.3"/>
  <pageSetup fitToWidth="9"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A5CB-0029-4473-B9E4-E1D78F497C86}">
  <sheetPr codeName="Sheet10">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12"/>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Residencial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30</v>
      </c>
      <c r="C8" s="271"/>
      <c r="D8" s="170" t="s">
        <v>44</v>
      </c>
      <c r="E8" s="57">
        <f>SUMIFS('Stock Guide'!$H:$H,'Stock Guide'!$G:$G,B8)</f>
        <v>0</v>
      </c>
      <c r="F8" s="171">
        <f>AVERAGEIFS('Stock Guide'!I:I,'Stock Guide'!$G:$G,B8)</f>
        <v>90714.567027000012</v>
      </c>
      <c r="G8" s="171">
        <f>AVERAGEIFS('Stock Guide'!$M:$M,'Stock Guide'!$G:$G,B8)</f>
        <v>91698155.439999998</v>
      </c>
      <c r="H8" s="171">
        <f>AVERAGEIFS('Stock Guide'!$N:$N,'Stock Guide'!$G:$G,B8)</f>
        <v>166029894.57333335</v>
      </c>
      <c r="I8" s="172">
        <f>AVERAGEIFS('Stock Guide'!$O:$O,'Stock Guide'!$G:$G,B8)</f>
        <v>0.55623794526609327</v>
      </c>
      <c r="J8" s="172">
        <f>AVERAGEIFS('Stock Guide'!$P:$P,'Stock Guide'!$G:$G,B8)</f>
        <v>0.6368804441</v>
      </c>
      <c r="K8" s="57">
        <f>AVERAGEIFS('Stock Guide'!$Q:$Q,'Stock Guide'!$G:$G,B8)</f>
        <v>9.814250295733333E-2</v>
      </c>
      <c r="L8" s="57">
        <f>AVERAGEIFS('Stock Guide'!$R:$R,'Stock Guide'!$G:$G,B8)</f>
        <v>0.10101127537167036</v>
      </c>
      <c r="M8" s="170" t="s">
        <v>44</v>
      </c>
      <c r="N8" s="57">
        <f>AVERAGEIFS('Stock Guide'!$U:$U,'Stock Guide'!$G:$G,$B8)</f>
        <v>6.6340762143000014E-3</v>
      </c>
      <c r="O8" s="57">
        <f>AVERAGEIFS('Stock Guide'!$V:$V,'Stock Guide'!$G:$G,$B8)</f>
        <v>-8.9378632165000013E-2</v>
      </c>
      <c r="P8" s="57">
        <f>AVERAGEIFS('Stock Guide'!$W:$W,'Stock Guide'!$G:$G,$B8)</f>
        <v>5.6502602935E-2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522</v>
      </c>
      <c r="C10" s="132" t="str">
        <f>IF(B10="","",(VLOOKUP(B10,'Stock Guide'!$B:$D,3,0)))</f>
        <v>Inter Residence FII</v>
      </c>
      <c r="D10" s="133">
        <f>IF(B10="","",SUMIFS('Stock Guide'!$J:$J,'Stock Guide'!$B:$B,B10))</f>
        <v>72.53</v>
      </c>
      <c r="E10" s="134">
        <f>IF(B10="","",SUMIFS('Stock Guide'!$H:$H,'Stock Guide'!$B:$B,B10))</f>
        <v>0</v>
      </c>
      <c r="F10" s="135">
        <f>IF(B10="","",SUMIFS('Stock Guide'!I:I,'Stock Guide'!$B:$B,B10))</f>
        <v>77781.601385000002</v>
      </c>
      <c r="G10" s="136">
        <f>IF(B10="","",SUMIFS('Stock Guide'!$M:$M,'Stock Guide'!$B:$B,B10))</f>
        <v>81876941.099999994</v>
      </c>
      <c r="H10" s="136">
        <f>IF(B10="","",SUMIFS('Stock Guide'!$N:$N,'Stock Guide'!$B:$B,B10))</f>
        <v>134704100.06999999</v>
      </c>
      <c r="I10" s="137">
        <f>IF(B10="","",SUMIFS('Stock Guide'!$O:$O,'Stock Guide'!$B:$B,B10))</f>
        <v>0.60782812889475546</v>
      </c>
      <c r="J10" s="137">
        <f>IF(B10="","",SUMIFS('Stock Guide'!$P:$P,'Stock Guide'!$B:$B,B10))</f>
        <v>0.63404633673999999</v>
      </c>
      <c r="K10" s="134">
        <f>IF(B10="","",SUMIFS('Stock Guide'!$Q:$Q,'Stock Guide'!$B:$B,B10))</f>
        <v>0.11278091824</v>
      </c>
      <c r="L10" s="134">
        <f>IF(B10="","",SUMIFS('Stock Guide'!$R:$R,'Stock Guide'!$B:$B,B10))</f>
        <v>0.11912312146697918</v>
      </c>
      <c r="M10" s="133">
        <f>IF(B10="","",SUMIFS('Stock Guide'!$T:$T,'Stock Guide'!$B:$B,B10))</f>
        <v>0.72</v>
      </c>
      <c r="N10" s="138">
        <f>IFERROR(IF(B10="","",AVERAGEIFS('Stock Guide'!$U:$U,'Stock Guide'!$B:$B,B10)),"-")</f>
        <v>-5.0754458160999997E-3</v>
      </c>
      <c r="O10" s="138">
        <f>IFERROR(IF(B10="","",AVERAGEIFS('Stock Guide'!$V:$V,'Stock Guide'!$B:$B,B10)),"-")</f>
        <v>2.6958113775000001E-2</v>
      </c>
      <c r="P10" s="138">
        <f>IFERROR(IF(B10="","",AVERAGEIFS('Stock Guide'!$W:$W,'Stock Guide'!$B:$B,B10)),"-")</f>
        <v>0.17123146893999999</v>
      </c>
    </row>
    <row r="11" spans="1:16" ht="16.5" customHeight="1" x14ac:dyDescent="0.2">
      <c r="B11" s="131" t="s">
        <v>532</v>
      </c>
      <c r="C11" s="132" t="str">
        <f>IF(B11="","",(VLOOKUP(B11,'Stock Guide'!$B:$D,3,0)))</f>
        <v>JFL Living FII</v>
      </c>
      <c r="D11" s="133">
        <f>IF(B11="","",SUMIFS('Stock Guide'!$J:$J,'Stock Guide'!$B:$B,B11))</f>
        <v>54.39</v>
      </c>
      <c r="E11" s="134">
        <f>IF(B11="","",SUMIFS('Stock Guide'!$H:$H,'Stock Guide'!$B:$B,B11))</f>
        <v>0</v>
      </c>
      <c r="F11" s="135">
        <f>IF(B11="","",SUMIFS('Stock Guide'!I:I,'Stock Guide'!$B:$B,B11))</f>
        <v>44336.877846000003</v>
      </c>
      <c r="G11" s="136">
        <f>IF(B11="","",SUMIFS('Stock Guide'!$M:$M,'Stock Guide'!$B:$B,B11))</f>
        <v>81617525.219999999</v>
      </c>
      <c r="H11" s="136">
        <f>IF(B11="","",SUMIFS('Stock Guide'!$N:$N,'Stock Guide'!$B:$B,B11))</f>
        <v>156583946.06</v>
      </c>
      <c r="I11" s="137">
        <f>IF(B11="","",SUMIFS('Stock Guide'!$O:$O,'Stock Guide'!$B:$B,B11))</f>
        <v>0.5212381426939241</v>
      </c>
      <c r="J11" s="137">
        <f>IF(B11="","",SUMIFS('Stock Guide'!$P:$P,'Stock Guide'!$B:$B,B11))</f>
        <v>0.63720909582999996</v>
      </c>
      <c r="K11" s="134">
        <f>IF(B11="","",SUMIFS('Stock Guide'!$Q:$Q,'Stock Guide'!$B:$B,B11))</f>
        <v>8.2184225040999995E-2</v>
      </c>
      <c r="L11" s="134">
        <f>IF(B11="","",SUMIFS('Stock Guide'!$R:$R,'Stock Guide'!$B:$B,B11))</f>
        <v>4.4125758411472697E-2</v>
      </c>
      <c r="M11" s="133">
        <f>IF(B11="","",SUMIFS('Stock Guide'!$T:$T,'Stock Guide'!$B:$B,B11))</f>
        <v>0.2</v>
      </c>
      <c r="N11" s="138">
        <f>IFERROR(IF(B11="","",AVERAGEIFS('Stock Guide'!$U:$U,'Stock Guide'!$B:$B,B11)),"-")</f>
        <v>-1.6455696201999999E-2</v>
      </c>
      <c r="O11" s="138">
        <f>IFERROR(IF(B11="","",AVERAGEIFS('Stock Guide'!$V:$V,'Stock Guide'!$B:$B,B11)),"-")</f>
        <v>-0.16781161716000001</v>
      </c>
      <c r="P11" s="138">
        <f>IFERROR(IF(B11="","",AVERAGEIFS('Stock Guide'!$W:$W,'Stock Guide'!$B:$B,B11)),"-")</f>
        <v>3.1533656425000001E-2</v>
      </c>
    </row>
    <row r="12" spans="1:16" ht="16.5" customHeight="1" x14ac:dyDescent="0.2">
      <c r="B12" s="131" t="s">
        <v>706</v>
      </c>
      <c r="C12" s="132" t="str">
        <f>IF(B12="","",(VLOOKUP(B12,'Stock Guide'!$B:$D,3,0)))</f>
        <v>Vectis Renda Residencial FII</v>
      </c>
      <c r="D12" s="133">
        <f>IF(B12="","",SUMIFS('Stock Guide'!$J:$J,'Stock Guide'!$B:$B,B12))</f>
        <v>55.8</v>
      </c>
      <c r="E12" s="134">
        <f>IF(B12="","",SUMIFS('Stock Guide'!$H:$H,'Stock Guide'!$B:$B,B12))</f>
        <v>0</v>
      </c>
      <c r="F12" s="135">
        <f>IF(B12="","",SUMIFS('Stock Guide'!I:I,'Stock Guide'!$B:$B,B12))</f>
        <v>150025.22185</v>
      </c>
      <c r="G12" s="136">
        <f>IF(B12="","",SUMIFS('Stock Guide'!$M:$M,'Stock Guide'!$B:$B,B12))</f>
        <v>111600000</v>
      </c>
      <c r="H12" s="136">
        <f>IF(B12="","",SUMIFS('Stock Guide'!$N:$N,'Stock Guide'!$B:$B,B12))</f>
        <v>206801637.59</v>
      </c>
      <c r="I12" s="137">
        <f>IF(B12="","",SUMIFS('Stock Guide'!$O:$O,'Stock Guide'!$B:$B,B12))</f>
        <v>0.53964756420960025</v>
      </c>
      <c r="J12" s="137">
        <f>IF(B12="","",SUMIFS('Stock Guide'!$P:$P,'Stock Guide'!$B:$B,B12))</f>
        <v>0.63938589973000004</v>
      </c>
      <c r="K12" s="134">
        <f>IF(B12="","",SUMIFS('Stock Guide'!$Q:$Q,'Stock Guide'!$B:$B,B12))</f>
        <v>9.9462365590999996E-2</v>
      </c>
      <c r="L12" s="134">
        <f>IF(B12="","",SUMIFS('Stock Guide'!$R:$R,'Stock Guide'!$B:$B,B12))</f>
        <v>0.13978494623655915</v>
      </c>
      <c r="M12" s="133">
        <f>IF(B12="","",SUMIFS('Stock Guide'!$T:$T,'Stock Guide'!$B:$B,B12))</f>
        <v>0.65</v>
      </c>
      <c r="N12" s="138">
        <f>IFERROR(IF(B12="","",AVERAGEIFS('Stock Guide'!$U:$U,'Stock Guide'!$B:$B,B12)),"-")</f>
        <v>4.1433370661000002E-2</v>
      </c>
      <c r="O12" s="138">
        <f>IFERROR(IF(B12="","",AVERAGEIFS('Stock Guide'!$V:$V,'Stock Guide'!$B:$B,B12)),"-")</f>
        <v>-0.12728239311</v>
      </c>
      <c r="P12" s="138">
        <f>IFERROR(IF(B12="","",AVERAGEIFS('Stock Guide'!$W:$W,'Stock Guide'!$B:$B,B12)),"-")</f>
        <v>-3.325731656E-2</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02FBA5CB-0029-4473-B9E4-E1D78F497C86}"/>
  <mergeCells count="4">
    <mergeCell ref="B6:C6"/>
    <mergeCell ref="B7:C7"/>
    <mergeCell ref="B4:C4"/>
    <mergeCell ref="B8:C8"/>
  </mergeCells>
  <conditionalFormatting sqref="N10:O69">
    <cfRule type="cellIs" dxfId="29" priority="31" operator="lessThan">
      <formula>0</formula>
    </cfRule>
    <cfRule type="cellIs" dxfId="28" priority="32" operator="greaterThan">
      <formula>0</formula>
    </cfRule>
  </conditionalFormatting>
  <conditionalFormatting sqref="N8:P8">
    <cfRule type="cellIs" dxfId="27" priority="7" operator="lessThan">
      <formula>0</formula>
    </cfRule>
    <cfRule type="cellIs" dxfId="26" priority="8" operator="greaterThan">
      <formula>0</formula>
    </cfRule>
  </conditionalFormatting>
  <conditionalFormatting sqref="P10:P69">
    <cfRule type="cellIs" dxfId="25" priority="5" operator="lessThan">
      <formula>0</formula>
    </cfRule>
    <cfRule type="cellIs" dxfId="24" priority="6" operator="greaterThan">
      <formula>0</formula>
    </cfRule>
  </conditionalFormatting>
  <conditionalFormatting sqref="N70:O82">
    <cfRule type="cellIs" dxfId="23" priority="3" operator="lessThan">
      <formula>0</formula>
    </cfRule>
    <cfRule type="cellIs" dxfId="22" priority="4" operator="greaterThan">
      <formula>0</formula>
    </cfRule>
  </conditionalFormatting>
  <conditionalFormatting sqref="P70:P82">
    <cfRule type="cellIs" dxfId="21" priority="1" operator="lessThan">
      <formula>0</formula>
    </cfRule>
    <cfRule type="cellIs" dxfId="20" priority="2" operator="greaterThan">
      <formula>0</formula>
    </cfRule>
  </conditionalFormatting>
  <hyperlinks>
    <hyperlink ref="O2" location="Menu!A1" display="Menu" xr:uid="{EE0A535B-B369-49D5-BAAB-DA8EFCCFFBD8}"/>
    <hyperlink ref="P2" location="'Stock Guide'!A1" display="Stock Guide" xr:uid="{93A05FCA-1927-4043-99F2-6557CACB7104}"/>
  </hyperlinks>
  <pageMargins left="0.7" right="0.7" top="0.75" bottom="0.75" header="0.3" footer="0.3"/>
  <pageSetup fitToWidth="9"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F2E1-4E2B-4B5C-B674-F16ECE87BE8D}">
  <sheetPr codeName="Sheet16">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13"/>
    </sheetView>
  </sheetViews>
  <sheetFormatPr defaultColWidth="0" defaultRowHeight="0" customHeight="1"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ht="12.75" x14ac:dyDescent="0.2">
      <c r="B3" s="15"/>
      <c r="C3" s="15"/>
      <c r="D3" s="15"/>
      <c r="E3" s="11"/>
      <c r="F3" s="12"/>
      <c r="G3" s="10"/>
      <c r="H3" s="10"/>
      <c r="I3" s="10"/>
      <c r="J3" s="10"/>
      <c r="K3" s="10"/>
      <c r="L3" s="10"/>
      <c r="M3" s="10"/>
      <c r="N3" s="10"/>
      <c r="O3" s="10"/>
      <c r="P3" s="10"/>
    </row>
    <row r="4" spans="1:16" ht="22.5" customHeight="1" x14ac:dyDescent="0.2">
      <c r="B4" s="272" t="str">
        <f>B8</f>
        <v>Agronegócio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113</v>
      </c>
      <c r="C8" s="271"/>
      <c r="D8" s="170" t="s">
        <v>44</v>
      </c>
      <c r="E8" s="57">
        <f>SUMIFS('Stock Guide'!$H:$H,'Stock Guide'!$G:$G,B8)</f>
        <v>1.396E-2</v>
      </c>
      <c r="F8" s="171">
        <f>AVERAGEIFS('Stock Guide'!I:I,'Stock Guide'!$G:$G,B8)</f>
        <v>982889.21046500001</v>
      </c>
      <c r="G8" s="171">
        <f>AVERAGEIFS('Stock Guide'!$M:$M,'Stock Guide'!$G:$G,B8)</f>
        <v>658799125.69000006</v>
      </c>
      <c r="H8" s="171">
        <f>AVERAGEIFS('Stock Guide'!$N:$N,'Stock Guide'!$G:$G,B8)</f>
        <v>819793817.90499997</v>
      </c>
      <c r="I8" s="172">
        <f>AVERAGEIFS('Stock Guide'!$O:$O,'Stock Guide'!$G:$G,B8)</f>
        <v>0.7715421782132299</v>
      </c>
      <c r="J8" s="172">
        <f>AVERAGEIFS('Stock Guide'!$P:$P,'Stock Guide'!$G:$G,B8)</f>
        <v>0.77861191847</v>
      </c>
      <c r="K8" s="57">
        <f>AVERAGEIFS('Stock Guide'!$Q:$Q,'Stock Guide'!$G:$G,B8)</f>
        <v>0.128468609565</v>
      </c>
      <c r="L8" s="57">
        <f>AVERAGEIFS('Stock Guide'!$R:$R,'Stock Guide'!$G:$G,B8)</f>
        <v>0.14006192886622093</v>
      </c>
      <c r="M8" s="170" t="s">
        <v>44</v>
      </c>
      <c r="N8" s="57">
        <f>AVERAGEIFS('Stock Guide'!$U:$U,'Stock Guide'!$G:$G,$B8)</f>
        <v>-1.0602859341250001E-2</v>
      </c>
      <c r="O8" s="57">
        <f>AVERAGEIFS('Stock Guide'!$V:$V,'Stock Guide'!$G:$G,$B8)</f>
        <v>0.12914134117200002</v>
      </c>
      <c r="P8" s="57">
        <f>AVERAGEIFS('Stock Guide'!$W:$W,'Stock Guide'!$G:$G,$B8)</f>
        <v>0.30807177293025001</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391</v>
      </c>
      <c r="C10" s="132" t="str">
        <f>IF(B10="","",(VLOOKUP(B10,'Stock Guide'!$B:$D,3,0)))</f>
        <v>BTG Pactual Agro Logística FII</v>
      </c>
      <c r="D10" s="133">
        <f>IF(B10="","",SUMIFS('Stock Guide'!$J:$J,'Stock Guide'!$B:$B,B10))</f>
        <v>79.44</v>
      </c>
      <c r="E10" s="134">
        <f>IF(B10="","",SUMIFS('Stock Guide'!$H:$H,'Stock Guide'!$B:$B,B10))</f>
        <v>3.2100000000000002E-3</v>
      </c>
      <c r="F10" s="135">
        <f>IF(B10="","",SUMIFS('Stock Guide'!I:I,'Stock Guide'!$B:$B,B10))</f>
        <v>510778.95368999999</v>
      </c>
      <c r="G10" s="136">
        <f>IF(B10="","",SUMIFS('Stock Guide'!$M:$M,'Stock Guide'!$B:$B,B10))</f>
        <v>475268547.83999997</v>
      </c>
      <c r="H10" s="136">
        <f>IF(B10="","",SUMIFS('Stock Guide'!$N:$N,'Stock Guide'!$B:$B,B10))</f>
        <v>693765025.57000005</v>
      </c>
      <c r="I10" s="137">
        <f>IF(B10="","",SUMIFS('Stock Guide'!$O:$O,'Stock Guide'!$B:$B,B10))</f>
        <v>0.68505694337865686</v>
      </c>
      <c r="J10" s="137">
        <f>IF(B10="","",SUMIFS('Stock Guide'!$P:$P,'Stock Guide'!$B:$B,B10))</f>
        <v>0.72307831355999996</v>
      </c>
      <c r="K10" s="134">
        <f>IF(B10="","",SUMIFS('Stock Guide'!$Q:$Q,'Stock Guide'!$B:$B,B10))</f>
        <v>0.14791037261000001</v>
      </c>
      <c r="L10" s="134">
        <f>IF(B10="","",SUMIFS('Stock Guide'!$R:$R,'Stock Guide'!$B:$B,B10))</f>
        <v>0.15105740181268884</v>
      </c>
      <c r="M10" s="133">
        <f>IF(B10="","",SUMIFS('Stock Guide'!$T:$T,'Stock Guide'!$B:$B,B10))</f>
        <v>1</v>
      </c>
      <c r="N10" s="138">
        <f>IFERROR(IF(B10="","",AVERAGEIFS('Stock Guide'!$U:$U,'Stock Guide'!$B:$B,B10)),"-")</f>
        <v>-4.4015175598E-2</v>
      </c>
      <c r="O10" s="138">
        <f>IFERROR(IF(B10="","",AVERAGEIFS('Stock Guide'!$V:$V,'Stock Guide'!$B:$B,B10)),"-")</f>
        <v>3.4292129328999998E-2</v>
      </c>
      <c r="P10" s="138">
        <f>IFERROR(IF(B10="","",AVERAGEIFS('Stock Guide'!$W:$W,'Stock Guide'!$B:$B,B10)),"-")</f>
        <v>0.18625102498000001</v>
      </c>
    </row>
    <row r="11" spans="1:16" ht="16.5" customHeight="1" x14ac:dyDescent="0.2">
      <c r="B11" s="131" t="s">
        <v>396</v>
      </c>
      <c r="C11" s="132" t="str">
        <f>IF(B11="","",(VLOOKUP(B11,'Stock Guide'!$B:$D,3,0)))</f>
        <v>BTG Pactual Terras Agrícolas FII</v>
      </c>
      <c r="D11" s="133">
        <f>IF(B11="","",SUMIFS('Stock Guide'!$J:$J,'Stock Guide'!$B:$B,B11))</f>
        <v>70.28</v>
      </c>
      <c r="E11" s="134">
        <f>IF(B11="","",SUMIFS('Stock Guide'!$H:$H,'Stock Guide'!$B:$B,B11))</f>
        <v>0</v>
      </c>
      <c r="F11" s="135">
        <f>IF(B11="","",SUMIFS('Stock Guide'!I:I,'Stock Guide'!$B:$B,B11))</f>
        <v>213741.88815000001</v>
      </c>
      <c r="G11" s="136">
        <f>IF(B11="","",SUMIFS('Stock Guide'!$M:$M,'Stock Guide'!$B:$B,B11))</f>
        <v>236461206.52000001</v>
      </c>
      <c r="H11" s="136">
        <f>IF(B11="","",SUMIFS('Stock Guide'!$N:$N,'Stock Guide'!$B:$B,B11))</f>
        <v>381378840.50999999</v>
      </c>
      <c r="I11" s="137">
        <f>IF(B11="","",SUMIFS('Stock Guide'!$O:$O,'Stock Guide'!$B:$B,B11))</f>
        <v>0.62001658561809969</v>
      </c>
      <c r="J11" s="137">
        <f>IF(B11="","",SUMIFS('Stock Guide'!$P:$P,'Stock Guide'!$B:$B,B11))</f>
        <v>0.54000021635999995</v>
      </c>
      <c r="K11" s="134">
        <f>IF(B11="","",SUMIFS('Stock Guide'!$Q:$Q,'Stock Guide'!$B:$B,B11))</f>
        <v>0.11525327262</v>
      </c>
      <c r="L11" s="134">
        <f>IF(B11="","",SUMIFS('Stock Guide'!$R:$R,'Stock Guide'!$B:$B,B11))</f>
        <v>0.15367103016505407</v>
      </c>
      <c r="M11" s="133">
        <f>IF(B11="","",SUMIFS('Stock Guide'!$T:$T,'Stock Guide'!$B:$B,B11))</f>
        <v>0.9</v>
      </c>
      <c r="N11" s="138">
        <f>IFERROR(IF(B11="","",AVERAGEIFS('Stock Guide'!$U:$U,'Stock Guide'!$B:$B,B11)),"-")</f>
        <v>5.6683205533999997E-2</v>
      </c>
      <c r="O11" s="138">
        <f>IFERROR(IF(B11="","",AVERAGEIFS('Stock Guide'!$V:$V,'Stock Guide'!$B:$B,B11)),"-")</f>
        <v>0.26057852986000002</v>
      </c>
      <c r="P11" s="138">
        <f>IFERROR(IF(B11="","",AVERAGEIFS('Stock Guide'!$W:$W,'Stock Guide'!$B:$B,B11)),"-")</f>
        <v>0.58306010351000004</v>
      </c>
    </row>
    <row r="12" spans="1:16" ht="16.5" customHeight="1" x14ac:dyDescent="0.2">
      <c r="B12" s="131" t="s">
        <v>600</v>
      </c>
      <c r="C12" s="132" t="str">
        <f>IF(B12="","",(VLOOKUP(B12,'Stock Guide'!$B:$D,3,0)))</f>
        <v>VBI Agro FII</v>
      </c>
      <c r="D12" s="133">
        <f>IF(B12="","",SUMIFS('Stock Guide'!$J:$J,'Stock Guide'!$B:$B,B12))</f>
        <v>61.2</v>
      </c>
      <c r="E12" s="134">
        <f>IF(B12="","",SUMIFS('Stock Guide'!$H:$H,'Stock Guide'!$B:$B,B12))</f>
        <v>0</v>
      </c>
      <c r="F12" s="135">
        <f>IF(B12="","",SUMIFS('Stock Guide'!I:I,'Stock Guide'!$B:$B,B12))</f>
        <v>136096.24462000001</v>
      </c>
      <c r="G12" s="136">
        <f>IF(B12="","",SUMIFS('Stock Guide'!$M:$M,'Stock Guide'!$B:$B,B12))</f>
        <v>333701200.80000001</v>
      </c>
      <c r="H12" s="136">
        <f>IF(B12="","",SUMIFS('Stock Guide'!$N:$N,'Stock Guide'!$B:$B,B12))</f>
        <v>363831543.63999999</v>
      </c>
      <c r="I12" s="137">
        <f>IF(B12="","",SUMIFS('Stock Guide'!$O:$O,'Stock Guide'!$B:$B,B12))</f>
        <v>0.9171860071874004</v>
      </c>
      <c r="J12" s="137">
        <f>IF(B12="","",SUMIFS('Stock Guide'!$P:$P,'Stock Guide'!$B:$B,B12))</f>
        <v>0.82634866866000001</v>
      </c>
      <c r="K12" s="134">
        <f>IF(B12="","",SUMIFS('Stock Guide'!$Q:$Q,'Stock Guide'!$B:$B,B12))</f>
        <v>0.11078431372</v>
      </c>
      <c r="L12" s="134">
        <f>IF(B12="","",SUMIFS('Stock Guide'!$R:$R,'Stock Guide'!$B:$B,B12))</f>
        <v>0.12745098039215685</v>
      </c>
      <c r="M12" s="133">
        <f>IF(B12="","",SUMIFS('Stock Guide'!$T:$T,'Stock Guide'!$B:$B,B12))</f>
        <v>0.65</v>
      </c>
      <c r="N12" s="138">
        <f>IFERROR(IF(B12="","",AVERAGEIFS('Stock Guide'!$U:$U,'Stock Guide'!$B:$B,B12)),"-")</f>
        <v>-2.2832508384E-2</v>
      </c>
      <c r="O12" s="138">
        <f>IFERROR(IF(B12="","",AVERAGEIFS('Stock Guide'!$V:$V,'Stock Guide'!$B:$B,B12)),"-")</f>
        <v>0.28583994796000001</v>
      </c>
      <c r="P12" s="138">
        <f>IFERROR(IF(B12="","",AVERAGEIFS('Stock Guide'!$W:$W,'Stock Guide'!$B:$B,B12)),"-")</f>
        <v>0.39091618006000001</v>
      </c>
    </row>
    <row r="13" spans="1:16" ht="16.5" customHeight="1" x14ac:dyDescent="0.2">
      <c r="B13" s="131" t="s">
        <v>654</v>
      </c>
      <c r="C13" s="132" t="str">
        <f>IF(B13="","",(VLOOKUP(B13,'Stock Guide'!$B:$D,3,0)))</f>
        <v>Riza Terrax FII</v>
      </c>
      <c r="D13" s="133">
        <f>IF(B13="","",SUMIFS('Stock Guide'!$J:$J,'Stock Guide'!$B:$B,B13))</f>
        <v>84.33</v>
      </c>
      <c r="E13" s="134">
        <f>IF(B13="","",SUMIFS('Stock Guide'!$H:$H,'Stock Guide'!$B:$B,B13))</f>
        <v>1.0749999999999999E-2</v>
      </c>
      <c r="F13" s="135">
        <f>IF(B13="","",SUMIFS('Stock Guide'!I:I,'Stock Guide'!$B:$B,B13))</f>
        <v>3070939.7554000001</v>
      </c>
      <c r="G13" s="136">
        <f>IF(B13="","",SUMIFS('Stock Guide'!$M:$M,'Stock Guide'!$B:$B,B13))</f>
        <v>1589765547.5999999</v>
      </c>
      <c r="H13" s="136">
        <f>IF(B13="","",SUMIFS('Stock Guide'!$N:$N,'Stock Guide'!$B:$B,B13))</f>
        <v>1840199861.9000001</v>
      </c>
      <c r="I13" s="137">
        <f>IF(B13="","",SUMIFS('Stock Guide'!$O:$O,'Stock Guide'!$B:$B,B13))</f>
        <v>0.86390917666876266</v>
      </c>
      <c r="J13" s="137">
        <f>IF(B13="","",SUMIFS('Stock Guide'!$P:$P,'Stock Guide'!$B:$B,B13))</f>
        <v>1.0250204753000001</v>
      </c>
      <c r="K13" s="134">
        <f>IF(B13="","",SUMIFS('Stock Guide'!$Q:$Q,'Stock Guide'!$B:$B,B13))</f>
        <v>0.13992647930999999</v>
      </c>
      <c r="L13" s="134">
        <f>IF(B13="","",SUMIFS('Stock Guide'!$R:$R,'Stock Guide'!$B:$B,B13))</f>
        <v>0.12806830309498399</v>
      </c>
      <c r="M13" s="133">
        <f>IF(B13="","",SUMIFS('Stock Guide'!$T:$T,'Stock Guide'!$B:$B,B13))</f>
        <v>0.9</v>
      </c>
      <c r="N13" s="138">
        <f>IFERROR(IF(B13="","",AVERAGEIFS('Stock Guide'!$U:$U,'Stock Guide'!$B:$B,B13)),"-")</f>
        <v>-3.2246958917000003E-2</v>
      </c>
      <c r="O13" s="138">
        <f>IFERROR(IF(B13="","",AVERAGEIFS('Stock Guide'!$V:$V,'Stock Guide'!$B:$B,B13)),"-")</f>
        <v>-6.4145242460999993E-2</v>
      </c>
      <c r="P13" s="138">
        <f>IFERROR(IF(B13="","",AVERAGEIFS('Stock Guide'!$W:$W,'Stock Guide'!$B:$B,B13)),"-")</f>
        <v>7.2059783170999994E-2</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hidden="1"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hidden="1" customHeight="1"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hidden="1"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hidden="1"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hidden="1"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hidden="1"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hidden="1"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hidden="1"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hidden="1"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hidden="1"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hidden="1"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hidden="1"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hidden="1"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hidden="1"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396BF2E1-4E2B-4B5C-B674-F16ECE87BE8D}"/>
  <mergeCells count="4">
    <mergeCell ref="B4:C4"/>
    <mergeCell ref="B6:C6"/>
    <mergeCell ref="B7:C7"/>
    <mergeCell ref="B8:C8"/>
  </mergeCells>
  <conditionalFormatting sqref="N10:O69">
    <cfRule type="cellIs" dxfId="19" priority="31" operator="lessThan">
      <formula>0</formula>
    </cfRule>
    <cfRule type="cellIs" dxfId="18" priority="32" operator="greaterThan">
      <formula>0</formula>
    </cfRule>
  </conditionalFormatting>
  <conditionalFormatting sqref="N8:P8">
    <cfRule type="cellIs" dxfId="17" priority="7" operator="lessThan">
      <formula>0</formula>
    </cfRule>
    <cfRule type="cellIs" dxfId="16" priority="8" operator="greaterThan">
      <formula>0</formula>
    </cfRule>
  </conditionalFormatting>
  <conditionalFormatting sqref="P10:P69">
    <cfRule type="cellIs" dxfId="15" priority="5" operator="lessThan">
      <formula>0</formula>
    </cfRule>
    <cfRule type="cellIs" dxfId="14" priority="6" operator="greaterThan">
      <formula>0</formula>
    </cfRule>
  </conditionalFormatting>
  <conditionalFormatting sqref="N70:O82">
    <cfRule type="cellIs" dxfId="13" priority="3" operator="lessThan">
      <formula>0</formula>
    </cfRule>
    <cfRule type="cellIs" dxfId="12" priority="4" operator="greaterThan">
      <formula>0</formula>
    </cfRule>
  </conditionalFormatting>
  <conditionalFormatting sqref="P70:P82">
    <cfRule type="cellIs" dxfId="11" priority="1" operator="lessThan">
      <formula>0</formula>
    </cfRule>
    <cfRule type="cellIs" dxfId="10" priority="2" operator="greaterThan">
      <formula>0</formula>
    </cfRule>
  </conditionalFormatting>
  <hyperlinks>
    <hyperlink ref="O2" location="Menu!A1" display="Menu" xr:uid="{3010272F-ACB7-4903-BE60-939845BEDEE3}"/>
    <hyperlink ref="P2" location="'Stock Guide'!A1" display="Stock Guide" xr:uid="{D4BC7160-EE93-4233-AD40-D2BD242BFA24}"/>
  </hyperlinks>
  <pageMargins left="0.7" right="0.7" top="0.75" bottom="0.75" header="0.3" footer="0.3"/>
  <pageSetup fitToWidth="9"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17D9-84B2-4CBF-B762-E1282B2C1FF3}">
  <sheetPr codeName="Sheet14">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9" sqref="B9:B16"/>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Outros</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21</v>
      </c>
      <c r="C8" s="271"/>
      <c r="D8" s="170" t="s">
        <v>44</v>
      </c>
      <c r="E8" s="57">
        <f>SUMIFS('Stock Guide'!$H:$H,'Stock Guide'!$G:$G,B8)</f>
        <v>6.0899999999999999E-3</v>
      </c>
      <c r="F8" s="171">
        <f>AVERAGEIFS('Stock Guide'!I:I,'Stock Guide'!$G:$G,B8)</f>
        <v>979274.01138033345</v>
      </c>
      <c r="G8" s="171">
        <f>AVERAGEIFS('Stock Guide'!$M:$M,'Stock Guide'!$G:$G,B8)</f>
        <v>200132490.85499999</v>
      </c>
      <c r="H8" s="171">
        <f>AVERAGEIFS('Stock Guide'!$N:$N,'Stock Guide'!$G:$G,B8)</f>
        <v>76064270.908000007</v>
      </c>
      <c r="I8" s="172">
        <f>AVERAGEIFS('Stock Guide'!$O:$O,'Stock Guide'!$G:$G,B8)</f>
        <v>0.88887600178039605</v>
      </c>
      <c r="J8" s="172">
        <f>AVERAGEIFS('Stock Guide'!$P:$P,'Stock Guide'!$G:$G,B8)</f>
        <v>0.98938990198166665</v>
      </c>
      <c r="K8" s="57">
        <f>AVERAGEIFS('Stock Guide'!$Q:$Q,'Stock Guide'!$G:$G,B8)</f>
        <v>0.1551679675</v>
      </c>
      <c r="L8" s="57">
        <f>AVERAGEIFS('Stock Guide'!$R:$R,'Stock Guide'!$G:$G,B8)</f>
        <v>0.15785350961698583</v>
      </c>
      <c r="M8" s="170" t="s">
        <v>44</v>
      </c>
      <c r="N8" s="57">
        <f>AVERAGEIFS('Stock Guide'!$U:$U,'Stock Guide'!$G:$G,$B8)</f>
        <v>-3.0972337318800003E-2</v>
      </c>
      <c r="O8" s="57">
        <f>AVERAGEIFS('Stock Guide'!$V:$V,'Stock Guide'!$G:$G,$B8)</f>
        <v>-0.10161706791300003</v>
      </c>
      <c r="P8" s="57">
        <f>AVERAGEIFS('Stock Guide'!$W:$W,'Stock Guide'!$G:$G,$B8)</f>
        <v>-5.1036673492600014E-2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390</v>
      </c>
      <c r="C10" s="132" t="str">
        <f>IF(B10="","",(VLOOKUP(B10,'Stock Guide'!$B:$D,3,0)))</f>
        <v>-</v>
      </c>
      <c r="D10" s="133">
        <f>IF(B10="","",SUMIFS('Stock Guide'!$J:$J,'Stock Guide'!$B:$B,B10))</f>
        <v>58.22</v>
      </c>
      <c r="E10" s="134">
        <f>IF(B10="","",SUMIFS('Stock Guide'!$H:$H,'Stock Guide'!$B:$B,B10))</f>
        <v>0</v>
      </c>
      <c r="F10" s="135">
        <f>IF(B10="","",SUMIFS('Stock Guide'!I:I,'Stock Guide'!$B:$B,B10))</f>
        <v>94102.874462000007</v>
      </c>
      <c r="G10" s="136">
        <f>IF(B10="","",SUMIFS('Stock Guide'!$M:$M,'Stock Guide'!$B:$B,B10))</f>
        <v>78597000</v>
      </c>
      <c r="H10" s="136">
        <f>IF(B10="","",SUMIFS('Stock Guide'!$N:$N,'Stock Guide'!$B:$B,B10))</f>
        <v>154781619.11000001</v>
      </c>
      <c r="I10" s="137">
        <f>IF(B10="","",SUMIFS('Stock Guide'!$O:$O,'Stock Guide'!$B:$B,B10))</f>
        <v>0.50779285325955126</v>
      </c>
      <c r="J10" s="137">
        <f>IF(B10="","",SUMIFS('Stock Guide'!$P:$P,'Stock Guide'!$B:$B,B10))</f>
        <v>0.79255463176999996</v>
      </c>
      <c r="K10" s="134">
        <f>IF(B10="","",SUMIFS('Stock Guide'!$Q:$Q,'Stock Guide'!$B:$B,B10))</f>
        <v>0</v>
      </c>
      <c r="L10" s="134">
        <f>IF(B10="","",SUMIFS('Stock Guide'!$R:$R,'Stock Guide'!$B:$B,B10))</f>
        <v>0</v>
      </c>
      <c r="M10" s="133">
        <f>IF(B10="","",SUMIFS('Stock Guide'!$T:$T,'Stock Guide'!$B:$B,B10))</f>
        <v>0</v>
      </c>
      <c r="N10" s="138">
        <f>IFERROR(IF(B10="","",AVERAGEIFS('Stock Guide'!$U:$U,'Stock Guide'!$B:$B,B10)),"-")</f>
        <v>-0.22373333333000001</v>
      </c>
      <c r="O10" s="138">
        <f>IFERROR(IF(B10="","",AVERAGEIFS('Stock Guide'!$V:$V,'Stock Guide'!$B:$B,B10)),"-")</f>
        <v>-0.31538099718000001</v>
      </c>
      <c r="P10" s="138">
        <f>IFERROR(IF(B10="","",AVERAGEIFS('Stock Guide'!$W:$W,'Stock Guide'!$B:$B,B10)),"-")</f>
        <v>-0.42127236580999999</v>
      </c>
    </row>
    <row r="11" spans="1:16" ht="16.5" customHeight="1" x14ac:dyDescent="0.2">
      <c r="B11" s="131" t="s">
        <v>795</v>
      </c>
      <c r="C11" s="132" t="str">
        <f>IF(B11="","",(VLOOKUP(B11,'Stock Guide'!$B:$D,3,0)))</f>
        <v>-</v>
      </c>
      <c r="D11" s="133">
        <f>IF(B11="","",SUMIFS('Stock Guide'!$J:$J,'Stock Guide'!$B:$B,B11))</f>
        <v>83.14</v>
      </c>
      <c r="E11" s="134">
        <f>IF(B11="","",SUMIFS('Stock Guide'!$H:$H,'Stock Guide'!$B:$B,B11))</f>
        <v>0</v>
      </c>
      <c r="F11" s="135">
        <f>IF(B11="","",SUMIFS('Stock Guide'!I:I,'Stock Guide'!$B:$B,B11))</f>
        <v>907818.42246000003</v>
      </c>
      <c r="G11" s="136">
        <f>IF(B11="","",SUMIFS('Stock Guide'!$M:$M,'Stock Guide'!$B:$B,B11))</f>
        <v>739839913.36000001</v>
      </c>
      <c r="H11" s="136">
        <f>IF(B11="","",SUMIFS('Stock Guide'!$N:$N,'Stock Guide'!$B:$B,B11))</f>
        <v>772974188.14999998</v>
      </c>
      <c r="I11" s="137">
        <f>IF(B11="","",SUMIFS('Stock Guide'!$O:$O,'Stock Guide'!$B:$B,B11))</f>
        <v>0.95713404755558273</v>
      </c>
      <c r="J11" s="137">
        <f>IF(B11="","",SUMIFS('Stock Guide'!$P:$P,'Stock Guide'!$B:$B,B11))</f>
        <v>1.2004401044999999</v>
      </c>
      <c r="K11" s="134">
        <f>IF(B11="","",SUMIFS('Stock Guide'!$Q:$Q,'Stock Guide'!$B:$B,B11))</f>
        <v>0.12689439499999999</v>
      </c>
      <c r="L11" s="134">
        <f>IF(B11="","",SUMIFS('Stock Guide'!$R:$R,'Stock Guide'!$B:$B,B11))</f>
        <v>0.12268462833774355</v>
      </c>
      <c r="M11" s="133">
        <f>IF(B11="","",SUMIFS('Stock Guide'!$T:$T,'Stock Guide'!$B:$B,B11))</f>
        <v>0.85</v>
      </c>
      <c r="N11" s="138">
        <f>IFERROR(IF(B11="","",AVERAGEIFS('Stock Guide'!$U:$U,'Stock Guide'!$B:$B,B11)),"-")</f>
        <v>-3.9924468301999999E-2</v>
      </c>
      <c r="O11" s="138">
        <f>IFERROR(IF(B11="","",AVERAGEIFS('Stock Guide'!$V:$V,'Stock Guide'!$B:$B,B11)),"-")</f>
        <v>-0.15943819531</v>
      </c>
      <c r="P11" s="138">
        <f>IFERROR(IF(B11="","",AVERAGEIFS('Stock Guide'!$W:$W,'Stock Guide'!$B:$B,B11)),"-")</f>
        <v>-5.2204560897999998E-2</v>
      </c>
    </row>
    <row r="12" spans="1:16" ht="16.5" customHeight="1" x14ac:dyDescent="0.2">
      <c r="B12" s="131" t="s">
        <v>771</v>
      </c>
      <c r="C12" s="132" t="str">
        <f>IF(B12="","",(VLOOKUP(B12,'Stock Guide'!$B:$D,3,0)))</f>
        <v xml:space="preserve">Emet Multiestratégia FII </v>
      </c>
      <c r="D12" s="133">
        <f>IF(B12="","",SUMIFS('Stock Guide'!$J:$J,'Stock Guide'!$B:$B,B12))</f>
        <v>9.9499999999999993</v>
      </c>
      <c r="E12" s="134">
        <f>IF(B12="","",SUMIFS('Stock Guide'!$H:$H,'Stock Guide'!$B:$B,B12))</f>
        <v>0</v>
      </c>
      <c r="F12" s="135">
        <f>IF(B12="","",SUMIFS('Stock Guide'!I:I,'Stock Guide'!$B:$B,B12))</f>
        <v>160474.10292</v>
      </c>
      <c r="G12" s="136">
        <f>IF(B12="","",SUMIFS('Stock Guide'!$M:$M,'Stock Guide'!$B:$B,B12))</f>
        <v>49750000</v>
      </c>
      <c r="H12" s="136">
        <f>IF(B12="","",SUMIFS('Stock Guide'!$N:$N,'Stock Guide'!$B:$B,B12))</f>
        <v>45275215.350000001</v>
      </c>
      <c r="I12" s="137">
        <f>IF(B12="","",SUMIFS('Stock Guide'!$O:$O,'Stock Guide'!$B:$B,B12))</f>
        <v>1.0988351930610971</v>
      </c>
      <c r="J12" s="137">
        <f>IF(B12="","",SUMIFS('Stock Guide'!$P:$P,'Stock Guide'!$B:$B,B12))</f>
        <v>1.1510080794999999</v>
      </c>
      <c r="K12" s="134">
        <f>IF(B12="","",SUMIFS('Stock Guide'!$Q:$Q,'Stock Guide'!$B:$B,B12))</f>
        <v>0.13869346733999999</v>
      </c>
      <c r="L12" s="134">
        <f>IF(B12="","",SUMIFS('Stock Guide'!$R:$R,'Stock Guide'!$B:$B,B12))</f>
        <v>0.12060301507537691</v>
      </c>
      <c r="M12" s="133">
        <f>IF(B12="","",SUMIFS('Stock Guide'!$T:$T,'Stock Guide'!$B:$B,B12))</f>
        <v>0.1</v>
      </c>
      <c r="N12" s="138">
        <f>IFERROR(IF(B12="","",AVERAGEIFS('Stock Guide'!$U:$U,'Stock Guide'!$B:$B,B12)),"-")</f>
        <v>0.14364835278999999</v>
      </c>
      <c r="O12" s="138">
        <f>IFERROR(IF(B12="","",AVERAGEIFS('Stock Guide'!$V:$V,'Stock Guide'!$B:$B,B12)),"-")</f>
        <v>-3.4252616272999997E-2</v>
      </c>
      <c r="P12" s="138">
        <f>IFERROR(IF(B12="","",AVERAGEIFS('Stock Guide'!$W:$W,'Stock Guide'!$B:$B,B12)),"-")</f>
        <v>0.14418599981999999</v>
      </c>
    </row>
    <row r="13" spans="1:16" ht="16.5" customHeight="1" x14ac:dyDescent="0.2">
      <c r="B13" s="131" t="s">
        <v>802</v>
      </c>
      <c r="C13" s="132" t="str">
        <f>IF(B13="","",(VLOOKUP(B13,'Stock Guide'!$B:$D,3,0)))</f>
        <v>-</v>
      </c>
      <c r="D13" s="133">
        <f>IF(B13="","",SUMIFS('Stock Guide'!$J:$J,'Stock Guide'!$B:$B,B13))</f>
        <v>650</v>
      </c>
      <c r="E13" s="134">
        <f>IF(B13="","",SUMIFS('Stock Guide'!$H:$H,'Stock Guide'!$B:$B,B13))</f>
        <v>0</v>
      </c>
      <c r="F13" s="135">
        <f>IF(B13="","",SUMIFS('Stock Guide'!I:I,'Stock Guide'!$B:$B,B13))</f>
        <v>127711.11784000001</v>
      </c>
      <c r="G13" s="136">
        <f>IF(B13="","",SUMIFS('Stock Guide'!$M:$M,'Stock Guide'!$B:$B,B13))</f>
        <v>78000000</v>
      </c>
      <c r="H13" s="136">
        <f>IF(B13="","",SUMIFS('Stock Guide'!$N:$N,'Stock Guide'!$B:$B,B13))</f>
        <v>62676316</v>
      </c>
      <c r="I13" s="137">
        <f>IF(B13="","",SUMIFS('Stock Guide'!$O:$O,'Stock Guide'!$B:$B,B13))</f>
        <v>1.2444892262014888</v>
      </c>
      <c r="J13" s="137">
        <f>IF(B13="","",SUMIFS('Stock Guide'!$P:$P,'Stock Guide'!$B:$B,B13))</f>
        <v>1.1432555986999999</v>
      </c>
      <c r="K13" s="134">
        <f>IF(B13="","",SUMIFS('Stock Guide'!$Q:$Q,'Stock Guide'!$B:$B,B13))</f>
        <v>0.20464828732000001</v>
      </c>
      <c r="L13" s="134">
        <f>IF(B13="","",SUMIFS('Stock Guide'!$R:$R,'Stock Guide'!$B:$B,B13))</f>
        <v>0.22059600295384618</v>
      </c>
      <c r="M13" s="133">
        <f>IF(B13="","",SUMIFS('Stock Guide'!$T:$T,'Stock Guide'!$B:$B,B13))</f>
        <v>11.948950160000001</v>
      </c>
      <c r="N13" s="138" t="str">
        <f>IFERROR(IF(B13="","",AVERAGEIFS('Stock Guide'!$U:$U,'Stock Guide'!$B:$B,B13)),"-")</f>
        <v>-</v>
      </c>
      <c r="O13" s="138" t="str">
        <f>IFERROR(IF(B13="","",AVERAGEIFS('Stock Guide'!$V:$V,'Stock Guide'!$B:$B,B13)),"-")</f>
        <v>-</v>
      </c>
      <c r="P13" s="138" t="str">
        <f>IFERROR(IF(B13="","",AVERAGEIFS('Stock Guide'!$W:$W,'Stock Guide'!$B:$B,B13)),"-")</f>
        <v>-</v>
      </c>
    </row>
    <row r="14" spans="1:16" ht="16.5" customHeight="1" x14ac:dyDescent="0.2">
      <c r="B14" s="131" t="s">
        <v>526</v>
      </c>
      <c r="C14" s="132" t="str">
        <f>IF(B14="","",(VLOOKUP(B14,'Stock Guide'!$B:$D,3,0)))</f>
        <v>Inter Teva Índice de Papel FII</v>
      </c>
      <c r="D14" s="133">
        <f>IF(B14="","",SUMIFS('Stock Guide'!$J:$J,'Stock Guide'!$B:$B,B14))</f>
        <v>52.63</v>
      </c>
      <c r="E14" s="134">
        <f>IF(B14="","",SUMIFS('Stock Guide'!$H:$H,'Stock Guide'!$B:$B,B14))</f>
        <v>0</v>
      </c>
      <c r="F14" s="135">
        <f>IF(B14="","",SUMIFS('Stock Guide'!I:I,'Stock Guide'!$B:$B,B14))</f>
        <v>196255.69385000001</v>
      </c>
      <c r="G14" s="136">
        <f>IF(B14="","",SUMIFS('Stock Guide'!$M:$M,'Stock Guide'!$B:$B,B14))</f>
        <v>39375187.130000003</v>
      </c>
      <c r="H14" s="136">
        <f>IF(B14="","",SUMIFS('Stock Guide'!$N:$N,'Stock Guide'!$B:$B,B14))</f>
        <v>49428845.020000003</v>
      </c>
      <c r="I14" s="137">
        <f>IF(B14="","",SUMIFS('Stock Guide'!$O:$O,'Stock Guide'!$B:$B,B14))</f>
        <v>0.79660342284081154</v>
      </c>
      <c r="J14" s="137">
        <f>IF(B14="","",SUMIFS('Stock Guide'!$P:$P,'Stock Guide'!$B:$B,B14))</f>
        <v>0.94649971084999995</v>
      </c>
      <c r="K14" s="134">
        <f>IF(B14="","",SUMIFS('Stock Guide'!$Q:$Q,'Stock Guide'!$B:$B,B14))</f>
        <v>0.16169485084999999</v>
      </c>
      <c r="L14" s="134">
        <f>IF(B14="","",SUMIFS('Stock Guide'!$R:$R,'Stock Guide'!$B:$B,B14))</f>
        <v>0.17328519855595667</v>
      </c>
      <c r="M14" s="133">
        <f>IF(B14="","",SUMIFS('Stock Guide'!$T:$T,'Stock Guide'!$B:$B,B14))</f>
        <v>0.76</v>
      </c>
      <c r="N14" s="138">
        <f>IFERROR(IF(B14="","",AVERAGEIFS('Stock Guide'!$U:$U,'Stock Guide'!$B:$B,B14)),"-")</f>
        <v>-4.7248370744999997E-2</v>
      </c>
      <c r="O14" s="138">
        <f>IFERROR(IF(B14="","",AVERAGEIFS('Stock Guide'!$V:$V,'Stock Guide'!$B:$B,B14)),"-")</f>
        <v>-0.13023266848000001</v>
      </c>
      <c r="P14" s="138">
        <f>IFERROR(IF(B14="","",AVERAGEIFS('Stock Guide'!$W:$W,'Stock Guide'!$B:$B,B14)),"-")</f>
        <v>-7.3892268518000001E-2</v>
      </c>
    </row>
    <row r="15" spans="1:16" ht="16.5" customHeight="1" x14ac:dyDescent="0.2">
      <c r="B15" s="131" t="s">
        <v>528</v>
      </c>
      <c r="C15" s="132" t="str">
        <f>IF(B15="","",(VLOOKUP(B15,'Stock Guide'!$B:$D,3,0)))</f>
        <v>Inter Teva Índice de Tijolo FII</v>
      </c>
      <c r="D15" s="133">
        <f>IF(B15="","",SUMIFS('Stock Guide'!$J:$J,'Stock Guide'!$B:$B,B15))</f>
        <v>60.3</v>
      </c>
      <c r="E15" s="134">
        <f>IF(B15="","",SUMIFS('Stock Guide'!$H:$H,'Stock Guide'!$B:$B,B15))</f>
        <v>0</v>
      </c>
      <c r="F15" s="135">
        <f>IF(B15="","",SUMIFS('Stock Guide'!I:I,'Stock Guide'!$B:$B,B15))</f>
        <v>304499.43831</v>
      </c>
      <c r="G15" s="136">
        <f>IF(B15="","",SUMIFS('Stock Guide'!$M:$M,'Stock Guide'!$B:$B,B15))</f>
        <v>54299788.200000003</v>
      </c>
      <c r="H15" s="136">
        <f>IF(B15="","",SUMIFS('Stock Guide'!$N:$N,'Stock Guide'!$B:$B,B15))</f>
        <v>68159359.060000002</v>
      </c>
      <c r="I15" s="137">
        <f>IF(B15="","",SUMIFS('Stock Guide'!$O:$O,'Stock Guide'!$B:$B,B15))</f>
        <v>0.79665931353903197</v>
      </c>
      <c r="J15" s="137">
        <f>IF(B15="","",SUMIFS('Stock Guide'!$P:$P,'Stock Guide'!$B:$B,B15))</f>
        <v>0.86242198206999998</v>
      </c>
      <c r="K15" s="134">
        <f>IF(B15="","",SUMIFS('Stock Guide'!$Q:$Q,'Stock Guide'!$B:$B,B15))</f>
        <v>0.12338308457</v>
      </c>
      <c r="L15" s="134">
        <f>IF(B15="","",SUMIFS('Stock Guide'!$R:$R,'Stock Guide'!$B:$B,B15))</f>
        <v>0.12736318407960198</v>
      </c>
      <c r="M15" s="133">
        <f>IF(B15="","",SUMIFS('Stock Guide'!$T:$T,'Stock Guide'!$B:$B,B15))</f>
        <v>0.64</v>
      </c>
      <c r="N15" s="138">
        <f>IFERROR(IF(B15="","",AVERAGEIFS('Stock Guide'!$U:$U,'Stock Guide'!$B:$B,B15)),"-")</f>
        <v>-1.5349444807E-2</v>
      </c>
      <c r="O15" s="138">
        <f>IFERROR(IF(B15="","",AVERAGEIFS('Stock Guide'!$V:$V,'Stock Guide'!$B:$B,B15)),"-")</f>
        <v>-7.4344330996000005E-2</v>
      </c>
      <c r="P15" s="138">
        <f>IFERROR(IF(B15="","",AVERAGEIFS('Stock Guide'!$W:$W,'Stock Guide'!$B:$B,B15)),"-")</f>
        <v>-2.2873929845000002E-2</v>
      </c>
    </row>
    <row r="16" spans="1:16" ht="16.5" customHeight="1" x14ac:dyDescent="0.2">
      <c r="B16" s="131" t="s">
        <v>667</v>
      </c>
      <c r="C16" s="132" t="str">
        <f>IF(B16="","",(VLOOKUP(B16,'Stock Guide'!$B:$D,3,0)))</f>
        <v>Suno Energias Limpas FII</v>
      </c>
      <c r="D16" s="133">
        <f>IF(B16="","",SUMIFS('Stock Guide'!$J:$J,'Stock Guide'!$B:$B,B16))</f>
        <v>8.14</v>
      </c>
      <c r="E16" s="134">
        <f>IF(B16="","",SUMIFS('Stock Guide'!$H:$H,'Stock Guide'!$B:$B,B16))</f>
        <v>6.0899999999999999E-3</v>
      </c>
      <c r="F16" s="135">
        <f>IF(B16="","",SUMIFS('Stock Guide'!I:I,'Stock Guide'!$B:$B,B16))</f>
        <v>4992600.8409000002</v>
      </c>
      <c r="G16" s="136">
        <f>IF(B16="","",SUMIFS('Stock Guide'!$M:$M,'Stock Guide'!$B:$B,B16))</f>
        <v>900772969.79999995</v>
      </c>
      <c r="H16" s="136">
        <f>IF(B16="","",SUMIFS('Stock Guide'!$N:$N,'Stock Guide'!$B:$B,B16))</f>
        <v>0</v>
      </c>
      <c r="I16" s="137">
        <f>IF(B16="","",SUMIFS('Stock Guide'!$O:$O,'Stock Guide'!$B:$B,B16))</f>
        <v>0</v>
      </c>
      <c r="J16" s="137">
        <f>IF(B16="","",SUMIFS('Stock Guide'!$P:$P,'Stock Guide'!$B:$B,B16))</f>
        <v>1.0405994089999999</v>
      </c>
      <c r="K16" s="134">
        <f>IF(B16="","",SUMIFS('Stock Guide'!$Q:$Q,'Stock Guide'!$B:$B,B16))</f>
        <v>0.14742014742000001</v>
      </c>
      <c r="L16" s="134">
        <f>IF(B16="","",SUMIFS('Stock Guide'!$R:$R,'Stock Guide'!$B:$B,B16))</f>
        <v>0.14742014742014742</v>
      </c>
      <c r="M16" s="133">
        <f>IF(B16="","",SUMIFS('Stock Guide'!$T:$T,'Stock Guide'!$B:$B,B16))</f>
        <v>0.1</v>
      </c>
      <c r="N16" s="138">
        <f>IFERROR(IF(B16="","",AVERAGEIFS('Stock Guide'!$U:$U,'Stock Guide'!$B:$B,B16)),"-")</f>
        <v>-1.2178890502E-2</v>
      </c>
      <c r="O16" s="138">
        <f>IFERROR(IF(B16="","",AVERAGEIFS('Stock Guide'!$V:$V,'Stock Guide'!$B:$B,B16)),"-")</f>
        <v>4.6125273363999998E-2</v>
      </c>
      <c r="P16" s="138">
        <f>IFERROR(IF(B16="","",AVERAGEIFS('Stock Guide'!$W:$W,'Stock Guide'!$B:$B,B16)),"-")</f>
        <v>0.11866919688999999</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hidden="1"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hidden="1" customHeight="1"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hidden="1"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hidden="1"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hidden="1"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hidden="1"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hidden="1"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hidden="1"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hidden="1"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hidden="1"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hidden="1"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hidden="1"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hidden="1"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hidden="1"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DC5417D9-84B2-4CBF-B762-E1282B2C1FF3}"/>
  <mergeCells count="4">
    <mergeCell ref="B6:C6"/>
    <mergeCell ref="B7:C7"/>
    <mergeCell ref="B4:C4"/>
    <mergeCell ref="B8:C8"/>
  </mergeCells>
  <conditionalFormatting sqref="N10:O69">
    <cfRule type="cellIs" dxfId="9" priority="41" operator="lessThan">
      <formula>0</formula>
    </cfRule>
    <cfRule type="cellIs" dxfId="8" priority="42" operator="greaterThan">
      <formula>0</formula>
    </cfRule>
  </conditionalFormatting>
  <conditionalFormatting sqref="N8:P8">
    <cfRule type="cellIs" dxfId="7" priority="7" operator="lessThan">
      <formula>0</formula>
    </cfRule>
    <cfRule type="cellIs" dxfId="6" priority="8" operator="greaterThan">
      <formula>0</formula>
    </cfRule>
  </conditionalFormatting>
  <conditionalFormatting sqref="P10:P69">
    <cfRule type="cellIs" dxfId="5" priority="5" operator="lessThan">
      <formula>0</formula>
    </cfRule>
    <cfRule type="cellIs" dxfId="4" priority="6" operator="greaterThan">
      <formula>0</formula>
    </cfRule>
  </conditionalFormatting>
  <conditionalFormatting sqref="N70:O82">
    <cfRule type="cellIs" dxfId="3" priority="3" operator="lessThan">
      <formula>0</formula>
    </cfRule>
    <cfRule type="cellIs" dxfId="2" priority="4" operator="greaterThan">
      <formula>0</formula>
    </cfRule>
  </conditionalFormatting>
  <conditionalFormatting sqref="P70:P82">
    <cfRule type="cellIs" dxfId="1" priority="1" operator="lessThan">
      <formula>0</formula>
    </cfRule>
    <cfRule type="cellIs" dxfId="0" priority="2" operator="greaterThan">
      <formula>0</formula>
    </cfRule>
  </conditionalFormatting>
  <hyperlinks>
    <hyperlink ref="O2" location="Menu!A1" display="Menu" xr:uid="{737F3C9E-3A0E-416C-9576-8A483A411DEC}"/>
    <hyperlink ref="P2" location="'Stock Guide'!A1" display="Stock Guide" xr:uid="{3F6181B5-F6C4-436D-AE8F-C27187CF5754}"/>
  </hyperlinks>
  <pageMargins left="0.7" right="0.7" top="0.75" bottom="0.75" header="0.3" footer="0.3"/>
  <pageSetup fitToWidth="9"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A3F1-0C9F-4986-8C97-DC1F9120E33F}">
  <sheetPr codeName="Planilha2">
    <tabColor rgb="FF00447C"/>
  </sheetPr>
  <dimension ref="A1:XFC31"/>
  <sheetViews>
    <sheetView showGridLines="0" showRowColHeaders="0" workbookViewId="0">
      <selection activeCell="E2" sqref="E2"/>
    </sheetView>
  </sheetViews>
  <sheetFormatPr defaultColWidth="0" defaultRowHeight="14.25" zeroHeight="1" x14ac:dyDescent="0.2"/>
  <cols>
    <col min="1" max="1" width="0.5703125" style="6" customWidth="1"/>
    <col min="2" max="2" width="39.140625" style="6" bestFit="1" customWidth="1"/>
    <col min="3" max="3" width="109.42578125" style="6" customWidth="1"/>
    <col min="4" max="4" width="2.85546875" style="6" customWidth="1"/>
    <col min="5" max="5" width="9.140625" style="6" customWidth="1"/>
    <col min="6" max="6" width="0.5703125" style="6" customWidth="1"/>
    <col min="7" max="16" width="0" style="6" hidden="1" customWidth="1"/>
    <col min="17" max="16384" width="9.140625" style="6" hidden="1"/>
  </cols>
  <sheetData>
    <row r="1" spans="2:16383" ht="3" customHeight="1" thickBot="1" x14ac:dyDescent="0.25"/>
    <row r="2" spans="2:16383" ht="14.25" customHeight="1" thickBot="1" x14ac:dyDescent="0.25">
      <c r="E2" s="145" t="s">
        <v>57</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c r="AMI2" s="8"/>
      <c r="AMJ2" s="8"/>
      <c r="AMK2" s="8"/>
      <c r="AML2" s="8"/>
      <c r="AMM2" s="8"/>
      <c r="AMN2" s="8"/>
      <c r="AMO2" s="8"/>
      <c r="AMP2" s="8"/>
      <c r="AMQ2" s="8"/>
      <c r="AMR2" s="8"/>
      <c r="AMS2" s="8"/>
      <c r="AMT2" s="8"/>
      <c r="AMU2" s="8"/>
      <c r="AMV2" s="8"/>
      <c r="AMW2" s="8"/>
      <c r="AMX2" s="8"/>
      <c r="AMY2" s="8"/>
      <c r="AMZ2" s="8"/>
      <c r="ANA2" s="8"/>
      <c r="ANB2" s="8"/>
      <c r="ANC2" s="8"/>
      <c r="AND2" s="8"/>
      <c r="ANE2" s="8"/>
      <c r="ANF2" s="8"/>
      <c r="ANG2" s="8"/>
      <c r="ANH2" s="8"/>
      <c r="ANI2" s="8"/>
      <c r="ANJ2" s="8"/>
      <c r="ANK2" s="8"/>
      <c r="ANL2" s="8"/>
      <c r="ANM2" s="8"/>
      <c r="ANN2" s="8"/>
      <c r="ANO2" s="8"/>
      <c r="ANP2" s="8"/>
      <c r="ANQ2" s="8"/>
      <c r="ANR2" s="8"/>
      <c r="ANS2" s="8"/>
      <c r="ANT2" s="8"/>
      <c r="ANU2" s="8"/>
      <c r="ANV2" s="8"/>
      <c r="ANW2" s="8"/>
      <c r="ANX2" s="8"/>
      <c r="ANY2" s="8"/>
      <c r="ANZ2" s="8"/>
      <c r="AOA2" s="8"/>
      <c r="AOB2" s="8"/>
      <c r="AOC2" s="8"/>
      <c r="AOD2" s="8"/>
      <c r="AOE2" s="8"/>
      <c r="AOF2" s="8"/>
      <c r="AOG2" s="8"/>
      <c r="AOH2" s="8"/>
      <c r="AOI2" s="8"/>
      <c r="AOJ2" s="8"/>
      <c r="AOK2" s="8"/>
      <c r="AOL2" s="8"/>
      <c r="AOM2" s="8"/>
      <c r="AON2" s="8"/>
      <c r="AOO2" s="8"/>
      <c r="AOP2" s="8"/>
      <c r="AOQ2" s="8"/>
      <c r="AOR2" s="8"/>
      <c r="AOS2" s="8"/>
      <c r="AOT2" s="8"/>
      <c r="AOU2" s="8"/>
      <c r="AOV2" s="8"/>
      <c r="AOW2" s="8"/>
      <c r="AOX2" s="8"/>
      <c r="AOY2" s="8"/>
      <c r="AOZ2" s="8"/>
      <c r="APA2" s="8"/>
      <c r="APB2" s="8"/>
      <c r="APC2" s="8"/>
      <c r="APD2" s="8"/>
      <c r="APE2" s="8"/>
      <c r="APF2" s="8"/>
      <c r="APG2" s="8"/>
      <c r="APH2" s="8"/>
      <c r="API2" s="8"/>
      <c r="APJ2" s="8"/>
      <c r="APK2" s="8"/>
      <c r="APL2" s="8"/>
      <c r="APM2" s="8"/>
      <c r="APN2" s="8"/>
      <c r="APO2" s="8"/>
      <c r="APP2" s="8"/>
      <c r="APQ2" s="8"/>
      <c r="APR2" s="8"/>
      <c r="APS2" s="8"/>
      <c r="APT2" s="8"/>
      <c r="APU2" s="8"/>
      <c r="APV2" s="8"/>
      <c r="APW2" s="8"/>
      <c r="APX2" s="8"/>
      <c r="APY2" s="8"/>
      <c r="APZ2" s="8"/>
      <c r="AQA2" s="8"/>
      <c r="AQB2" s="8"/>
      <c r="AQC2" s="8"/>
      <c r="AQD2" s="8"/>
      <c r="AQE2" s="8"/>
      <c r="AQF2" s="8"/>
      <c r="AQG2" s="8"/>
      <c r="AQH2" s="8"/>
      <c r="AQI2" s="8"/>
      <c r="AQJ2" s="8"/>
      <c r="AQK2" s="8"/>
      <c r="AQL2" s="8"/>
      <c r="AQM2" s="8"/>
      <c r="AQN2" s="8"/>
      <c r="AQO2" s="8"/>
      <c r="AQP2" s="8"/>
      <c r="AQQ2" s="8"/>
      <c r="AQR2" s="8"/>
      <c r="AQS2" s="8"/>
      <c r="AQT2" s="8"/>
      <c r="AQU2" s="8"/>
      <c r="AQV2" s="8"/>
      <c r="AQW2" s="8"/>
      <c r="AQX2" s="8"/>
      <c r="AQY2" s="8"/>
      <c r="AQZ2" s="8"/>
      <c r="ARA2" s="8"/>
      <c r="ARB2" s="8"/>
      <c r="ARC2" s="8"/>
      <c r="ARD2" s="8"/>
      <c r="ARE2" s="8"/>
      <c r="ARF2" s="8"/>
      <c r="ARG2" s="8"/>
      <c r="ARH2" s="8"/>
      <c r="ARI2" s="8"/>
      <c r="ARJ2" s="8"/>
      <c r="ARK2" s="8"/>
      <c r="ARL2" s="8"/>
      <c r="ARM2" s="8"/>
      <c r="ARN2" s="8"/>
      <c r="ARO2" s="8"/>
      <c r="ARP2" s="8"/>
      <c r="ARQ2" s="8"/>
      <c r="ARR2" s="8"/>
      <c r="ARS2" s="8"/>
      <c r="ART2" s="8"/>
      <c r="ARU2" s="8"/>
      <c r="ARV2" s="8"/>
      <c r="ARW2" s="8"/>
      <c r="ARX2" s="8"/>
      <c r="ARY2" s="8"/>
      <c r="ARZ2" s="8"/>
      <c r="ASA2" s="8"/>
      <c r="ASB2" s="8"/>
      <c r="ASC2" s="8"/>
      <c r="ASD2" s="8"/>
      <c r="ASE2" s="8"/>
      <c r="ASF2" s="8"/>
      <c r="ASG2" s="8"/>
      <c r="ASH2" s="8"/>
      <c r="ASI2" s="8"/>
      <c r="ASJ2" s="8"/>
      <c r="ASK2" s="8"/>
      <c r="ASL2" s="8"/>
      <c r="ASM2" s="8"/>
      <c r="ASN2" s="8"/>
      <c r="ASO2" s="8"/>
      <c r="ASP2" s="8"/>
      <c r="ASQ2" s="8"/>
      <c r="ASR2" s="8"/>
      <c r="ASS2" s="8"/>
      <c r="AST2" s="8"/>
      <c r="ASU2" s="8"/>
      <c r="ASV2" s="8"/>
      <c r="ASW2" s="8"/>
      <c r="ASX2" s="8"/>
      <c r="ASY2" s="8"/>
      <c r="ASZ2" s="8"/>
      <c r="ATA2" s="8"/>
      <c r="ATB2" s="8"/>
      <c r="ATC2" s="8"/>
      <c r="ATD2" s="8"/>
      <c r="ATE2" s="8"/>
      <c r="ATF2" s="8"/>
      <c r="ATG2" s="8"/>
      <c r="ATH2" s="8"/>
      <c r="ATI2" s="8"/>
      <c r="ATJ2" s="8"/>
      <c r="ATK2" s="8"/>
      <c r="ATL2" s="8"/>
      <c r="ATM2" s="8"/>
      <c r="ATN2" s="8"/>
      <c r="ATO2" s="8"/>
      <c r="ATP2" s="8"/>
      <c r="ATQ2" s="8"/>
      <c r="ATR2" s="8"/>
      <c r="ATS2" s="8"/>
      <c r="ATT2" s="8"/>
      <c r="ATU2" s="8"/>
      <c r="ATV2" s="8"/>
      <c r="ATW2" s="8"/>
      <c r="ATX2" s="8"/>
      <c r="ATY2" s="8"/>
      <c r="ATZ2" s="8"/>
      <c r="AUA2" s="8"/>
      <c r="AUB2" s="8"/>
      <c r="AUC2" s="8"/>
      <c r="AUD2" s="8"/>
      <c r="AUE2" s="8"/>
      <c r="AUF2" s="8"/>
      <c r="AUG2" s="8"/>
      <c r="AUH2" s="8"/>
      <c r="AUI2" s="8"/>
      <c r="AUJ2" s="8"/>
      <c r="AUK2" s="8"/>
      <c r="AUL2" s="8"/>
      <c r="AUM2" s="8"/>
      <c r="AUN2" s="8"/>
      <c r="AUO2" s="8"/>
      <c r="AUP2" s="8"/>
      <c r="AUQ2" s="8"/>
      <c r="AUR2" s="8"/>
      <c r="AUS2" s="8"/>
      <c r="AUT2" s="8"/>
      <c r="AUU2" s="8"/>
      <c r="AUV2" s="8"/>
      <c r="AUW2" s="8"/>
      <c r="AUX2" s="8"/>
      <c r="AUY2" s="8"/>
      <c r="AUZ2" s="8"/>
      <c r="AVA2" s="8"/>
      <c r="AVB2" s="8"/>
      <c r="AVC2" s="8"/>
      <c r="AVD2" s="8"/>
      <c r="AVE2" s="8"/>
      <c r="AVF2" s="8"/>
      <c r="AVG2" s="8"/>
      <c r="AVH2" s="8"/>
      <c r="AVI2" s="8"/>
      <c r="AVJ2" s="8"/>
      <c r="AVK2" s="8"/>
      <c r="AVL2" s="8"/>
      <c r="AVM2" s="8"/>
      <c r="AVN2" s="8"/>
      <c r="AVO2" s="8"/>
      <c r="AVP2" s="8"/>
      <c r="AVQ2" s="8"/>
      <c r="AVR2" s="8"/>
      <c r="AVS2" s="8"/>
      <c r="AVT2" s="8"/>
      <c r="AVU2" s="8"/>
      <c r="AVV2" s="8"/>
      <c r="AVW2" s="8"/>
      <c r="AVX2" s="8"/>
      <c r="AVY2" s="8"/>
      <c r="AVZ2" s="8"/>
      <c r="AWA2" s="8"/>
      <c r="AWB2" s="8"/>
      <c r="AWC2" s="8"/>
      <c r="AWD2" s="8"/>
      <c r="AWE2" s="8"/>
      <c r="AWF2" s="8"/>
      <c r="AWG2" s="8"/>
      <c r="AWH2" s="8"/>
      <c r="AWI2" s="8"/>
      <c r="AWJ2" s="8"/>
      <c r="AWK2" s="8"/>
      <c r="AWL2" s="8"/>
      <c r="AWM2" s="8"/>
      <c r="AWN2" s="8"/>
      <c r="AWO2" s="8"/>
      <c r="AWP2" s="8"/>
      <c r="AWQ2" s="8"/>
      <c r="AWR2" s="8"/>
      <c r="AWS2" s="8"/>
      <c r="AWT2" s="8"/>
      <c r="AWU2" s="8"/>
      <c r="AWV2" s="8"/>
      <c r="AWW2" s="8"/>
      <c r="AWX2" s="8"/>
      <c r="AWY2" s="8"/>
      <c r="AWZ2" s="8"/>
      <c r="AXA2" s="8"/>
      <c r="AXB2" s="8"/>
      <c r="AXC2" s="8"/>
      <c r="AXD2" s="8"/>
      <c r="AXE2" s="8"/>
      <c r="AXF2" s="8"/>
      <c r="AXG2" s="8"/>
      <c r="AXH2" s="8"/>
      <c r="AXI2" s="8"/>
      <c r="AXJ2" s="8"/>
      <c r="AXK2" s="8"/>
      <c r="AXL2" s="8"/>
      <c r="AXM2" s="8"/>
      <c r="AXN2" s="8"/>
      <c r="AXO2" s="8"/>
      <c r="AXP2" s="8"/>
      <c r="AXQ2" s="8"/>
      <c r="AXR2" s="8"/>
      <c r="AXS2" s="8"/>
      <c r="AXT2" s="8"/>
      <c r="AXU2" s="8"/>
      <c r="AXV2" s="8"/>
      <c r="AXW2" s="8"/>
      <c r="AXX2" s="8"/>
      <c r="AXY2" s="8"/>
      <c r="AXZ2" s="8"/>
      <c r="AYA2" s="8"/>
      <c r="AYB2" s="8"/>
      <c r="AYC2" s="8"/>
      <c r="AYD2" s="8"/>
      <c r="AYE2" s="8"/>
      <c r="AYF2" s="8"/>
      <c r="AYG2" s="8"/>
      <c r="AYH2" s="8"/>
      <c r="AYI2" s="8"/>
      <c r="AYJ2" s="8"/>
      <c r="AYK2" s="8"/>
      <c r="AYL2" s="8"/>
      <c r="AYM2" s="8"/>
      <c r="AYN2" s="8"/>
      <c r="AYO2" s="8"/>
      <c r="AYP2" s="8"/>
      <c r="AYQ2" s="8"/>
      <c r="AYR2" s="8"/>
      <c r="AYS2" s="8"/>
      <c r="AYT2" s="8"/>
      <c r="AYU2" s="8"/>
      <c r="AYV2" s="8"/>
      <c r="AYW2" s="8"/>
      <c r="AYX2" s="8"/>
      <c r="AYY2" s="8"/>
      <c r="AYZ2" s="8"/>
      <c r="AZA2" s="8"/>
      <c r="AZB2" s="8"/>
      <c r="AZC2" s="8"/>
      <c r="AZD2" s="8"/>
      <c r="AZE2" s="8"/>
      <c r="AZF2" s="8"/>
      <c r="AZG2" s="8"/>
      <c r="AZH2" s="8"/>
      <c r="AZI2" s="8"/>
      <c r="AZJ2" s="8"/>
      <c r="AZK2" s="8"/>
      <c r="AZL2" s="8"/>
      <c r="AZM2" s="8"/>
      <c r="AZN2" s="8"/>
      <c r="AZO2" s="8"/>
      <c r="AZP2" s="8"/>
      <c r="AZQ2" s="8"/>
      <c r="AZR2" s="8"/>
      <c r="AZS2" s="8"/>
      <c r="AZT2" s="8"/>
      <c r="AZU2" s="8"/>
      <c r="AZV2" s="8"/>
      <c r="AZW2" s="8"/>
      <c r="AZX2" s="8"/>
      <c r="AZY2" s="8"/>
      <c r="AZZ2" s="8"/>
      <c r="BAA2" s="8"/>
      <c r="BAB2" s="8"/>
      <c r="BAC2" s="8"/>
      <c r="BAD2" s="8"/>
      <c r="BAE2" s="8"/>
      <c r="BAF2" s="8"/>
      <c r="BAG2" s="8"/>
      <c r="BAH2" s="8"/>
      <c r="BAI2" s="8"/>
      <c r="BAJ2" s="8"/>
      <c r="BAK2" s="8"/>
      <c r="BAL2" s="8"/>
      <c r="BAM2" s="8"/>
      <c r="BAN2" s="8"/>
      <c r="BAO2" s="8"/>
      <c r="BAP2" s="8"/>
      <c r="BAQ2" s="8"/>
      <c r="BAR2" s="8"/>
      <c r="BAS2" s="8"/>
      <c r="BAT2" s="8"/>
      <c r="BAU2" s="8"/>
      <c r="BAV2" s="8"/>
      <c r="BAW2" s="8"/>
      <c r="BAX2" s="8"/>
      <c r="BAY2" s="8"/>
      <c r="BAZ2" s="8"/>
      <c r="BBA2" s="8"/>
      <c r="BBB2" s="8"/>
      <c r="BBC2" s="8"/>
      <c r="BBD2" s="8"/>
      <c r="BBE2" s="8"/>
      <c r="BBF2" s="8"/>
      <c r="BBG2" s="8"/>
      <c r="BBH2" s="8"/>
      <c r="BBI2" s="8"/>
      <c r="BBJ2" s="8"/>
      <c r="BBK2" s="8"/>
      <c r="BBL2" s="8"/>
      <c r="BBM2" s="8"/>
      <c r="BBN2" s="8"/>
      <c r="BBO2" s="8"/>
      <c r="BBP2" s="8"/>
      <c r="BBQ2" s="8"/>
      <c r="BBR2" s="8"/>
      <c r="BBS2" s="8"/>
      <c r="BBT2" s="8"/>
      <c r="BBU2" s="8"/>
      <c r="BBV2" s="8"/>
      <c r="BBW2" s="8"/>
      <c r="BBX2" s="8"/>
      <c r="BBY2" s="8"/>
      <c r="BBZ2" s="8"/>
      <c r="BCA2" s="8"/>
      <c r="BCB2" s="8"/>
      <c r="BCC2" s="8"/>
      <c r="BCD2" s="8"/>
      <c r="BCE2" s="8"/>
      <c r="BCF2" s="8"/>
      <c r="BCG2" s="8"/>
      <c r="BCH2" s="8"/>
      <c r="BCI2" s="8"/>
      <c r="BCJ2" s="8"/>
      <c r="BCK2" s="8"/>
      <c r="BCL2" s="8"/>
      <c r="BCM2" s="8"/>
      <c r="BCN2" s="8"/>
      <c r="BCO2" s="8"/>
      <c r="BCP2" s="8"/>
      <c r="BCQ2" s="8"/>
      <c r="BCR2" s="8"/>
      <c r="BCS2" s="8"/>
      <c r="BCT2" s="8"/>
      <c r="BCU2" s="8"/>
      <c r="BCV2" s="8"/>
      <c r="BCW2" s="8"/>
      <c r="BCX2" s="8"/>
      <c r="BCY2" s="8"/>
      <c r="BCZ2" s="8"/>
      <c r="BDA2" s="8"/>
      <c r="BDB2" s="8"/>
      <c r="BDC2" s="8"/>
      <c r="BDD2" s="8"/>
      <c r="BDE2" s="8"/>
      <c r="BDF2" s="8"/>
      <c r="BDG2" s="8"/>
      <c r="BDH2" s="8"/>
      <c r="BDI2" s="8"/>
      <c r="BDJ2" s="8"/>
      <c r="BDK2" s="8"/>
      <c r="BDL2" s="8"/>
      <c r="BDM2" s="8"/>
      <c r="BDN2" s="8"/>
      <c r="BDO2" s="8"/>
      <c r="BDP2" s="8"/>
      <c r="BDQ2" s="8"/>
      <c r="BDR2" s="8"/>
      <c r="BDS2" s="8"/>
      <c r="BDT2" s="8"/>
      <c r="BDU2" s="8"/>
      <c r="BDV2" s="8"/>
      <c r="BDW2" s="8"/>
      <c r="BDX2" s="8"/>
      <c r="BDY2" s="8"/>
      <c r="BDZ2" s="8"/>
      <c r="BEA2" s="8"/>
      <c r="BEB2" s="8"/>
      <c r="BEC2" s="8"/>
      <c r="BED2" s="8"/>
      <c r="BEE2" s="8"/>
      <c r="BEF2" s="8"/>
      <c r="BEG2" s="8"/>
      <c r="BEH2" s="8"/>
      <c r="BEI2" s="8"/>
      <c r="BEJ2" s="8"/>
      <c r="BEK2" s="8"/>
      <c r="BEL2" s="8"/>
      <c r="BEM2" s="8"/>
      <c r="BEN2" s="8"/>
      <c r="BEO2" s="8"/>
      <c r="BEP2" s="8"/>
      <c r="BEQ2" s="8"/>
      <c r="BER2" s="8"/>
      <c r="BES2" s="8"/>
      <c r="BET2" s="8"/>
      <c r="BEU2" s="8"/>
      <c r="BEV2" s="8"/>
      <c r="BEW2" s="8"/>
      <c r="BEX2" s="8"/>
      <c r="BEY2" s="8"/>
      <c r="BEZ2" s="8"/>
      <c r="BFA2" s="8"/>
      <c r="BFB2" s="8"/>
      <c r="BFC2" s="8"/>
      <c r="BFD2" s="8"/>
      <c r="BFE2" s="8"/>
      <c r="BFF2" s="8"/>
      <c r="BFG2" s="8"/>
      <c r="BFH2" s="8"/>
      <c r="BFI2" s="8"/>
      <c r="BFJ2" s="8"/>
      <c r="BFK2" s="8"/>
      <c r="BFL2" s="8"/>
      <c r="BFM2" s="8"/>
      <c r="BFN2" s="8"/>
      <c r="BFO2" s="8"/>
      <c r="BFP2" s="8"/>
      <c r="BFQ2" s="8"/>
      <c r="BFR2" s="8"/>
      <c r="BFS2" s="8"/>
      <c r="BFT2" s="8"/>
      <c r="BFU2" s="8"/>
      <c r="BFV2" s="8"/>
      <c r="BFW2" s="8"/>
      <c r="BFX2" s="8"/>
      <c r="BFY2" s="8"/>
      <c r="BFZ2" s="8"/>
      <c r="BGA2" s="8"/>
      <c r="BGB2" s="8"/>
      <c r="BGC2" s="8"/>
      <c r="BGD2" s="8"/>
      <c r="BGE2" s="8"/>
      <c r="BGF2" s="8"/>
      <c r="BGG2" s="8"/>
      <c r="BGH2" s="8"/>
      <c r="BGI2" s="8"/>
      <c r="BGJ2" s="8"/>
      <c r="BGK2" s="8"/>
      <c r="BGL2" s="8"/>
      <c r="BGM2" s="8"/>
      <c r="BGN2" s="8"/>
      <c r="BGO2" s="8"/>
      <c r="BGP2" s="8"/>
      <c r="BGQ2" s="8"/>
      <c r="BGR2" s="8"/>
      <c r="BGS2" s="8"/>
      <c r="BGT2" s="8"/>
      <c r="BGU2" s="8"/>
      <c r="BGV2" s="8"/>
      <c r="BGW2" s="8"/>
      <c r="BGX2" s="8"/>
      <c r="BGY2" s="8"/>
      <c r="BGZ2" s="8"/>
      <c r="BHA2" s="8"/>
      <c r="BHB2" s="8"/>
      <c r="BHC2" s="8"/>
      <c r="BHD2" s="8"/>
      <c r="BHE2" s="8"/>
      <c r="BHF2" s="8"/>
      <c r="BHG2" s="8"/>
      <c r="BHH2" s="8"/>
      <c r="BHI2" s="8"/>
      <c r="BHJ2" s="8"/>
      <c r="BHK2" s="8"/>
      <c r="BHL2" s="8"/>
      <c r="BHM2" s="8"/>
      <c r="BHN2" s="8"/>
      <c r="BHO2" s="8"/>
      <c r="BHP2" s="8"/>
      <c r="BHQ2" s="8"/>
      <c r="BHR2" s="8"/>
      <c r="BHS2" s="8"/>
      <c r="BHT2" s="8"/>
      <c r="BHU2" s="8"/>
      <c r="BHV2" s="8"/>
      <c r="BHW2" s="8"/>
      <c r="BHX2" s="8"/>
      <c r="BHY2" s="8"/>
      <c r="BHZ2" s="8"/>
      <c r="BIA2" s="8"/>
      <c r="BIB2" s="8"/>
      <c r="BIC2" s="8"/>
      <c r="BID2" s="8"/>
      <c r="BIE2" s="8"/>
      <c r="BIF2" s="8"/>
      <c r="BIG2" s="8"/>
      <c r="BIH2" s="8"/>
      <c r="BII2" s="8"/>
      <c r="BIJ2" s="8"/>
      <c r="BIK2" s="8"/>
      <c r="BIL2" s="8"/>
      <c r="BIM2" s="8"/>
      <c r="BIN2" s="8"/>
      <c r="BIO2" s="8"/>
      <c r="BIP2" s="8"/>
      <c r="BIQ2" s="8"/>
      <c r="BIR2" s="8"/>
      <c r="BIS2" s="8"/>
      <c r="BIT2" s="8"/>
      <c r="BIU2" s="8"/>
      <c r="BIV2" s="8"/>
      <c r="BIW2" s="8"/>
      <c r="BIX2" s="8"/>
      <c r="BIY2" s="8"/>
      <c r="BIZ2" s="8"/>
      <c r="BJA2" s="8"/>
      <c r="BJB2" s="8"/>
      <c r="BJC2" s="8"/>
      <c r="BJD2" s="8"/>
      <c r="BJE2" s="8"/>
      <c r="BJF2" s="8"/>
      <c r="BJG2" s="8"/>
      <c r="BJH2" s="8"/>
      <c r="BJI2" s="8"/>
      <c r="BJJ2" s="8"/>
      <c r="BJK2" s="8"/>
      <c r="BJL2" s="8"/>
      <c r="BJM2" s="8"/>
      <c r="BJN2" s="8"/>
      <c r="BJO2" s="8"/>
      <c r="BJP2" s="8"/>
      <c r="BJQ2" s="8"/>
      <c r="BJR2" s="8"/>
      <c r="BJS2" s="8"/>
      <c r="BJT2" s="8"/>
      <c r="BJU2" s="8"/>
      <c r="BJV2" s="8"/>
      <c r="BJW2" s="8"/>
      <c r="BJX2" s="8"/>
      <c r="BJY2" s="8"/>
      <c r="BJZ2" s="8"/>
      <c r="BKA2" s="8"/>
      <c r="BKB2" s="8"/>
      <c r="BKC2" s="8"/>
      <c r="BKD2" s="8"/>
      <c r="BKE2" s="8"/>
      <c r="BKF2" s="8"/>
      <c r="BKG2" s="8"/>
      <c r="BKH2" s="8"/>
      <c r="BKI2" s="8"/>
      <c r="BKJ2" s="8"/>
      <c r="BKK2" s="8"/>
      <c r="BKL2" s="8"/>
      <c r="BKM2" s="8"/>
      <c r="BKN2" s="8"/>
      <c r="BKO2" s="8"/>
      <c r="BKP2" s="8"/>
      <c r="BKQ2" s="8"/>
      <c r="BKR2" s="8"/>
      <c r="BKS2" s="8"/>
      <c r="BKT2" s="8"/>
      <c r="BKU2" s="8"/>
      <c r="BKV2" s="8"/>
      <c r="BKW2" s="8"/>
      <c r="BKX2" s="8"/>
      <c r="BKY2" s="8"/>
      <c r="BKZ2" s="8"/>
      <c r="BLA2" s="8"/>
      <c r="BLB2" s="8"/>
      <c r="BLC2" s="8"/>
      <c r="BLD2" s="8"/>
      <c r="BLE2" s="8"/>
      <c r="BLF2" s="8"/>
      <c r="BLG2" s="8"/>
      <c r="BLH2" s="8"/>
      <c r="BLI2" s="8"/>
      <c r="BLJ2" s="8"/>
      <c r="BLK2" s="8"/>
      <c r="BLL2" s="8"/>
      <c r="BLM2" s="8"/>
      <c r="BLN2" s="8"/>
      <c r="BLO2" s="8"/>
      <c r="BLP2" s="8"/>
      <c r="BLQ2" s="8"/>
      <c r="BLR2" s="8"/>
      <c r="BLS2" s="8"/>
      <c r="BLT2" s="8"/>
      <c r="BLU2" s="8"/>
      <c r="BLV2" s="8"/>
      <c r="BLW2" s="8"/>
      <c r="BLX2" s="8"/>
      <c r="BLY2" s="8"/>
      <c r="BLZ2" s="8"/>
      <c r="BMA2" s="8"/>
      <c r="BMB2" s="8"/>
      <c r="BMC2" s="8"/>
      <c r="BMD2" s="8"/>
      <c r="BME2" s="8"/>
      <c r="BMF2" s="8"/>
      <c r="BMG2" s="8"/>
      <c r="BMH2" s="8"/>
      <c r="BMI2" s="8"/>
      <c r="BMJ2" s="8"/>
      <c r="BMK2" s="8"/>
      <c r="BML2" s="8"/>
      <c r="BMM2" s="8"/>
      <c r="BMN2" s="8"/>
      <c r="BMO2" s="8"/>
      <c r="BMP2" s="8"/>
      <c r="BMQ2" s="8"/>
      <c r="BMR2" s="8"/>
      <c r="BMS2" s="8"/>
      <c r="BMT2" s="8"/>
      <c r="BMU2" s="8"/>
      <c r="BMV2" s="8"/>
      <c r="BMW2" s="8"/>
      <c r="BMX2" s="8"/>
      <c r="BMY2" s="8"/>
      <c r="BMZ2" s="8"/>
      <c r="BNA2" s="8"/>
      <c r="BNB2" s="8"/>
      <c r="BNC2" s="8"/>
      <c r="BND2" s="8"/>
      <c r="BNE2" s="8"/>
      <c r="BNF2" s="8"/>
      <c r="BNG2" s="8"/>
      <c r="BNH2" s="8"/>
      <c r="BNI2" s="8"/>
      <c r="BNJ2" s="8"/>
      <c r="BNK2" s="8"/>
      <c r="BNL2" s="8"/>
      <c r="BNM2" s="8"/>
      <c r="BNN2" s="8"/>
      <c r="BNO2" s="8"/>
      <c r="BNP2" s="8"/>
      <c r="BNQ2" s="8"/>
      <c r="BNR2" s="8"/>
      <c r="BNS2" s="8"/>
      <c r="BNT2" s="8"/>
      <c r="BNU2" s="8"/>
      <c r="BNV2" s="8"/>
      <c r="BNW2" s="8"/>
      <c r="BNX2" s="8"/>
      <c r="BNY2" s="8"/>
      <c r="BNZ2" s="8"/>
      <c r="BOA2" s="8"/>
      <c r="BOB2" s="8"/>
      <c r="BOC2" s="8"/>
      <c r="BOD2" s="8"/>
      <c r="BOE2" s="8"/>
      <c r="BOF2" s="8"/>
      <c r="BOG2" s="8"/>
      <c r="BOH2" s="8"/>
      <c r="BOI2" s="8"/>
      <c r="BOJ2" s="8"/>
      <c r="BOK2" s="8"/>
      <c r="BOL2" s="8"/>
      <c r="BOM2" s="8"/>
      <c r="BON2" s="8"/>
      <c r="BOO2" s="8"/>
      <c r="BOP2" s="8"/>
      <c r="BOQ2" s="8"/>
      <c r="BOR2" s="8"/>
      <c r="BOS2" s="8"/>
      <c r="BOT2" s="8"/>
      <c r="BOU2" s="8"/>
      <c r="BOV2" s="8"/>
      <c r="BOW2" s="8"/>
      <c r="BOX2" s="8"/>
      <c r="BOY2" s="8"/>
      <c r="BOZ2" s="8"/>
      <c r="BPA2" s="8"/>
      <c r="BPB2" s="8"/>
      <c r="BPC2" s="8"/>
      <c r="BPD2" s="8"/>
      <c r="BPE2" s="8"/>
      <c r="BPF2" s="8"/>
      <c r="BPG2" s="8"/>
      <c r="BPH2" s="8"/>
      <c r="BPI2" s="8"/>
      <c r="BPJ2" s="8"/>
      <c r="BPK2" s="8"/>
      <c r="BPL2" s="8"/>
      <c r="BPM2" s="8"/>
      <c r="BPN2" s="8"/>
      <c r="BPO2" s="8"/>
      <c r="BPP2" s="8"/>
      <c r="BPQ2" s="8"/>
      <c r="BPR2" s="8"/>
      <c r="BPS2" s="8"/>
      <c r="BPT2" s="8"/>
      <c r="BPU2" s="8"/>
      <c r="BPV2" s="8"/>
      <c r="BPW2" s="8"/>
      <c r="BPX2" s="8"/>
      <c r="BPY2" s="8"/>
      <c r="BPZ2" s="8"/>
      <c r="BQA2" s="8"/>
      <c r="BQB2" s="8"/>
      <c r="BQC2" s="8"/>
      <c r="BQD2" s="8"/>
      <c r="BQE2" s="8"/>
      <c r="BQF2" s="8"/>
      <c r="BQG2" s="8"/>
      <c r="BQH2" s="8"/>
      <c r="BQI2" s="8"/>
      <c r="BQJ2" s="8"/>
      <c r="BQK2" s="8"/>
      <c r="BQL2" s="8"/>
      <c r="BQM2" s="8"/>
      <c r="BQN2" s="8"/>
      <c r="BQO2" s="8"/>
      <c r="BQP2" s="8"/>
      <c r="BQQ2" s="8"/>
      <c r="BQR2" s="8"/>
      <c r="BQS2" s="8"/>
      <c r="BQT2" s="8"/>
      <c r="BQU2" s="8"/>
      <c r="BQV2" s="8"/>
      <c r="BQW2" s="8"/>
      <c r="BQX2" s="8"/>
      <c r="BQY2" s="8"/>
      <c r="BQZ2" s="8"/>
      <c r="BRA2" s="8"/>
      <c r="BRB2" s="8"/>
      <c r="BRC2" s="8"/>
      <c r="BRD2" s="8"/>
      <c r="BRE2" s="8"/>
      <c r="BRF2" s="8"/>
      <c r="BRG2" s="8"/>
      <c r="BRH2" s="8"/>
      <c r="BRI2" s="8"/>
      <c r="BRJ2" s="8"/>
      <c r="BRK2" s="8"/>
      <c r="BRL2" s="8"/>
      <c r="BRM2" s="8"/>
      <c r="BRN2" s="8"/>
      <c r="BRO2" s="8"/>
      <c r="BRP2" s="8"/>
      <c r="BRQ2" s="8"/>
      <c r="BRR2" s="8"/>
      <c r="BRS2" s="8"/>
      <c r="BRT2" s="8"/>
      <c r="BRU2" s="8"/>
      <c r="BRV2" s="8"/>
      <c r="BRW2" s="8"/>
      <c r="BRX2" s="8"/>
      <c r="BRY2" s="8"/>
      <c r="BRZ2" s="8"/>
      <c r="BSA2" s="8"/>
      <c r="BSB2" s="8"/>
      <c r="BSC2" s="8"/>
      <c r="BSD2" s="8"/>
      <c r="BSE2" s="8"/>
      <c r="BSF2" s="8"/>
      <c r="BSG2" s="8"/>
      <c r="BSH2" s="8"/>
      <c r="BSI2" s="8"/>
      <c r="BSJ2" s="8"/>
      <c r="BSK2" s="8"/>
      <c r="BSL2" s="8"/>
      <c r="BSM2" s="8"/>
      <c r="BSN2" s="8"/>
      <c r="BSO2" s="8"/>
      <c r="BSP2" s="8"/>
      <c r="BSQ2" s="8"/>
      <c r="BSR2" s="8"/>
      <c r="BSS2" s="8"/>
      <c r="BST2" s="8"/>
      <c r="BSU2" s="8"/>
      <c r="BSV2" s="8"/>
      <c r="BSW2" s="8"/>
      <c r="BSX2" s="8"/>
      <c r="BSY2" s="8"/>
      <c r="BSZ2" s="8"/>
      <c r="BTA2" s="8"/>
      <c r="BTB2" s="8"/>
      <c r="BTC2" s="8"/>
      <c r="BTD2" s="8"/>
      <c r="BTE2" s="8"/>
      <c r="BTF2" s="8"/>
      <c r="BTG2" s="8"/>
      <c r="BTH2" s="8"/>
      <c r="BTI2" s="8"/>
      <c r="BTJ2" s="8"/>
      <c r="BTK2" s="8"/>
      <c r="BTL2" s="8"/>
      <c r="BTM2" s="8"/>
      <c r="BTN2" s="8"/>
      <c r="BTO2" s="8"/>
      <c r="BTP2" s="8"/>
      <c r="BTQ2" s="8"/>
      <c r="BTR2" s="8"/>
      <c r="BTS2" s="8"/>
      <c r="BTT2" s="8"/>
      <c r="BTU2" s="8"/>
      <c r="BTV2" s="8"/>
      <c r="BTW2" s="8"/>
      <c r="BTX2" s="8"/>
      <c r="BTY2" s="8"/>
      <c r="BTZ2" s="8"/>
      <c r="BUA2" s="8"/>
      <c r="BUB2" s="8"/>
      <c r="BUC2" s="8"/>
      <c r="BUD2" s="8"/>
      <c r="BUE2" s="8"/>
      <c r="BUF2" s="8"/>
      <c r="BUG2" s="8"/>
      <c r="BUH2" s="8"/>
      <c r="BUI2" s="8"/>
      <c r="BUJ2" s="8"/>
      <c r="BUK2" s="8"/>
      <c r="BUL2" s="8"/>
      <c r="BUM2" s="8"/>
      <c r="BUN2" s="8"/>
      <c r="BUO2" s="8"/>
      <c r="BUP2" s="8"/>
      <c r="BUQ2" s="8"/>
      <c r="BUR2" s="8"/>
      <c r="BUS2" s="8"/>
      <c r="BUT2" s="8"/>
      <c r="BUU2" s="8"/>
      <c r="BUV2" s="8"/>
      <c r="BUW2" s="8"/>
      <c r="BUX2" s="8"/>
      <c r="BUY2" s="8"/>
      <c r="BUZ2" s="8"/>
      <c r="BVA2" s="8"/>
      <c r="BVB2" s="8"/>
      <c r="BVC2" s="8"/>
      <c r="BVD2" s="8"/>
      <c r="BVE2" s="8"/>
      <c r="BVF2" s="8"/>
      <c r="BVG2" s="8"/>
      <c r="BVH2" s="8"/>
      <c r="BVI2" s="8"/>
      <c r="BVJ2" s="8"/>
      <c r="BVK2" s="8"/>
      <c r="BVL2" s="8"/>
      <c r="BVM2" s="8"/>
      <c r="BVN2" s="8"/>
      <c r="BVO2" s="8"/>
      <c r="BVP2" s="8"/>
      <c r="BVQ2" s="8"/>
      <c r="BVR2" s="8"/>
      <c r="BVS2" s="8"/>
      <c r="BVT2" s="8"/>
      <c r="BVU2" s="8"/>
      <c r="BVV2" s="8"/>
      <c r="BVW2" s="8"/>
      <c r="BVX2" s="8"/>
      <c r="BVY2" s="8"/>
      <c r="BVZ2" s="8"/>
      <c r="BWA2" s="8"/>
      <c r="BWB2" s="8"/>
      <c r="BWC2" s="8"/>
      <c r="BWD2" s="8"/>
      <c r="BWE2" s="8"/>
      <c r="BWF2" s="8"/>
      <c r="BWG2" s="8"/>
      <c r="BWH2" s="8"/>
      <c r="BWI2" s="8"/>
      <c r="BWJ2" s="8"/>
      <c r="BWK2" s="8"/>
      <c r="BWL2" s="8"/>
      <c r="BWM2" s="8"/>
      <c r="BWN2" s="8"/>
      <c r="BWO2" s="8"/>
      <c r="BWP2" s="8"/>
      <c r="BWQ2" s="8"/>
      <c r="BWR2" s="8"/>
      <c r="BWS2" s="8"/>
      <c r="BWT2" s="8"/>
      <c r="BWU2" s="8"/>
      <c r="BWV2" s="8"/>
      <c r="BWW2" s="8"/>
      <c r="BWX2" s="8"/>
      <c r="BWY2" s="8"/>
      <c r="BWZ2" s="8"/>
      <c r="BXA2" s="8"/>
      <c r="BXB2" s="8"/>
      <c r="BXC2" s="8"/>
      <c r="BXD2" s="8"/>
      <c r="BXE2" s="8"/>
      <c r="BXF2" s="8"/>
      <c r="BXG2" s="8"/>
      <c r="BXH2" s="8"/>
      <c r="BXI2" s="8"/>
      <c r="BXJ2" s="8"/>
      <c r="BXK2" s="8"/>
      <c r="BXL2" s="8"/>
      <c r="BXM2" s="8"/>
      <c r="BXN2" s="8"/>
      <c r="BXO2" s="8"/>
      <c r="BXP2" s="8"/>
      <c r="BXQ2" s="8"/>
      <c r="BXR2" s="8"/>
      <c r="BXS2" s="8"/>
      <c r="BXT2" s="8"/>
      <c r="BXU2" s="8"/>
      <c r="BXV2" s="8"/>
      <c r="BXW2" s="8"/>
      <c r="BXX2" s="8"/>
      <c r="BXY2" s="8"/>
      <c r="BXZ2" s="8"/>
      <c r="BYA2" s="8"/>
      <c r="BYB2" s="8"/>
      <c r="BYC2" s="8"/>
      <c r="BYD2" s="8"/>
      <c r="BYE2" s="8"/>
      <c r="BYF2" s="8"/>
      <c r="BYG2" s="8"/>
      <c r="BYH2" s="8"/>
      <c r="BYI2" s="8"/>
      <c r="BYJ2" s="8"/>
      <c r="BYK2" s="8"/>
      <c r="BYL2" s="8"/>
      <c r="BYM2" s="8"/>
      <c r="BYN2" s="8"/>
      <c r="BYO2" s="8"/>
      <c r="BYP2" s="8"/>
      <c r="BYQ2" s="8"/>
      <c r="BYR2" s="8"/>
      <c r="BYS2" s="8"/>
      <c r="BYT2" s="8"/>
      <c r="BYU2" s="8"/>
      <c r="BYV2" s="8"/>
      <c r="BYW2" s="8"/>
      <c r="BYX2" s="8"/>
      <c r="BYY2" s="8"/>
      <c r="BYZ2" s="8"/>
      <c r="BZA2" s="8"/>
      <c r="BZB2" s="8"/>
      <c r="BZC2" s="8"/>
      <c r="BZD2" s="8"/>
      <c r="BZE2" s="8"/>
      <c r="BZF2" s="8"/>
      <c r="BZG2" s="8"/>
      <c r="BZH2" s="8"/>
      <c r="BZI2" s="8"/>
      <c r="BZJ2" s="8"/>
      <c r="BZK2" s="8"/>
      <c r="BZL2" s="8"/>
      <c r="BZM2" s="8"/>
      <c r="BZN2" s="8"/>
      <c r="BZO2" s="8"/>
      <c r="BZP2" s="8"/>
      <c r="BZQ2" s="8"/>
      <c r="BZR2" s="8"/>
      <c r="BZS2" s="8"/>
      <c r="BZT2" s="8"/>
      <c r="BZU2" s="8"/>
      <c r="BZV2" s="8"/>
      <c r="BZW2" s="8"/>
      <c r="BZX2" s="8"/>
      <c r="BZY2" s="8"/>
      <c r="BZZ2" s="8"/>
      <c r="CAA2" s="8"/>
      <c r="CAB2" s="8"/>
      <c r="CAC2" s="8"/>
      <c r="CAD2" s="8"/>
      <c r="CAE2" s="8"/>
      <c r="CAF2" s="8"/>
      <c r="CAG2" s="8"/>
      <c r="CAH2" s="8"/>
      <c r="CAI2" s="8"/>
      <c r="CAJ2" s="8"/>
      <c r="CAK2" s="8"/>
      <c r="CAL2" s="8"/>
      <c r="CAM2" s="8"/>
      <c r="CAN2" s="8"/>
      <c r="CAO2" s="8"/>
      <c r="CAP2" s="8"/>
      <c r="CAQ2" s="8"/>
      <c r="CAR2" s="8"/>
      <c r="CAS2" s="8"/>
      <c r="CAT2" s="8"/>
      <c r="CAU2" s="8"/>
      <c r="CAV2" s="8"/>
      <c r="CAW2" s="8"/>
      <c r="CAX2" s="8"/>
      <c r="CAY2" s="8"/>
      <c r="CAZ2" s="8"/>
      <c r="CBA2" s="8"/>
      <c r="CBB2" s="8"/>
      <c r="CBC2" s="8"/>
      <c r="CBD2" s="8"/>
      <c r="CBE2" s="8"/>
      <c r="CBF2" s="8"/>
      <c r="CBG2" s="8"/>
      <c r="CBH2" s="8"/>
      <c r="CBI2" s="8"/>
      <c r="CBJ2" s="8"/>
      <c r="CBK2" s="8"/>
      <c r="CBL2" s="8"/>
      <c r="CBM2" s="8"/>
      <c r="CBN2" s="8"/>
      <c r="CBO2" s="8"/>
      <c r="CBP2" s="8"/>
      <c r="CBQ2" s="8"/>
      <c r="CBR2" s="8"/>
      <c r="CBS2" s="8"/>
      <c r="CBT2" s="8"/>
      <c r="CBU2" s="8"/>
      <c r="CBV2" s="8"/>
      <c r="CBW2" s="8"/>
      <c r="CBX2" s="8"/>
      <c r="CBY2" s="8"/>
      <c r="CBZ2" s="8"/>
      <c r="CCA2" s="8"/>
      <c r="CCB2" s="8"/>
      <c r="CCC2" s="8"/>
      <c r="CCD2" s="8"/>
      <c r="CCE2" s="8"/>
      <c r="CCF2" s="8"/>
      <c r="CCG2" s="8"/>
      <c r="CCH2" s="8"/>
      <c r="CCI2" s="8"/>
      <c r="CCJ2" s="8"/>
      <c r="CCK2" s="8"/>
      <c r="CCL2" s="8"/>
      <c r="CCM2" s="8"/>
      <c r="CCN2" s="8"/>
      <c r="CCO2" s="8"/>
      <c r="CCP2" s="8"/>
      <c r="CCQ2" s="8"/>
      <c r="CCR2" s="8"/>
      <c r="CCS2" s="8"/>
      <c r="CCT2" s="8"/>
      <c r="CCU2" s="8"/>
      <c r="CCV2" s="8"/>
      <c r="CCW2" s="8"/>
      <c r="CCX2" s="8"/>
      <c r="CCY2" s="8"/>
      <c r="CCZ2" s="8"/>
      <c r="CDA2" s="8"/>
      <c r="CDB2" s="8"/>
      <c r="CDC2" s="8"/>
      <c r="CDD2" s="8"/>
      <c r="CDE2" s="8"/>
      <c r="CDF2" s="8"/>
      <c r="CDG2" s="8"/>
      <c r="CDH2" s="8"/>
      <c r="CDI2" s="8"/>
      <c r="CDJ2" s="8"/>
      <c r="CDK2" s="8"/>
      <c r="CDL2" s="8"/>
      <c r="CDM2" s="8"/>
      <c r="CDN2" s="8"/>
      <c r="CDO2" s="8"/>
      <c r="CDP2" s="8"/>
      <c r="CDQ2" s="8"/>
      <c r="CDR2" s="8"/>
      <c r="CDS2" s="8"/>
      <c r="CDT2" s="8"/>
      <c r="CDU2" s="8"/>
      <c r="CDV2" s="8"/>
      <c r="CDW2" s="8"/>
      <c r="CDX2" s="8"/>
      <c r="CDY2" s="8"/>
      <c r="CDZ2" s="8"/>
      <c r="CEA2" s="8"/>
      <c r="CEB2" s="8"/>
      <c r="CEC2" s="8"/>
      <c r="CED2" s="8"/>
      <c r="CEE2" s="8"/>
      <c r="CEF2" s="8"/>
      <c r="CEG2" s="8"/>
      <c r="CEH2" s="8"/>
      <c r="CEI2" s="8"/>
      <c r="CEJ2" s="8"/>
      <c r="CEK2" s="8"/>
      <c r="CEL2" s="8"/>
      <c r="CEM2" s="8"/>
      <c r="CEN2" s="8"/>
      <c r="CEO2" s="8"/>
      <c r="CEP2" s="8"/>
      <c r="CEQ2" s="8"/>
      <c r="CER2" s="8"/>
      <c r="CES2" s="8"/>
      <c r="CET2" s="8"/>
      <c r="CEU2" s="8"/>
      <c r="CEV2" s="8"/>
      <c r="CEW2" s="8"/>
      <c r="CEX2" s="8"/>
      <c r="CEY2" s="8"/>
      <c r="CEZ2" s="8"/>
      <c r="CFA2" s="8"/>
      <c r="CFB2" s="8"/>
      <c r="CFC2" s="8"/>
      <c r="CFD2" s="8"/>
      <c r="CFE2" s="8"/>
      <c r="CFF2" s="8"/>
      <c r="CFG2" s="8"/>
      <c r="CFH2" s="8"/>
      <c r="CFI2" s="8"/>
      <c r="CFJ2" s="8"/>
      <c r="CFK2" s="8"/>
      <c r="CFL2" s="8"/>
      <c r="CFM2" s="8"/>
      <c r="CFN2" s="8"/>
      <c r="CFO2" s="8"/>
      <c r="CFP2" s="8"/>
      <c r="CFQ2" s="8"/>
      <c r="CFR2" s="8"/>
      <c r="CFS2" s="8"/>
      <c r="CFT2" s="8"/>
      <c r="CFU2" s="8"/>
      <c r="CFV2" s="8"/>
      <c r="CFW2" s="8"/>
      <c r="CFX2" s="8"/>
      <c r="CFY2" s="8"/>
      <c r="CFZ2" s="8"/>
      <c r="CGA2" s="8"/>
      <c r="CGB2" s="8"/>
      <c r="CGC2" s="8"/>
      <c r="CGD2" s="8"/>
      <c r="CGE2" s="8"/>
      <c r="CGF2" s="8"/>
      <c r="CGG2" s="8"/>
      <c r="CGH2" s="8"/>
      <c r="CGI2" s="8"/>
      <c r="CGJ2" s="8"/>
      <c r="CGK2" s="8"/>
      <c r="CGL2" s="8"/>
      <c r="CGM2" s="8"/>
      <c r="CGN2" s="8"/>
      <c r="CGO2" s="8"/>
      <c r="CGP2" s="8"/>
      <c r="CGQ2" s="8"/>
      <c r="CGR2" s="8"/>
      <c r="CGS2" s="8"/>
      <c r="CGT2" s="8"/>
      <c r="CGU2" s="8"/>
      <c r="CGV2" s="8"/>
      <c r="CGW2" s="8"/>
      <c r="CGX2" s="8"/>
      <c r="CGY2" s="8"/>
      <c r="CGZ2" s="8"/>
      <c r="CHA2" s="8"/>
      <c r="CHB2" s="8"/>
      <c r="CHC2" s="8"/>
      <c r="CHD2" s="8"/>
      <c r="CHE2" s="8"/>
      <c r="CHF2" s="8"/>
      <c r="CHG2" s="8"/>
      <c r="CHH2" s="8"/>
      <c r="CHI2" s="8"/>
      <c r="CHJ2" s="8"/>
      <c r="CHK2" s="8"/>
      <c r="CHL2" s="8"/>
      <c r="CHM2" s="8"/>
      <c r="CHN2" s="8"/>
      <c r="CHO2" s="8"/>
      <c r="CHP2" s="8"/>
      <c r="CHQ2" s="8"/>
      <c r="CHR2" s="8"/>
      <c r="CHS2" s="8"/>
      <c r="CHT2" s="8"/>
      <c r="CHU2" s="8"/>
      <c r="CHV2" s="8"/>
      <c r="CHW2" s="8"/>
      <c r="CHX2" s="8"/>
      <c r="CHY2" s="8"/>
      <c r="CHZ2" s="8"/>
      <c r="CIA2" s="8"/>
      <c r="CIB2" s="8"/>
      <c r="CIC2" s="8"/>
      <c r="CID2" s="8"/>
      <c r="CIE2" s="8"/>
      <c r="CIF2" s="8"/>
      <c r="CIG2" s="8"/>
      <c r="CIH2" s="8"/>
      <c r="CII2" s="8"/>
      <c r="CIJ2" s="8"/>
      <c r="CIK2" s="8"/>
      <c r="CIL2" s="8"/>
      <c r="CIM2" s="8"/>
      <c r="CIN2" s="8"/>
      <c r="CIO2" s="8"/>
      <c r="CIP2" s="8"/>
      <c r="CIQ2" s="8"/>
      <c r="CIR2" s="8"/>
      <c r="CIS2" s="8"/>
      <c r="CIT2" s="8"/>
      <c r="CIU2" s="8"/>
      <c r="CIV2" s="8"/>
      <c r="CIW2" s="8"/>
      <c r="CIX2" s="8"/>
      <c r="CIY2" s="8"/>
      <c r="CIZ2" s="8"/>
      <c r="CJA2" s="8"/>
      <c r="CJB2" s="8"/>
      <c r="CJC2" s="8"/>
      <c r="CJD2" s="8"/>
      <c r="CJE2" s="8"/>
      <c r="CJF2" s="8"/>
      <c r="CJG2" s="8"/>
      <c r="CJH2" s="8"/>
      <c r="CJI2" s="8"/>
      <c r="CJJ2" s="8"/>
      <c r="CJK2" s="8"/>
      <c r="CJL2" s="8"/>
      <c r="CJM2" s="8"/>
      <c r="CJN2" s="8"/>
      <c r="CJO2" s="8"/>
      <c r="CJP2" s="8"/>
      <c r="CJQ2" s="8"/>
      <c r="CJR2" s="8"/>
      <c r="CJS2" s="8"/>
      <c r="CJT2" s="8"/>
      <c r="CJU2" s="8"/>
      <c r="CJV2" s="8"/>
      <c r="CJW2" s="8"/>
      <c r="CJX2" s="8"/>
      <c r="CJY2" s="8"/>
      <c r="CJZ2" s="8"/>
      <c r="CKA2" s="8"/>
      <c r="CKB2" s="8"/>
      <c r="CKC2" s="8"/>
      <c r="CKD2" s="8"/>
      <c r="CKE2" s="8"/>
      <c r="CKF2" s="8"/>
      <c r="CKG2" s="8"/>
      <c r="CKH2" s="8"/>
      <c r="CKI2" s="8"/>
      <c r="CKJ2" s="8"/>
      <c r="CKK2" s="8"/>
      <c r="CKL2" s="8"/>
      <c r="CKM2" s="8"/>
      <c r="CKN2" s="8"/>
      <c r="CKO2" s="8"/>
      <c r="CKP2" s="8"/>
      <c r="CKQ2" s="8"/>
      <c r="CKR2" s="8"/>
      <c r="CKS2" s="8"/>
      <c r="CKT2" s="8"/>
      <c r="CKU2" s="8"/>
      <c r="CKV2" s="8"/>
      <c r="CKW2" s="8"/>
      <c r="CKX2" s="8"/>
      <c r="CKY2" s="8"/>
      <c r="CKZ2" s="8"/>
      <c r="CLA2" s="8"/>
      <c r="CLB2" s="8"/>
      <c r="CLC2" s="8"/>
      <c r="CLD2" s="8"/>
      <c r="CLE2" s="8"/>
      <c r="CLF2" s="8"/>
      <c r="CLG2" s="8"/>
      <c r="CLH2" s="8"/>
      <c r="CLI2" s="8"/>
      <c r="CLJ2" s="8"/>
      <c r="CLK2" s="8"/>
      <c r="CLL2" s="8"/>
      <c r="CLM2" s="8"/>
      <c r="CLN2" s="8"/>
      <c r="CLO2" s="8"/>
      <c r="CLP2" s="8"/>
      <c r="CLQ2" s="8"/>
      <c r="CLR2" s="8"/>
      <c r="CLS2" s="8"/>
      <c r="CLT2" s="8"/>
      <c r="CLU2" s="8"/>
      <c r="CLV2" s="8"/>
      <c r="CLW2" s="8"/>
      <c r="CLX2" s="8"/>
      <c r="CLY2" s="8"/>
      <c r="CLZ2" s="8"/>
      <c r="CMA2" s="8"/>
      <c r="CMB2" s="8"/>
      <c r="CMC2" s="8"/>
      <c r="CMD2" s="8"/>
      <c r="CME2" s="8"/>
      <c r="CMF2" s="8"/>
      <c r="CMG2" s="8"/>
      <c r="CMH2" s="8"/>
      <c r="CMI2" s="8"/>
      <c r="CMJ2" s="8"/>
      <c r="CMK2" s="8"/>
      <c r="CML2" s="8"/>
      <c r="CMM2" s="8"/>
      <c r="CMN2" s="8"/>
      <c r="CMO2" s="8"/>
      <c r="CMP2" s="8"/>
      <c r="CMQ2" s="8"/>
      <c r="CMR2" s="8"/>
      <c r="CMS2" s="8"/>
      <c r="CMT2" s="8"/>
      <c r="CMU2" s="8"/>
      <c r="CMV2" s="8"/>
      <c r="CMW2" s="8"/>
      <c r="CMX2" s="8"/>
      <c r="CMY2" s="8"/>
      <c r="CMZ2" s="8"/>
      <c r="CNA2" s="8"/>
      <c r="CNB2" s="8"/>
      <c r="CNC2" s="8"/>
      <c r="CND2" s="8"/>
      <c r="CNE2" s="8"/>
      <c r="CNF2" s="8"/>
      <c r="CNG2" s="8"/>
      <c r="CNH2" s="8"/>
      <c r="CNI2" s="8"/>
      <c r="CNJ2" s="8"/>
      <c r="CNK2" s="8"/>
      <c r="CNL2" s="8"/>
      <c r="CNM2" s="8"/>
      <c r="CNN2" s="8"/>
      <c r="CNO2" s="8"/>
      <c r="CNP2" s="8"/>
      <c r="CNQ2" s="8"/>
      <c r="CNR2" s="8"/>
      <c r="CNS2" s="8"/>
      <c r="CNT2" s="8"/>
      <c r="CNU2" s="8"/>
      <c r="CNV2" s="8"/>
      <c r="CNW2" s="8"/>
      <c r="CNX2" s="8"/>
      <c r="CNY2" s="8"/>
      <c r="CNZ2" s="8"/>
      <c r="COA2" s="8"/>
      <c r="COB2" s="8"/>
      <c r="COC2" s="8"/>
      <c r="COD2" s="8"/>
      <c r="COE2" s="8"/>
      <c r="COF2" s="8"/>
      <c r="COG2" s="8"/>
      <c r="COH2" s="8"/>
      <c r="COI2" s="8"/>
      <c r="COJ2" s="8"/>
      <c r="COK2" s="8"/>
      <c r="COL2" s="8"/>
      <c r="COM2" s="8"/>
      <c r="CON2" s="8"/>
      <c r="COO2" s="8"/>
      <c r="COP2" s="8"/>
      <c r="COQ2" s="8"/>
      <c r="COR2" s="8"/>
      <c r="COS2" s="8"/>
      <c r="COT2" s="8"/>
      <c r="COU2" s="8"/>
      <c r="COV2" s="8"/>
      <c r="COW2" s="8"/>
      <c r="COX2" s="8"/>
      <c r="COY2" s="8"/>
      <c r="COZ2" s="8"/>
      <c r="CPA2" s="8"/>
      <c r="CPB2" s="8"/>
      <c r="CPC2" s="8"/>
      <c r="CPD2" s="8"/>
      <c r="CPE2" s="8"/>
      <c r="CPF2" s="8"/>
      <c r="CPG2" s="8"/>
      <c r="CPH2" s="8"/>
      <c r="CPI2" s="8"/>
      <c r="CPJ2" s="8"/>
      <c r="CPK2" s="8"/>
      <c r="CPL2" s="8"/>
      <c r="CPM2" s="8"/>
      <c r="CPN2" s="8"/>
      <c r="CPO2" s="8"/>
      <c r="CPP2" s="8"/>
      <c r="CPQ2" s="8"/>
      <c r="CPR2" s="8"/>
      <c r="CPS2" s="8"/>
      <c r="CPT2" s="8"/>
      <c r="CPU2" s="8"/>
      <c r="CPV2" s="8"/>
      <c r="CPW2" s="8"/>
      <c r="CPX2" s="8"/>
      <c r="CPY2" s="8"/>
      <c r="CPZ2" s="8"/>
      <c r="CQA2" s="8"/>
      <c r="CQB2" s="8"/>
      <c r="CQC2" s="8"/>
      <c r="CQD2" s="8"/>
      <c r="CQE2" s="8"/>
      <c r="CQF2" s="8"/>
      <c r="CQG2" s="8"/>
      <c r="CQH2" s="8"/>
      <c r="CQI2" s="8"/>
      <c r="CQJ2" s="8"/>
      <c r="CQK2" s="8"/>
      <c r="CQL2" s="8"/>
      <c r="CQM2" s="8"/>
      <c r="CQN2" s="8"/>
      <c r="CQO2" s="8"/>
      <c r="CQP2" s="8"/>
      <c r="CQQ2" s="8"/>
      <c r="CQR2" s="8"/>
      <c r="CQS2" s="8"/>
      <c r="CQT2" s="8"/>
      <c r="CQU2" s="8"/>
      <c r="CQV2" s="8"/>
      <c r="CQW2" s="8"/>
      <c r="CQX2" s="8"/>
      <c r="CQY2" s="8"/>
      <c r="CQZ2" s="8"/>
      <c r="CRA2" s="8"/>
      <c r="CRB2" s="8"/>
      <c r="CRC2" s="8"/>
      <c r="CRD2" s="8"/>
      <c r="CRE2" s="8"/>
      <c r="CRF2" s="8"/>
      <c r="CRG2" s="8"/>
      <c r="CRH2" s="8"/>
      <c r="CRI2" s="8"/>
      <c r="CRJ2" s="8"/>
      <c r="CRK2" s="8"/>
      <c r="CRL2" s="8"/>
      <c r="CRM2" s="8"/>
      <c r="CRN2" s="8"/>
      <c r="CRO2" s="8"/>
      <c r="CRP2" s="8"/>
      <c r="CRQ2" s="8"/>
      <c r="CRR2" s="8"/>
      <c r="CRS2" s="8"/>
      <c r="CRT2" s="8"/>
      <c r="CRU2" s="8"/>
      <c r="CRV2" s="8"/>
      <c r="CRW2" s="8"/>
      <c r="CRX2" s="8"/>
      <c r="CRY2" s="8"/>
      <c r="CRZ2" s="8"/>
      <c r="CSA2" s="8"/>
      <c r="CSB2" s="8"/>
      <c r="CSC2" s="8"/>
      <c r="CSD2" s="8"/>
      <c r="CSE2" s="8"/>
      <c r="CSF2" s="8"/>
      <c r="CSG2" s="8"/>
      <c r="CSH2" s="8"/>
      <c r="CSI2" s="8"/>
      <c r="CSJ2" s="8"/>
      <c r="CSK2" s="8"/>
      <c r="CSL2" s="8"/>
      <c r="CSM2" s="8"/>
      <c r="CSN2" s="8"/>
      <c r="CSO2" s="8"/>
      <c r="CSP2" s="8"/>
      <c r="CSQ2" s="8"/>
      <c r="CSR2" s="8"/>
      <c r="CSS2" s="8"/>
      <c r="CST2" s="8"/>
      <c r="CSU2" s="8"/>
      <c r="CSV2" s="8"/>
      <c r="CSW2" s="8"/>
      <c r="CSX2" s="8"/>
      <c r="CSY2" s="8"/>
      <c r="CSZ2" s="8"/>
      <c r="CTA2" s="8"/>
      <c r="CTB2" s="8"/>
      <c r="CTC2" s="8"/>
      <c r="CTD2" s="8"/>
      <c r="CTE2" s="8"/>
      <c r="CTF2" s="8"/>
      <c r="CTG2" s="8"/>
      <c r="CTH2" s="8"/>
      <c r="CTI2" s="8"/>
      <c r="CTJ2" s="8"/>
      <c r="CTK2" s="8"/>
      <c r="CTL2" s="8"/>
      <c r="CTM2" s="8"/>
      <c r="CTN2" s="8"/>
      <c r="CTO2" s="8"/>
      <c r="CTP2" s="8"/>
      <c r="CTQ2" s="8"/>
      <c r="CTR2" s="8"/>
      <c r="CTS2" s="8"/>
      <c r="CTT2" s="8"/>
      <c r="CTU2" s="8"/>
      <c r="CTV2" s="8"/>
      <c r="CTW2" s="8"/>
      <c r="CTX2" s="8"/>
      <c r="CTY2" s="8"/>
      <c r="CTZ2" s="8"/>
      <c r="CUA2" s="8"/>
      <c r="CUB2" s="8"/>
      <c r="CUC2" s="8"/>
      <c r="CUD2" s="8"/>
      <c r="CUE2" s="8"/>
      <c r="CUF2" s="8"/>
      <c r="CUG2" s="8"/>
      <c r="CUH2" s="8"/>
      <c r="CUI2" s="8"/>
      <c r="CUJ2" s="8"/>
      <c r="CUK2" s="8"/>
      <c r="CUL2" s="8"/>
      <c r="CUM2" s="8"/>
      <c r="CUN2" s="8"/>
      <c r="CUO2" s="8"/>
      <c r="CUP2" s="8"/>
      <c r="CUQ2" s="8"/>
      <c r="CUR2" s="8"/>
      <c r="CUS2" s="8"/>
      <c r="CUT2" s="8"/>
      <c r="CUU2" s="8"/>
      <c r="CUV2" s="8"/>
      <c r="CUW2" s="8"/>
      <c r="CUX2" s="8"/>
      <c r="CUY2" s="8"/>
      <c r="CUZ2" s="8"/>
      <c r="CVA2" s="8"/>
      <c r="CVB2" s="8"/>
      <c r="CVC2" s="8"/>
      <c r="CVD2" s="8"/>
      <c r="CVE2" s="8"/>
      <c r="CVF2" s="8"/>
      <c r="CVG2" s="8"/>
      <c r="CVH2" s="8"/>
      <c r="CVI2" s="8"/>
      <c r="CVJ2" s="8"/>
      <c r="CVK2" s="8"/>
      <c r="CVL2" s="8"/>
      <c r="CVM2" s="8"/>
      <c r="CVN2" s="8"/>
      <c r="CVO2" s="8"/>
      <c r="CVP2" s="8"/>
      <c r="CVQ2" s="8"/>
      <c r="CVR2" s="8"/>
      <c r="CVS2" s="8"/>
      <c r="CVT2" s="8"/>
      <c r="CVU2" s="8"/>
      <c r="CVV2" s="8"/>
      <c r="CVW2" s="8"/>
      <c r="CVX2" s="8"/>
      <c r="CVY2" s="8"/>
      <c r="CVZ2" s="8"/>
      <c r="CWA2" s="8"/>
      <c r="CWB2" s="8"/>
      <c r="CWC2" s="8"/>
      <c r="CWD2" s="8"/>
      <c r="CWE2" s="8"/>
      <c r="CWF2" s="8"/>
      <c r="CWG2" s="8"/>
      <c r="CWH2" s="8"/>
      <c r="CWI2" s="8"/>
      <c r="CWJ2" s="8"/>
      <c r="CWK2" s="8"/>
      <c r="CWL2" s="8"/>
      <c r="CWM2" s="8"/>
      <c r="CWN2" s="8"/>
      <c r="CWO2" s="8"/>
      <c r="CWP2" s="8"/>
      <c r="CWQ2" s="8"/>
      <c r="CWR2" s="8"/>
      <c r="CWS2" s="8"/>
      <c r="CWT2" s="8"/>
      <c r="CWU2" s="8"/>
      <c r="CWV2" s="8"/>
      <c r="CWW2" s="8"/>
      <c r="CWX2" s="8"/>
      <c r="CWY2" s="8"/>
      <c r="CWZ2" s="8"/>
      <c r="CXA2" s="8"/>
      <c r="CXB2" s="8"/>
      <c r="CXC2" s="8"/>
      <c r="CXD2" s="8"/>
      <c r="CXE2" s="8"/>
      <c r="CXF2" s="8"/>
      <c r="CXG2" s="8"/>
      <c r="CXH2" s="8"/>
      <c r="CXI2" s="8"/>
      <c r="CXJ2" s="8"/>
      <c r="CXK2" s="8"/>
      <c r="CXL2" s="8"/>
      <c r="CXM2" s="8"/>
      <c r="CXN2" s="8"/>
      <c r="CXO2" s="8"/>
      <c r="CXP2" s="8"/>
      <c r="CXQ2" s="8"/>
      <c r="CXR2" s="8"/>
      <c r="CXS2" s="8"/>
      <c r="CXT2" s="8"/>
      <c r="CXU2" s="8"/>
      <c r="CXV2" s="8"/>
      <c r="CXW2" s="8"/>
      <c r="CXX2" s="8"/>
      <c r="CXY2" s="8"/>
      <c r="CXZ2" s="8"/>
      <c r="CYA2" s="8"/>
      <c r="CYB2" s="8"/>
      <c r="CYC2" s="8"/>
      <c r="CYD2" s="8"/>
      <c r="CYE2" s="8"/>
      <c r="CYF2" s="8"/>
      <c r="CYG2" s="8"/>
      <c r="CYH2" s="8"/>
      <c r="CYI2" s="8"/>
      <c r="CYJ2" s="8"/>
      <c r="CYK2" s="8"/>
      <c r="CYL2" s="8"/>
      <c r="CYM2" s="8"/>
      <c r="CYN2" s="8"/>
      <c r="CYO2" s="8"/>
      <c r="CYP2" s="8"/>
      <c r="CYQ2" s="8"/>
      <c r="CYR2" s="8"/>
      <c r="CYS2" s="8"/>
      <c r="CYT2" s="8"/>
      <c r="CYU2" s="8"/>
      <c r="CYV2" s="8"/>
      <c r="CYW2" s="8"/>
      <c r="CYX2" s="8"/>
      <c r="CYY2" s="8"/>
      <c r="CYZ2" s="8"/>
      <c r="CZA2" s="8"/>
      <c r="CZB2" s="8"/>
      <c r="CZC2" s="8"/>
      <c r="CZD2" s="8"/>
      <c r="CZE2" s="8"/>
      <c r="CZF2" s="8"/>
      <c r="CZG2" s="8"/>
      <c r="CZH2" s="8"/>
      <c r="CZI2" s="8"/>
      <c r="CZJ2" s="8"/>
      <c r="CZK2" s="8"/>
      <c r="CZL2" s="8"/>
      <c r="CZM2" s="8"/>
      <c r="CZN2" s="8"/>
      <c r="CZO2" s="8"/>
      <c r="CZP2" s="8"/>
      <c r="CZQ2" s="8"/>
      <c r="CZR2" s="8"/>
      <c r="CZS2" s="8"/>
      <c r="CZT2" s="8"/>
      <c r="CZU2" s="8"/>
      <c r="CZV2" s="8"/>
      <c r="CZW2" s="8"/>
      <c r="CZX2" s="8"/>
      <c r="CZY2" s="8"/>
      <c r="CZZ2" s="8"/>
      <c r="DAA2" s="8"/>
      <c r="DAB2" s="8"/>
      <c r="DAC2" s="8"/>
      <c r="DAD2" s="8"/>
      <c r="DAE2" s="8"/>
      <c r="DAF2" s="8"/>
      <c r="DAG2" s="8"/>
      <c r="DAH2" s="8"/>
      <c r="DAI2" s="8"/>
      <c r="DAJ2" s="8"/>
      <c r="DAK2" s="8"/>
      <c r="DAL2" s="8"/>
      <c r="DAM2" s="8"/>
      <c r="DAN2" s="8"/>
      <c r="DAO2" s="8"/>
      <c r="DAP2" s="8"/>
      <c r="DAQ2" s="8"/>
      <c r="DAR2" s="8"/>
      <c r="DAS2" s="8"/>
      <c r="DAT2" s="8"/>
      <c r="DAU2" s="8"/>
      <c r="DAV2" s="8"/>
      <c r="DAW2" s="8"/>
      <c r="DAX2" s="8"/>
      <c r="DAY2" s="8"/>
      <c r="DAZ2" s="8"/>
      <c r="DBA2" s="8"/>
      <c r="DBB2" s="8"/>
      <c r="DBC2" s="8"/>
      <c r="DBD2" s="8"/>
      <c r="DBE2" s="8"/>
      <c r="DBF2" s="8"/>
      <c r="DBG2" s="8"/>
      <c r="DBH2" s="8"/>
      <c r="DBI2" s="8"/>
      <c r="DBJ2" s="8"/>
      <c r="DBK2" s="8"/>
      <c r="DBL2" s="8"/>
      <c r="DBM2" s="8"/>
      <c r="DBN2" s="8"/>
      <c r="DBO2" s="8"/>
      <c r="DBP2" s="8"/>
      <c r="DBQ2" s="8"/>
      <c r="DBR2" s="8"/>
      <c r="DBS2" s="8"/>
      <c r="DBT2" s="8"/>
      <c r="DBU2" s="8"/>
      <c r="DBV2" s="8"/>
      <c r="DBW2" s="8"/>
      <c r="DBX2" s="8"/>
      <c r="DBY2" s="8"/>
      <c r="DBZ2" s="8"/>
      <c r="DCA2" s="8"/>
      <c r="DCB2" s="8"/>
      <c r="DCC2" s="8"/>
      <c r="DCD2" s="8"/>
      <c r="DCE2" s="8"/>
      <c r="DCF2" s="8"/>
      <c r="DCG2" s="8"/>
      <c r="DCH2" s="8"/>
      <c r="DCI2" s="8"/>
      <c r="DCJ2" s="8"/>
      <c r="DCK2" s="8"/>
      <c r="DCL2" s="8"/>
      <c r="DCM2" s="8"/>
      <c r="DCN2" s="8"/>
      <c r="DCO2" s="8"/>
      <c r="DCP2" s="8"/>
      <c r="DCQ2" s="8"/>
      <c r="DCR2" s="8"/>
      <c r="DCS2" s="8"/>
      <c r="DCT2" s="8"/>
      <c r="DCU2" s="8"/>
      <c r="DCV2" s="8"/>
      <c r="DCW2" s="8"/>
      <c r="DCX2" s="8"/>
      <c r="DCY2" s="8"/>
      <c r="DCZ2" s="8"/>
      <c r="DDA2" s="8"/>
      <c r="DDB2" s="8"/>
      <c r="DDC2" s="8"/>
      <c r="DDD2" s="8"/>
      <c r="DDE2" s="8"/>
      <c r="DDF2" s="8"/>
      <c r="DDG2" s="8"/>
      <c r="DDH2" s="8"/>
      <c r="DDI2" s="8"/>
      <c r="DDJ2" s="8"/>
      <c r="DDK2" s="8"/>
      <c r="DDL2" s="8"/>
      <c r="DDM2" s="8"/>
      <c r="DDN2" s="8"/>
      <c r="DDO2" s="8"/>
      <c r="DDP2" s="8"/>
      <c r="DDQ2" s="8"/>
      <c r="DDR2" s="8"/>
      <c r="DDS2" s="8"/>
      <c r="DDT2" s="8"/>
      <c r="DDU2" s="8"/>
      <c r="DDV2" s="8"/>
      <c r="DDW2" s="8"/>
      <c r="DDX2" s="8"/>
      <c r="DDY2" s="8"/>
      <c r="DDZ2" s="8"/>
      <c r="DEA2" s="8"/>
      <c r="DEB2" s="8"/>
      <c r="DEC2" s="8"/>
      <c r="DED2" s="8"/>
      <c r="DEE2" s="8"/>
      <c r="DEF2" s="8"/>
      <c r="DEG2" s="8"/>
      <c r="DEH2" s="8"/>
      <c r="DEI2" s="8"/>
      <c r="DEJ2" s="8"/>
      <c r="DEK2" s="8"/>
      <c r="DEL2" s="8"/>
      <c r="DEM2" s="8"/>
      <c r="DEN2" s="8"/>
      <c r="DEO2" s="8"/>
      <c r="DEP2" s="8"/>
      <c r="DEQ2" s="8"/>
      <c r="DER2" s="8"/>
      <c r="DES2" s="8"/>
      <c r="DET2" s="8"/>
      <c r="DEU2" s="8"/>
      <c r="DEV2" s="8"/>
      <c r="DEW2" s="8"/>
      <c r="DEX2" s="8"/>
      <c r="DEY2" s="8"/>
      <c r="DEZ2" s="8"/>
      <c r="DFA2" s="8"/>
      <c r="DFB2" s="8"/>
      <c r="DFC2" s="8"/>
      <c r="DFD2" s="8"/>
      <c r="DFE2" s="8"/>
      <c r="DFF2" s="8"/>
      <c r="DFG2" s="8"/>
      <c r="DFH2" s="8"/>
      <c r="DFI2" s="8"/>
      <c r="DFJ2" s="8"/>
      <c r="DFK2" s="8"/>
      <c r="DFL2" s="8"/>
      <c r="DFM2" s="8"/>
      <c r="DFN2" s="8"/>
      <c r="DFO2" s="8"/>
      <c r="DFP2" s="8"/>
      <c r="DFQ2" s="8"/>
      <c r="DFR2" s="8"/>
      <c r="DFS2" s="8"/>
      <c r="DFT2" s="8"/>
      <c r="DFU2" s="8"/>
      <c r="DFV2" s="8"/>
      <c r="DFW2" s="8"/>
      <c r="DFX2" s="8"/>
      <c r="DFY2" s="8"/>
      <c r="DFZ2" s="8"/>
      <c r="DGA2" s="8"/>
      <c r="DGB2" s="8"/>
      <c r="DGC2" s="8"/>
      <c r="DGD2" s="8"/>
      <c r="DGE2" s="8"/>
      <c r="DGF2" s="8"/>
      <c r="DGG2" s="8"/>
      <c r="DGH2" s="8"/>
      <c r="DGI2" s="8"/>
      <c r="DGJ2" s="8"/>
      <c r="DGK2" s="8"/>
      <c r="DGL2" s="8"/>
      <c r="DGM2" s="8"/>
      <c r="DGN2" s="8"/>
      <c r="DGO2" s="8"/>
      <c r="DGP2" s="8"/>
      <c r="DGQ2" s="8"/>
      <c r="DGR2" s="8"/>
      <c r="DGS2" s="8"/>
      <c r="DGT2" s="8"/>
      <c r="DGU2" s="8"/>
      <c r="DGV2" s="8"/>
      <c r="DGW2" s="8"/>
      <c r="DGX2" s="8"/>
      <c r="DGY2" s="8"/>
      <c r="DGZ2" s="8"/>
      <c r="DHA2" s="8"/>
      <c r="DHB2" s="8"/>
      <c r="DHC2" s="8"/>
      <c r="DHD2" s="8"/>
      <c r="DHE2" s="8"/>
      <c r="DHF2" s="8"/>
      <c r="DHG2" s="8"/>
      <c r="DHH2" s="8"/>
      <c r="DHI2" s="8"/>
      <c r="DHJ2" s="8"/>
      <c r="DHK2" s="8"/>
      <c r="DHL2" s="8"/>
      <c r="DHM2" s="8"/>
      <c r="DHN2" s="8"/>
      <c r="DHO2" s="8"/>
      <c r="DHP2" s="8"/>
      <c r="DHQ2" s="8"/>
      <c r="DHR2" s="8"/>
      <c r="DHS2" s="8"/>
      <c r="DHT2" s="8"/>
      <c r="DHU2" s="8"/>
      <c r="DHV2" s="8"/>
      <c r="DHW2" s="8"/>
      <c r="DHX2" s="8"/>
      <c r="DHY2" s="8"/>
      <c r="DHZ2" s="8"/>
      <c r="DIA2" s="8"/>
      <c r="DIB2" s="8"/>
      <c r="DIC2" s="8"/>
      <c r="DID2" s="8"/>
      <c r="DIE2" s="8"/>
      <c r="DIF2" s="8"/>
      <c r="DIG2" s="8"/>
      <c r="DIH2" s="8"/>
      <c r="DII2" s="8"/>
      <c r="DIJ2" s="8"/>
      <c r="DIK2" s="8"/>
      <c r="DIL2" s="8"/>
      <c r="DIM2" s="8"/>
      <c r="DIN2" s="8"/>
      <c r="DIO2" s="8"/>
      <c r="DIP2" s="8"/>
      <c r="DIQ2" s="8"/>
      <c r="DIR2" s="8"/>
      <c r="DIS2" s="8"/>
      <c r="DIT2" s="8"/>
      <c r="DIU2" s="8"/>
      <c r="DIV2" s="8"/>
      <c r="DIW2" s="8"/>
      <c r="DIX2" s="8"/>
      <c r="DIY2" s="8"/>
      <c r="DIZ2" s="8"/>
      <c r="DJA2" s="8"/>
      <c r="DJB2" s="8"/>
      <c r="DJC2" s="8"/>
      <c r="DJD2" s="8"/>
      <c r="DJE2" s="8"/>
      <c r="DJF2" s="8"/>
      <c r="DJG2" s="8"/>
      <c r="DJH2" s="8"/>
      <c r="DJI2" s="8"/>
      <c r="DJJ2" s="8"/>
      <c r="DJK2" s="8"/>
      <c r="DJL2" s="8"/>
      <c r="DJM2" s="8"/>
      <c r="DJN2" s="8"/>
      <c r="DJO2" s="8"/>
      <c r="DJP2" s="8"/>
      <c r="DJQ2" s="8"/>
      <c r="DJR2" s="8"/>
      <c r="DJS2" s="8"/>
      <c r="DJT2" s="8"/>
      <c r="DJU2" s="8"/>
      <c r="DJV2" s="8"/>
      <c r="DJW2" s="8"/>
      <c r="DJX2" s="8"/>
      <c r="DJY2" s="8"/>
      <c r="DJZ2" s="8"/>
      <c r="DKA2" s="8"/>
      <c r="DKB2" s="8"/>
      <c r="DKC2" s="8"/>
      <c r="DKD2" s="8"/>
      <c r="DKE2" s="8"/>
      <c r="DKF2" s="8"/>
      <c r="DKG2" s="8"/>
      <c r="DKH2" s="8"/>
      <c r="DKI2" s="8"/>
      <c r="DKJ2" s="8"/>
      <c r="DKK2" s="8"/>
      <c r="DKL2" s="8"/>
      <c r="DKM2" s="8"/>
      <c r="DKN2" s="8"/>
      <c r="DKO2" s="8"/>
      <c r="DKP2" s="8"/>
      <c r="DKQ2" s="8"/>
      <c r="DKR2" s="8"/>
      <c r="DKS2" s="8"/>
      <c r="DKT2" s="8"/>
      <c r="DKU2" s="8"/>
      <c r="DKV2" s="8"/>
      <c r="DKW2" s="8"/>
      <c r="DKX2" s="8"/>
      <c r="DKY2" s="8"/>
      <c r="DKZ2" s="8"/>
      <c r="DLA2" s="8"/>
      <c r="DLB2" s="8"/>
      <c r="DLC2" s="8"/>
      <c r="DLD2" s="8"/>
      <c r="DLE2" s="8"/>
      <c r="DLF2" s="8"/>
      <c r="DLG2" s="8"/>
      <c r="DLH2" s="8"/>
      <c r="DLI2" s="8"/>
      <c r="DLJ2" s="8"/>
      <c r="DLK2" s="8"/>
      <c r="DLL2" s="8"/>
      <c r="DLM2" s="8"/>
      <c r="DLN2" s="8"/>
      <c r="DLO2" s="8"/>
      <c r="DLP2" s="8"/>
      <c r="DLQ2" s="8"/>
      <c r="DLR2" s="8"/>
      <c r="DLS2" s="8"/>
      <c r="DLT2" s="8"/>
      <c r="DLU2" s="8"/>
      <c r="DLV2" s="8"/>
      <c r="DLW2" s="8"/>
      <c r="DLX2" s="8"/>
      <c r="DLY2" s="8"/>
      <c r="DLZ2" s="8"/>
      <c r="DMA2" s="8"/>
      <c r="DMB2" s="8"/>
      <c r="DMC2" s="8"/>
      <c r="DMD2" s="8"/>
      <c r="DME2" s="8"/>
      <c r="DMF2" s="8"/>
      <c r="DMG2" s="8"/>
      <c r="DMH2" s="8"/>
      <c r="DMI2" s="8"/>
      <c r="DMJ2" s="8"/>
      <c r="DMK2" s="8"/>
      <c r="DML2" s="8"/>
      <c r="DMM2" s="8"/>
      <c r="DMN2" s="8"/>
      <c r="DMO2" s="8"/>
      <c r="DMP2" s="8"/>
      <c r="DMQ2" s="8"/>
      <c r="DMR2" s="8"/>
      <c r="DMS2" s="8"/>
      <c r="DMT2" s="8"/>
      <c r="DMU2" s="8"/>
      <c r="DMV2" s="8"/>
      <c r="DMW2" s="8"/>
      <c r="DMX2" s="8"/>
      <c r="DMY2" s="8"/>
      <c r="DMZ2" s="8"/>
      <c r="DNA2" s="8"/>
      <c r="DNB2" s="8"/>
      <c r="DNC2" s="8"/>
      <c r="DND2" s="8"/>
      <c r="DNE2" s="8"/>
      <c r="DNF2" s="8"/>
      <c r="DNG2" s="8"/>
      <c r="DNH2" s="8"/>
      <c r="DNI2" s="8"/>
      <c r="DNJ2" s="8"/>
      <c r="DNK2" s="8"/>
      <c r="DNL2" s="8"/>
      <c r="DNM2" s="8"/>
      <c r="DNN2" s="8"/>
      <c r="DNO2" s="8"/>
      <c r="DNP2" s="8"/>
      <c r="DNQ2" s="8"/>
      <c r="DNR2" s="8"/>
      <c r="DNS2" s="8"/>
      <c r="DNT2" s="8"/>
      <c r="DNU2" s="8"/>
      <c r="DNV2" s="8"/>
      <c r="DNW2" s="8"/>
      <c r="DNX2" s="8"/>
      <c r="DNY2" s="8"/>
      <c r="DNZ2" s="8"/>
      <c r="DOA2" s="8"/>
      <c r="DOB2" s="8"/>
      <c r="DOC2" s="8"/>
      <c r="DOD2" s="8"/>
      <c r="DOE2" s="8"/>
      <c r="DOF2" s="8"/>
      <c r="DOG2" s="8"/>
      <c r="DOH2" s="8"/>
      <c r="DOI2" s="8"/>
      <c r="DOJ2" s="8"/>
      <c r="DOK2" s="8"/>
      <c r="DOL2" s="8"/>
      <c r="DOM2" s="8"/>
      <c r="DON2" s="8"/>
      <c r="DOO2" s="8"/>
      <c r="DOP2" s="8"/>
      <c r="DOQ2" s="8"/>
      <c r="DOR2" s="8"/>
      <c r="DOS2" s="8"/>
      <c r="DOT2" s="8"/>
      <c r="DOU2" s="8"/>
      <c r="DOV2" s="8"/>
      <c r="DOW2" s="8"/>
      <c r="DOX2" s="8"/>
      <c r="DOY2" s="8"/>
      <c r="DOZ2" s="8"/>
      <c r="DPA2" s="8"/>
      <c r="DPB2" s="8"/>
      <c r="DPC2" s="8"/>
      <c r="DPD2" s="8"/>
      <c r="DPE2" s="8"/>
      <c r="DPF2" s="8"/>
      <c r="DPG2" s="8"/>
      <c r="DPH2" s="8"/>
      <c r="DPI2" s="8"/>
      <c r="DPJ2" s="8"/>
      <c r="DPK2" s="8"/>
      <c r="DPL2" s="8"/>
      <c r="DPM2" s="8"/>
      <c r="DPN2" s="8"/>
      <c r="DPO2" s="8"/>
      <c r="DPP2" s="8"/>
      <c r="DPQ2" s="8"/>
      <c r="DPR2" s="8"/>
      <c r="DPS2" s="8"/>
      <c r="DPT2" s="8"/>
      <c r="DPU2" s="8"/>
      <c r="DPV2" s="8"/>
      <c r="DPW2" s="8"/>
      <c r="DPX2" s="8"/>
      <c r="DPY2" s="8"/>
      <c r="DPZ2" s="8"/>
      <c r="DQA2" s="8"/>
      <c r="DQB2" s="8"/>
      <c r="DQC2" s="8"/>
      <c r="DQD2" s="8"/>
      <c r="DQE2" s="8"/>
      <c r="DQF2" s="8"/>
      <c r="DQG2" s="8"/>
      <c r="DQH2" s="8"/>
      <c r="DQI2" s="8"/>
      <c r="DQJ2" s="8"/>
      <c r="DQK2" s="8"/>
      <c r="DQL2" s="8"/>
      <c r="DQM2" s="8"/>
      <c r="DQN2" s="8"/>
      <c r="DQO2" s="8"/>
      <c r="DQP2" s="8"/>
      <c r="DQQ2" s="8"/>
      <c r="DQR2" s="8"/>
      <c r="DQS2" s="8"/>
      <c r="DQT2" s="8"/>
      <c r="DQU2" s="8"/>
      <c r="DQV2" s="8"/>
      <c r="DQW2" s="8"/>
      <c r="DQX2" s="8"/>
      <c r="DQY2" s="8"/>
      <c r="DQZ2" s="8"/>
      <c r="DRA2" s="8"/>
      <c r="DRB2" s="8"/>
      <c r="DRC2" s="8"/>
      <c r="DRD2" s="8"/>
      <c r="DRE2" s="8"/>
      <c r="DRF2" s="8"/>
      <c r="DRG2" s="8"/>
      <c r="DRH2" s="8"/>
      <c r="DRI2" s="8"/>
      <c r="DRJ2" s="8"/>
      <c r="DRK2" s="8"/>
      <c r="DRL2" s="8"/>
      <c r="DRM2" s="8"/>
      <c r="DRN2" s="8"/>
      <c r="DRO2" s="8"/>
      <c r="DRP2" s="8"/>
      <c r="DRQ2" s="8"/>
      <c r="DRR2" s="8"/>
      <c r="DRS2" s="8"/>
      <c r="DRT2" s="8"/>
      <c r="DRU2" s="8"/>
      <c r="DRV2" s="8"/>
      <c r="DRW2" s="8"/>
      <c r="DRX2" s="8"/>
      <c r="DRY2" s="8"/>
      <c r="DRZ2" s="8"/>
      <c r="DSA2" s="8"/>
      <c r="DSB2" s="8"/>
      <c r="DSC2" s="8"/>
      <c r="DSD2" s="8"/>
      <c r="DSE2" s="8"/>
      <c r="DSF2" s="8"/>
      <c r="DSG2" s="8"/>
      <c r="DSH2" s="8"/>
      <c r="DSI2" s="8"/>
      <c r="DSJ2" s="8"/>
      <c r="DSK2" s="8"/>
      <c r="DSL2" s="8"/>
      <c r="DSM2" s="8"/>
      <c r="DSN2" s="8"/>
      <c r="DSO2" s="8"/>
      <c r="DSP2" s="8"/>
      <c r="DSQ2" s="8"/>
      <c r="DSR2" s="8"/>
      <c r="DSS2" s="8"/>
      <c r="DST2" s="8"/>
      <c r="DSU2" s="8"/>
      <c r="DSV2" s="8"/>
      <c r="DSW2" s="8"/>
      <c r="DSX2" s="8"/>
      <c r="DSY2" s="8"/>
      <c r="DSZ2" s="8"/>
      <c r="DTA2" s="8"/>
      <c r="DTB2" s="8"/>
      <c r="DTC2" s="8"/>
      <c r="DTD2" s="8"/>
      <c r="DTE2" s="8"/>
      <c r="DTF2" s="8"/>
      <c r="DTG2" s="8"/>
      <c r="DTH2" s="8"/>
      <c r="DTI2" s="8"/>
      <c r="DTJ2" s="8"/>
      <c r="DTK2" s="8"/>
      <c r="DTL2" s="8"/>
      <c r="DTM2" s="8"/>
      <c r="DTN2" s="8"/>
      <c r="DTO2" s="8"/>
      <c r="DTP2" s="8"/>
      <c r="DTQ2" s="8"/>
      <c r="DTR2" s="8"/>
      <c r="DTS2" s="8"/>
      <c r="DTT2" s="8"/>
      <c r="DTU2" s="8"/>
      <c r="DTV2" s="8"/>
      <c r="DTW2" s="8"/>
      <c r="DTX2" s="8"/>
      <c r="DTY2" s="8"/>
      <c r="DTZ2" s="8"/>
      <c r="DUA2" s="8"/>
      <c r="DUB2" s="8"/>
      <c r="DUC2" s="8"/>
      <c r="DUD2" s="8"/>
      <c r="DUE2" s="8"/>
      <c r="DUF2" s="8"/>
      <c r="DUG2" s="8"/>
      <c r="DUH2" s="8"/>
      <c r="DUI2" s="8"/>
      <c r="DUJ2" s="8"/>
      <c r="DUK2" s="8"/>
      <c r="DUL2" s="8"/>
      <c r="DUM2" s="8"/>
      <c r="DUN2" s="8"/>
      <c r="DUO2" s="8"/>
      <c r="DUP2" s="8"/>
      <c r="DUQ2" s="8"/>
      <c r="DUR2" s="8"/>
      <c r="DUS2" s="8"/>
      <c r="DUT2" s="8"/>
      <c r="DUU2" s="8"/>
      <c r="DUV2" s="8"/>
      <c r="DUW2" s="8"/>
      <c r="DUX2" s="8"/>
      <c r="DUY2" s="8"/>
      <c r="DUZ2" s="8"/>
      <c r="DVA2" s="8"/>
      <c r="DVB2" s="8"/>
      <c r="DVC2" s="8"/>
      <c r="DVD2" s="8"/>
      <c r="DVE2" s="8"/>
      <c r="DVF2" s="8"/>
      <c r="DVG2" s="8"/>
      <c r="DVH2" s="8"/>
      <c r="DVI2" s="8"/>
      <c r="DVJ2" s="8"/>
      <c r="DVK2" s="8"/>
      <c r="DVL2" s="8"/>
      <c r="DVM2" s="8"/>
      <c r="DVN2" s="8"/>
      <c r="DVO2" s="8"/>
      <c r="DVP2" s="8"/>
      <c r="DVQ2" s="8"/>
      <c r="DVR2" s="8"/>
      <c r="DVS2" s="8"/>
      <c r="DVT2" s="8"/>
      <c r="DVU2" s="8"/>
      <c r="DVV2" s="8"/>
      <c r="DVW2" s="8"/>
      <c r="DVX2" s="8"/>
      <c r="DVY2" s="8"/>
      <c r="DVZ2" s="8"/>
      <c r="DWA2" s="8"/>
      <c r="DWB2" s="8"/>
      <c r="DWC2" s="8"/>
      <c r="DWD2" s="8"/>
      <c r="DWE2" s="8"/>
      <c r="DWF2" s="8"/>
      <c r="DWG2" s="8"/>
      <c r="DWH2" s="8"/>
      <c r="DWI2" s="8"/>
      <c r="DWJ2" s="8"/>
      <c r="DWK2" s="8"/>
      <c r="DWL2" s="8"/>
      <c r="DWM2" s="8"/>
      <c r="DWN2" s="8"/>
      <c r="DWO2" s="8"/>
      <c r="DWP2" s="8"/>
      <c r="DWQ2" s="8"/>
      <c r="DWR2" s="8"/>
      <c r="DWS2" s="8"/>
      <c r="DWT2" s="8"/>
      <c r="DWU2" s="8"/>
      <c r="DWV2" s="8"/>
      <c r="DWW2" s="8"/>
      <c r="DWX2" s="8"/>
      <c r="DWY2" s="8"/>
      <c r="DWZ2" s="8"/>
      <c r="DXA2" s="8"/>
      <c r="DXB2" s="8"/>
      <c r="DXC2" s="8"/>
      <c r="DXD2" s="8"/>
      <c r="DXE2" s="8"/>
      <c r="DXF2" s="8"/>
      <c r="DXG2" s="8"/>
      <c r="DXH2" s="8"/>
      <c r="DXI2" s="8"/>
      <c r="DXJ2" s="8"/>
      <c r="DXK2" s="8"/>
      <c r="DXL2" s="8"/>
      <c r="DXM2" s="8"/>
      <c r="DXN2" s="8"/>
      <c r="DXO2" s="8"/>
      <c r="DXP2" s="8"/>
      <c r="DXQ2" s="8"/>
      <c r="DXR2" s="8"/>
      <c r="DXS2" s="8"/>
      <c r="DXT2" s="8"/>
      <c r="DXU2" s="8"/>
      <c r="DXV2" s="8"/>
      <c r="DXW2" s="8"/>
      <c r="DXX2" s="8"/>
      <c r="DXY2" s="8"/>
      <c r="DXZ2" s="8"/>
      <c r="DYA2" s="8"/>
      <c r="DYB2" s="8"/>
      <c r="DYC2" s="8"/>
      <c r="DYD2" s="8"/>
      <c r="DYE2" s="8"/>
      <c r="DYF2" s="8"/>
      <c r="DYG2" s="8"/>
      <c r="DYH2" s="8"/>
      <c r="DYI2" s="8"/>
      <c r="DYJ2" s="8"/>
      <c r="DYK2" s="8"/>
      <c r="DYL2" s="8"/>
      <c r="DYM2" s="8"/>
      <c r="DYN2" s="8"/>
      <c r="DYO2" s="8"/>
      <c r="DYP2" s="8"/>
      <c r="DYQ2" s="8"/>
      <c r="DYR2" s="8"/>
      <c r="DYS2" s="8"/>
      <c r="DYT2" s="8"/>
      <c r="DYU2" s="8"/>
      <c r="DYV2" s="8"/>
      <c r="DYW2" s="8"/>
      <c r="DYX2" s="8"/>
      <c r="DYY2" s="8"/>
      <c r="DYZ2" s="8"/>
      <c r="DZA2" s="8"/>
      <c r="DZB2" s="8"/>
      <c r="DZC2" s="8"/>
      <c r="DZD2" s="8"/>
      <c r="DZE2" s="8"/>
      <c r="DZF2" s="8"/>
      <c r="DZG2" s="8"/>
      <c r="DZH2" s="8"/>
      <c r="DZI2" s="8"/>
      <c r="DZJ2" s="8"/>
      <c r="DZK2" s="8"/>
      <c r="DZL2" s="8"/>
      <c r="DZM2" s="8"/>
      <c r="DZN2" s="8"/>
      <c r="DZO2" s="8"/>
      <c r="DZP2" s="8"/>
      <c r="DZQ2" s="8"/>
      <c r="DZR2" s="8"/>
      <c r="DZS2" s="8"/>
      <c r="DZT2" s="8"/>
      <c r="DZU2" s="8"/>
      <c r="DZV2" s="8"/>
      <c r="DZW2" s="8"/>
      <c r="DZX2" s="8"/>
      <c r="DZY2" s="8"/>
      <c r="DZZ2" s="8"/>
      <c r="EAA2" s="8"/>
      <c r="EAB2" s="8"/>
      <c r="EAC2" s="8"/>
      <c r="EAD2" s="8"/>
      <c r="EAE2" s="8"/>
      <c r="EAF2" s="8"/>
      <c r="EAG2" s="8"/>
      <c r="EAH2" s="8"/>
      <c r="EAI2" s="8"/>
      <c r="EAJ2" s="8"/>
      <c r="EAK2" s="8"/>
      <c r="EAL2" s="8"/>
      <c r="EAM2" s="8"/>
      <c r="EAN2" s="8"/>
      <c r="EAO2" s="8"/>
      <c r="EAP2" s="8"/>
      <c r="EAQ2" s="8"/>
      <c r="EAR2" s="8"/>
      <c r="EAS2" s="8"/>
      <c r="EAT2" s="8"/>
      <c r="EAU2" s="8"/>
      <c r="EAV2" s="8"/>
      <c r="EAW2" s="8"/>
      <c r="EAX2" s="8"/>
      <c r="EAY2" s="8"/>
      <c r="EAZ2" s="8"/>
      <c r="EBA2" s="8"/>
      <c r="EBB2" s="8"/>
      <c r="EBC2" s="8"/>
      <c r="EBD2" s="8"/>
      <c r="EBE2" s="8"/>
      <c r="EBF2" s="8"/>
      <c r="EBG2" s="8"/>
      <c r="EBH2" s="8"/>
      <c r="EBI2" s="8"/>
      <c r="EBJ2" s="8"/>
      <c r="EBK2" s="8"/>
      <c r="EBL2" s="8"/>
      <c r="EBM2" s="8"/>
      <c r="EBN2" s="8"/>
      <c r="EBO2" s="8"/>
      <c r="EBP2" s="8"/>
      <c r="EBQ2" s="8"/>
      <c r="EBR2" s="8"/>
      <c r="EBS2" s="8"/>
      <c r="EBT2" s="8"/>
      <c r="EBU2" s="8"/>
      <c r="EBV2" s="8"/>
      <c r="EBW2" s="8"/>
      <c r="EBX2" s="8"/>
      <c r="EBY2" s="8"/>
      <c r="EBZ2" s="8"/>
      <c r="ECA2" s="8"/>
      <c r="ECB2" s="8"/>
      <c r="ECC2" s="8"/>
      <c r="ECD2" s="8"/>
      <c r="ECE2" s="8"/>
      <c r="ECF2" s="8"/>
      <c r="ECG2" s="8"/>
      <c r="ECH2" s="8"/>
      <c r="ECI2" s="8"/>
      <c r="ECJ2" s="8"/>
      <c r="ECK2" s="8"/>
      <c r="ECL2" s="8"/>
      <c r="ECM2" s="8"/>
      <c r="ECN2" s="8"/>
      <c r="ECO2" s="8"/>
      <c r="ECP2" s="8"/>
      <c r="ECQ2" s="8"/>
      <c r="ECR2" s="8"/>
      <c r="ECS2" s="8"/>
      <c r="ECT2" s="8"/>
      <c r="ECU2" s="8"/>
      <c r="ECV2" s="8"/>
      <c r="ECW2" s="8"/>
      <c r="ECX2" s="8"/>
      <c r="ECY2" s="8"/>
      <c r="ECZ2" s="8"/>
      <c r="EDA2" s="8"/>
      <c r="EDB2" s="8"/>
      <c r="EDC2" s="8"/>
      <c r="EDD2" s="8"/>
      <c r="EDE2" s="8"/>
      <c r="EDF2" s="8"/>
      <c r="EDG2" s="8"/>
      <c r="EDH2" s="8"/>
      <c r="EDI2" s="8"/>
      <c r="EDJ2" s="8"/>
      <c r="EDK2" s="8"/>
      <c r="EDL2" s="8"/>
      <c r="EDM2" s="8"/>
      <c r="EDN2" s="8"/>
      <c r="EDO2" s="8"/>
      <c r="EDP2" s="8"/>
      <c r="EDQ2" s="8"/>
      <c r="EDR2" s="8"/>
      <c r="EDS2" s="8"/>
      <c r="EDT2" s="8"/>
      <c r="EDU2" s="8"/>
      <c r="EDV2" s="8"/>
      <c r="EDW2" s="8"/>
      <c r="EDX2" s="8"/>
      <c r="EDY2" s="8"/>
      <c r="EDZ2" s="8"/>
      <c r="EEA2" s="8"/>
      <c r="EEB2" s="8"/>
      <c r="EEC2" s="8"/>
      <c r="EED2" s="8"/>
      <c r="EEE2" s="8"/>
      <c r="EEF2" s="8"/>
      <c r="EEG2" s="8"/>
      <c r="EEH2" s="8"/>
      <c r="EEI2" s="8"/>
      <c r="EEJ2" s="8"/>
      <c r="EEK2" s="8"/>
      <c r="EEL2" s="8"/>
      <c r="EEM2" s="8"/>
      <c r="EEN2" s="8"/>
      <c r="EEO2" s="8"/>
      <c r="EEP2" s="8"/>
      <c r="EEQ2" s="8"/>
      <c r="EER2" s="8"/>
      <c r="EES2" s="8"/>
      <c r="EET2" s="8"/>
      <c r="EEU2" s="8"/>
      <c r="EEV2" s="8"/>
      <c r="EEW2" s="8"/>
      <c r="EEX2" s="8"/>
      <c r="EEY2" s="8"/>
      <c r="EEZ2" s="8"/>
      <c r="EFA2" s="8"/>
      <c r="EFB2" s="8"/>
      <c r="EFC2" s="8"/>
      <c r="EFD2" s="8"/>
      <c r="EFE2" s="8"/>
      <c r="EFF2" s="8"/>
      <c r="EFG2" s="8"/>
      <c r="EFH2" s="8"/>
      <c r="EFI2" s="8"/>
      <c r="EFJ2" s="8"/>
      <c r="EFK2" s="8"/>
      <c r="EFL2" s="8"/>
      <c r="EFM2" s="8"/>
      <c r="EFN2" s="8"/>
      <c r="EFO2" s="8"/>
      <c r="EFP2" s="8"/>
      <c r="EFQ2" s="8"/>
      <c r="EFR2" s="8"/>
      <c r="EFS2" s="8"/>
      <c r="EFT2" s="8"/>
      <c r="EFU2" s="8"/>
      <c r="EFV2" s="8"/>
      <c r="EFW2" s="8"/>
      <c r="EFX2" s="8"/>
      <c r="EFY2" s="8"/>
      <c r="EFZ2" s="8"/>
      <c r="EGA2" s="8"/>
      <c r="EGB2" s="8"/>
      <c r="EGC2" s="8"/>
      <c r="EGD2" s="8"/>
      <c r="EGE2" s="8"/>
      <c r="EGF2" s="8"/>
      <c r="EGG2" s="8"/>
      <c r="EGH2" s="8"/>
      <c r="EGI2" s="8"/>
      <c r="EGJ2" s="8"/>
      <c r="EGK2" s="8"/>
      <c r="EGL2" s="8"/>
      <c r="EGM2" s="8"/>
      <c r="EGN2" s="8"/>
      <c r="EGO2" s="8"/>
      <c r="EGP2" s="8"/>
      <c r="EGQ2" s="8"/>
      <c r="EGR2" s="8"/>
      <c r="EGS2" s="8"/>
      <c r="EGT2" s="8"/>
      <c r="EGU2" s="8"/>
      <c r="EGV2" s="8"/>
      <c r="EGW2" s="8"/>
      <c r="EGX2" s="8"/>
      <c r="EGY2" s="8"/>
      <c r="EGZ2" s="8"/>
      <c r="EHA2" s="8"/>
      <c r="EHB2" s="8"/>
      <c r="EHC2" s="8"/>
      <c r="EHD2" s="8"/>
      <c r="EHE2" s="8"/>
      <c r="EHF2" s="8"/>
      <c r="EHG2" s="8"/>
      <c r="EHH2" s="8"/>
      <c r="EHI2" s="8"/>
      <c r="EHJ2" s="8"/>
      <c r="EHK2" s="8"/>
      <c r="EHL2" s="8"/>
      <c r="EHM2" s="8"/>
      <c r="EHN2" s="8"/>
      <c r="EHO2" s="8"/>
      <c r="EHP2" s="8"/>
      <c r="EHQ2" s="8"/>
      <c r="EHR2" s="8"/>
      <c r="EHS2" s="8"/>
      <c r="EHT2" s="8"/>
      <c r="EHU2" s="8"/>
      <c r="EHV2" s="8"/>
      <c r="EHW2" s="8"/>
      <c r="EHX2" s="8"/>
      <c r="EHY2" s="8"/>
      <c r="EHZ2" s="8"/>
      <c r="EIA2" s="8"/>
      <c r="EIB2" s="8"/>
      <c r="EIC2" s="8"/>
      <c r="EID2" s="8"/>
      <c r="EIE2" s="8"/>
      <c r="EIF2" s="8"/>
      <c r="EIG2" s="8"/>
      <c r="EIH2" s="8"/>
      <c r="EII2" s="8"/>
      <c r="EIJ2" s="8"/>
      <c r="EIK2" s="8"/>
      <c r="EIL2" s="8"/>
      <c r="EIM2" s="8"/>
      <c r="EIN2" s="8"/>
      <c r="EIO2" s="8"/>
      <c r="EIP2" s="8"/>
      <c r="EIQ2" s="8"/>
      <c r="EIR2" s="8"/>
      <c r="EIS2" s="8"/>
      <c r="EIT2" s="8"/>
      <c r="EIU2" s="8"/>
      <c r="EIV2" s="8"/>
      <c r="EIW2" s="8"/>
      <c r="EIX2" s="8"/>
      <c r="EIY2" s="8"/>
      <c r="EIZ2" s="8"/>
      <c r="EJA2" s="8"/>
      <c r="EJB2" s="8"/>
      <c r="EJC2" s="8"/>
      <c r="EJD2" s="8"/>
      <c r="EJE2" s="8"/>
      <c r="EJF2" s="8"/>
      <c r="EJG2" s="8"/>
      <c r="EJH2" s="8"/>
      <c r="EJI2" s="8"/>
      <c r="EJJ2" s="8"/>
      <c r="EJK2" s="8"/>
      <c r="EJL2" s="8"/>
      <c r="EJM2" s="8"/>
      <c r="EJN2" s="8"/>
      <c r="EJO2" s="8"/>
      <c r="EJP2" s="8"/>
      <c r="EJQ2" s="8"/>
      <c r="EJR2" s="8"/>
      <c r="EJS2" s="8"/>
      <c r="EJT2" s="8"/>
      <c r="EJU2" s="8"/>
      <c r="EJV2" s="8"/>
      <c r="EJW2" s="8"/>
      <c r="EJX2" s="8"/>
      <c r="EJY2" s="8"/>
      <c r="EJZ2" s="8"/>
      <c r="EKA2" s="8"/>
      <c r="EKB2" s="8"/>
      <c r="EKC2" s="8"/>
      <c r="EKD2" s="8"/>
      <c r="EKE2" s="8"/>
      <c r="EKF2" s="8"/>
      <c r="EKG2" s="8"/>
      <c r="EKH2" s="8"/>
      <c r="EKI2" s="8"/>
      <c r="EKJ2" s="8"/>
      <c r="EKK2" s="8"/>
      <c r="EKL2" s="8"/>
      <c r="EKM2" s="8"/>
      <c r="EKN2" s="8"/>
      <c r="EKO2" s="8"/>
      <c r="EKP2" s="8"/>
      <c r="EKQ2" s="8"/>
      <c r="EKR2" s="8"/>
      <c r="EKS2" s="8"/>
      <c r="EKT2" s="8"/>
      <c r="EKU2" s="8"/>
      <c r="EKV2" s="8"/>
      <c r="EKW2" s="8"/>
      <c r="EKX2" s="8"/>
      <c r="EKY2" s="8"/>
      <c r="EKZ2" s="8"/>
      <c r="ELA2" s="8"/>
      <c r="ELB2" s="8"/>
      <c r="ELC2" s="8"/>
      <c r="ELD2" s="8"/>
      <c r="ELE2" s="8"/>
      <c r="ELF2" s="8"/>
      <c r="ELG2" s="8"/>
      <c r="ELH2" s="8"/>
      <c r="ELI2" s="8"/>
      <c r="ELJ2" s="8"/>
      <c r="ELK2" s="8"/>
      <c r="ELL2" s="8"/>
      <c r="ELM2" s="8"/>
      <c r="ELN2" s="8"/>
      <c r="ELO2" s="8"/>
      <c r="ELP2" s="8"/>
      <c r="ELQ2" s="8"/>
      <c r="ELR2" s="8"/>
      <c r="ELS2" s="8"/>
      <c r="ELT2" s="8"/>
      <c r="ELU2" s="8"/>
      <c r="ELV2" s="8"/>
      <c r="ELW2" s="8"/>
      <c r="ELX2" s="8"/>
      <c r="ELY2" s="8"/>
      <c r="ELZ2" s="8"/>
      <c r="EMA2" s="8"/>
      <c r="EMB2" s="8"/>
      <c r="EMC2" s="8"/>
      <c r="EMD2" s="8"/>
      <c r="EME2" s="8"/>
      <c r="EMF2" s="8"/>
      <c r="EMG2" s="8"/>
      <c r="EMH2" s="8"/>
      <c r="EMI2" s="8"/>
      <c r="EMJ2" s="8"/>
      <c r="EMK2" s="8"/>
      <c r="EML2" s="8"/>
      <c r="EMM2" s="8"/>
      <c r="EMN2" s="8"/>
      <c r="EMO2" s="8"/>
      <c r="EMP2" s="8"/>
      <c r="EMQ2" s="8"/>
      <c r="EMR2" s="8"/>
      <c r="EMS2" s="8"/>
      <c r="EMT2" s="8"/>
      <c r="EMU2" s="8"/>
      <c r="EMV2" s="8"/>
      <c r="EMW2" s="8"/>
      <c r="EMX2" s="8"/>
      <c r="EMY2" s="8"/>
      <c r="EMZ2" s="8"/>
      <c r="ENA2" s="8"/>
      <c r="ENB2" s="8"/>
      <c r="ENC2" s="8"/>
      <c r="END2" s="8"/>
      <c r="ENE2" s="8"/>
      <c r="ENF2" s="8"/>
      <c r="ENG2" s="8"/>
      <c r="ENH2" s="8"/>
      <c r="ENI2" s="8"/>
      <c r="ENJ2" s="8"/>
      <c r="ENK2" s="8"/>
      <c r="ENL2" s="8"/>
      <c r="ENM2" s="8"/>
      <c r="ENN2" s="8"/>
      <c r="ENO2" s="8"/>
      <c r="ENP2" s="8"/>
      <c r="ENQ2" s="8"/>
      <c r="ENR2" s="8"/>
      <c r="ENS2" s="8"/>
      <c r="ENT2" s="8"/>
      <c r="ENU2" s="8"/>
      <c r="ENV2" s="8"/>
      <c r="ENW2" s="8"/>
      <c r="ENX2" s="8"/>
      <c r="ENY2" s="8"/>
      <c r="ENZ2" s="8"/>
      <c r="EOA2" s="8"/>
      <c r="EOB2" s="8"/>
      <c r="EOC2" s="8"/>
      <c r="EOD2" s="8"/>
      <c r="EOE2" s="8"/>
      <c r="EOF2" s="8"/>
      <c r="EOG2" s="8"/>
      <c r="EOH2" s="8"/>
      <c r="EOI2" s="8"/>
      <c r="EOJ2" s="8"/>
      <c r="EOK2" s="8"/>
      <c r="EOL2" s="8"/>
      <c r="EOM2" s="8"/>
      <c r="EON2" s="8"/>
      <c r="EOO2" s="8"/>
      <c r="EOP2" s="8"/>
      <c r="EOQ2" s="8"/>
      <c r="EOR2" s="8"/>
      <c r="EOS2" s="8"/>
      <c r="EOT2" s="8"/>
      <c r="EOU2" s="8"/>
      <c r="EOV2" s="8"/>
      <c r="EOW2" s="8"/>
      <c r="EOX2" s="8"/>
      <c r="EOY2" s="8"/>
      <c r="EOZ2" s="8"/>
      <c r="EPA2" s="8"/>
      <c r="EPB2" s="8"/>
      <c r="EPC2" s="8"/>
      <c r="EPD2" s="8"/>
      <c r="EPE2" s="8"/>
      <c r="EPF2" s="8"/>
      <c r="EPG2" s="8"/>
      <c r="EPH2" s="8"/>
      <c r="EPI2" s="8"/>
      <c r="EPJ2" s="8"/>
      <c r="EPK2" s="8"/>
      <c r="EPL2" s="8"/>
      <c r="EPM2" s="8"/>
      <c r="EPN2" s="8"/>
      <c r="EPO2" s="8"/>
      <c r="EPP2" s="8"/>
      <c r="EPQ2" s="8"/>
      <c r="EPR2" s="8"/>
      <c r="EPS2" s="8"/>
      <c r="EPT2" s="8"/>
      <c r="EPU2" s="8"/>
      <c r="EPV2" s="8"/>
      <c r="EPW2" s="8"/>
      <c r="EPX2" s="8"/>
      <c r="EPY2" s="8"/>
      <c r="EPZ2" s="8"/>
      <c r="EQA2" s="8"/>
      <c r="EQB2" s="8"/>
      <c r="EQC2" s="8"/>
      <c r="EQD2" s="8"/>
      <c r="EQE2" s="8"/>
      <c r="EQF2" s="8"/>
      <c r="EQG2" s="8"/>
      <c r="EQH2" s="8"/>
      <c r="EQI2" s="8"/>
      <c r="EQJ2" s="8"/>
      <c r="EQK2" s="8"/>
      <c r="EQL2" s="8"/>
      <c r="EQM2" s="8"/>
      <c r="EQN2" s="8"/>
      <c r="EQO2" s="8"/>
      <c r="EQP2" s="8"/>
      <c r="EQQ2" s="8"/>
      <c r="EQR2" s="8"/>
      <c r="EQS2" s="8"/>
      <c r="EQT2" s="8"/>
      <c r="EQU2" s="8"/>
      <c r="EQV2" s="8"/>
      <c r="EQW2" s="8"/>
      <c r="EQX2" s="8"/>
      <c r="EQY2" s="8"/>
      <c r="EQZ2" s="8"/>
      <c r="ERA2" s="8"/>
      <c r="ERB2" s="8"/>
      <c r="ERC2" s="8"/>
      <c r="ERD2" s="8"/>
      <c r="ERE2" s="8"/>
      <c r="ERF2" s="8"/>
      <c r="ERG2" s="8"/>
      <c r="ERH2" s="8"/>
      <c r="ERI2" s="8"/>
      <c r="ERJ2" s="8"/>
      <c r="ERK2" s="8"/>
      <c r="ERL2" s="8"/>
      <c r="ERM2" s="8"/>
      <c r="ERN2" s="8"/>
      <c r="ERO2" s="8"/>
      <c r="ERP2" s="8"/>
      <c r="ERQ2" s="8"/>
      <c r="ERR2" s="8"/>
      <c r="ERS2" s="8"/>
      <c r="ERT2" s="8"/>
      <c r="ERU2" s="8"/>
      <c r="ERV2" s="8"/>
      <c r="ERW2" s="8"/>
      <c r="ERX2" s="8"/>
      <c r="ERY2" s="8"/>
      <c r="ERZ2" s="8"/>
      <c r="ESA2" s="8"/>
      <c r="ESB2" s="8"/>
      <c r="ESC2" s="8"/>
      <c r="ESD2" s="8"/>
      <c r="ESE2" s="8"/>
      <c r="ESF2" s="8"/>
      <c r="ESG2" s="8"/>
      <c r="ESH2" s="8"/>
      <c r="ESI2" s="8"/>
      <c r="ESJ2" s="8"/>
      <c r="ESK2" s="8"/>
      <c r="ESL2" s="8"/>
      <c r="ESM2" s="8"/>
      <c r="ESN2" s="8"/>
      <c r="ESO2" s="8"/>
      <c r="ESP2" s="8"/>
      <c r="ESQ2" s="8"/>
      <c r="ESR2" s="8"/>
      <c r="ESS2" s="8"/>
      <c r="EST2" s="8"/>
      <c r="ESU2" s="8"/>
      <c r="ESV2" s="8"/>
      <c r="ESW2" s="8"/>
      <c r="ESX2" s="8"/>
      <c r="ESY2" s="8"/>
      <c r="ESZ2" s="8"/>
      <c r="ETA2" s="8"/>
      <c r="ETB2" s="8"/>
      <c r="ETC2" s="8"/>
      <c r="ETD2" s="8"/>
      <c r="ETE2" s="8"/>
      <c r="ETF2" s="8"/>
      <c r="ETG2" s="8"/>
      <c r="ETH2" s="8"/>
      <c r="ETI2" s="8"/>
      <c r="ETJ2" s="8"/>
      <c r="ETK2" s="8"/>
      <c r="ETL2" s="8"/>
      <c r="ETM2" s="8"/>
      <c r="ETN2" s="8"/>
      <c r="ETO2" s="8"/>
      <c r="ETP2" s="8"/>
      <c r="ETQ2" s="8"/>
      <c r="ETR2" s="8"/>
      <c r="ETS2" s="8"/>
      <c r="ETT2" s="8"/>
      <c r="ETU2" s="8"/>
      <c r="ETV2" s="8"/>
      <c r="ETW2" s="8"/>
      <c r="ETX2" s="8"/>
      <c r="ETY2" s="8"/>
      <c r="ETZ2" s="8"/>
      <c r="EUA2" s="8"/>
      <c r="EUB2" s="8"/>
      <c r="EUC2" s="8"/>
      <c r="EUD2" s="8"/>
      <c r="EUE2" s="8"/>
      <c r="EUF2" s="8"/>
      <c r="EUG2" s="8"/>
      <c r="EUH2" s="8"/>
      <c r="EUI2" s="8"/>
      <c r="EUJ2" s="8"/>
      <c r="EUK2" s="8"/>
      <c r="EUL2" s="8"/>
      <c r="EUM2" s="8"/>
      <c r="EUN2" s="8"/>
      <c r="EUO2" s="8"/>
      <c r="EUP2" s="8"/>
      <c r="EUQ2" s="8"/>
      <c r="EUR2" s="8"/>
      <c r="EUS2" s="8"/>
      <c r="EUT2" s="8"/>
      <c r="EUU2" s="8"/>
      <c r="EUV2" s="8"/>
      <c r="EUW2" s="8"/>
      <c r="EUX2" s="8"/>
      <c r="EUY2" s="8"/>
      <c r="EUZ2" s="8"/>
      <c r="EVA2" s="8"/>
      <c r="EVB2" s="8"/>
      <c r="EVC2" s="8"/>
      <c r="EVD2" s="8"/>
      <c r="EVE2" s="8"/>
      <c r="EVF2" s="8"/>
      <c r="EVG2" s="8"/>
      <c r="EVH2" s="8"/>
      <c r="EVI2" s="8"/>
      <c r="EVJ2" s="8"/>
      <c r="EVK2" s="8"/>
      <c r="EVL2" s="8"/>
      <c r="EVM2" s="8"/>
      <c r="EVN2" s="8"/>
      <c r="EVO2" s="8"/>
      <c r="EVP2" s="8"/>
      <c r="EVQ2" s="8"/>
      <c r="EVR2" s="8"/>
      <c r="EVS2" s="8"/>
      <c r="EVT2" s="8"/>
      <c r="EVU2" s="8"/>
      <c r="EVV2" s="8"/>
      <c r="EVW2" s="8"/>
      <c r="EVX2" s="8"/>
      <c r="EVY2" s="8"/>
      <c r="EVZ2" s="8"/>
      <c r="EWA2" s="8"/>
      <c r="EWB2" s="8"/>
      <c r="EWC2" s="8"/>
      <c r="EWD2" s="8"/>
      <c r="EWE2" s="8"/>
      <c r="EWF2" s="8"/>
      <c r="EWG2" s="8"/>
      <c r="EWH2" s="8"/>
      <c r="EWI2" s="8"/>
      <c r="EWJ2" s="8"/>
      <c r="EWK2" s="8"/>
      <c r="EWL2" s="8"/>
      <c r="EWM2" s="8"/>
      <c r="EWN2" s="8"/>
      <c r="EWO2" s="8"/>
      <c r="EWP2" s="8"/>
      <c r="EWQ2" s="8"/>
      <c r="EWR2" s="8"/>
      <c r="EWS2" s="8"/>
      <c r="EWT2" s="8"/>
      <c r="EWU2" s="8"/>
      <c r="EWV2" s="8"/>
      <c r="EWW2" s="8"/>
      <c r="EWX2" s="8"/>
      <c r="EWY2" s="8"/>
      <c r="EWZ2" s="8"/>
      <c r="EXA2" s="8"/>
      <c r="EXB2" s="8"/>
      <c r="EXC2" s="8"/>
      <c r="EXD2" s="8"/>
      <c r="EXE2" s="8"/>
      <c r="EXF2" s="8"/>
      <c r="EXG2" s="8"/>
      <c r="EXH2" s="8"/>
      <c r="EXI2" s="8"/>
      <c r="EXJ2" s="8"/>
      <c r="EXK2" s="8"/>
      <c r="EXL2" s="8"/>
      <c r="EXM2" s="8"/>
      <c r="EXN2" s="8"/>
      <c r="EXO2" s="8"/>
      <c r="EXP2" s="8"/>
      <c r="EXQ2" s="8"/>
      <c r="EXR2" s="8"/>
      <c r="EXS2" s="8"/>
      <c r="EXT2" s="8"/>
      <c r="EXU2" s="8"/>
      <c r="EXV2" s="8"/>
      <c r="EXW2" s="8"/>
      <c r="EXX2" s="8"/>
      <c r="EXY2" s="8"/>
      <c r="EXZ2" s="8"/>
      <c r="EYA2" s="8"/>
      <c r="EYB2" s="8"/>
      <c r="EYC2" s="8"/>
      <c r="EYD2" s="8"/>
      <c r="EYE2" s="8"/>
      <c r="EYF2" s="8"/>
      <c r="EYG2" s="8"/>
      <c r="EYH2" s="8"/>
      <c r="EYI2" s="8"/>
      <c r="EYJ2" s="8"/>
      <c r="EYK2" s="8"/>
      <c r="EYL2" s="8"/>
      <c r="EYM2" s="8"/>
      <c r="EYN2" s="8"/>
      <c r="EYO2" s="8"/>
      <c r="EYP2" s="8"/>
      <c r="EYQ2" s="8"/>
      <c r="EYR2" s="8"/>
      <c r="EYS2" s="8"/>
      <c r="EYT2" s="8"/>
      <c r="EYU2" s="8"/>
      <c r="EYV2" s="8"/>
      <c r="EYW2" s="8"/>
      <c r="EYX2" s="8"/>
      <c r="EYY2" s="8"/>
      <c r="EYZ2" s="8"/>
      <c r="EZA2" s="8"/>
      <c r="EZB2" s="8"/>
      <c r="EZC2" s="8"/>
      <c r="EZD2" s="8"/>
      <c r="EZE2" s="8"/>
      <c r="EZF2" s="8"/>
      <c r="EZG2" s="8"/>
      <c r="EZH2" s="8"/>
      <c r="EZI2" s="8"/>
      <c r="EZJ2" s="8"/>
      <c r="EZK2" s="8"/>
      <c r="EZL2" s="8"/>
      <c r="EZM2" s="8"/>
      <c r="EZN2" s="8"/>
      <c r="EZO2" s="8"/>
      <c r="EZP2" s="8"/>
      <c r="EZQ2" s="8"/>
      <c r="EZR2" s="8"/>
      <c r="EZS2" s="8"/>
      <c r="EZT2" s="8"/>
      <c r="EZU2" s="8"/>
      <c r="EZV2" s="8"/>
      <c r="EZW2" s="8"/>
      <c r="EZX2" s="8"/>
      <c r="EZY2" s="8"/>
      <c r="EZZ2" s="8"/>
      <c r="FAA2" s="8"/>
      <c r="FAB2" s="8"/>
      <c r="FAC2" s="8"/>
      <c r="FAD2" s="8"/>
      <c r="FAE2" s="8"/>
      <c r="FAF2" s="8"/>
      <c r="FAG2" s="8"/>
      <c r="FAH2" s="8"/>
      <c r="FAI2" s="8"/>
      <c r="FAJ2" s="8"/>
      <c r="FAK2" s="8"/>
      <c r="FAL2" s="8"/>
      <c r="FAM2" s="8"/>
      <c r="FAN2" s="8"/>
      <c r="FAO2" s="8"/>
      <c r="FAP2" s="8"/>
      <c r="FAQ2" s="8"/>
      <c r="FAR2" s="8"/>
      <c r="FAS2" s="8"/>
      <c r="FAT2" s="8"/>
      <c r="FAU2" s="8"/>
      <c r="FAV2" s="8"/>
      <c r="FAW2" s="8"/>
      <c r="FAX2" s="8"/>
      <c r="FAY2" s="8"/>
      <c r="FAZ2" s="8"/>
      <c r="FBA2" s="8"/>
      <c r="FBB2" s="8"/>
      <c r="FBC2" s="8"/>
      <c r="FBD2" s="8"/>
      <c r="FBE2" s="8"/>
      <c r="FBF2" s="8"/>
      <c r="FBG2" s="8"/>
      <c r="FBH2" s="8"/>
      <c r="FBI2" s="8"/>
      <c r="FBJ2" s="8"/>
      <c r="FBK2" s="8"/>
      <c r="FBL2" s="8"/>
      <c r="FBM2" s="8"/>
      <c r="FBN2" s="8"/>
      <c r="FBO2" s="8"/>
      <c r="FBP2" s="8"/>
      <c r="FBQ2" s="8"/>
      <c r="FBR2" s="8"/>
      <c r="FBS2" s="8"/>
      <c r="FBT2" s="8"/>
      <c r="FBU2" s="8"/>
      <c r="FBV2" s="8"/>
      <c r="FBW2" s="8"/>
      <c r="FBX2" s="8"/>
      <c r="FBY2" s="8"/>
      <c r="FBZ2" s="8"/>
      <c r="FCA2" s="8"/>
      <c r="FCB2" s="8"/>
      <c r="FCC2" s="8"/>
      <c r="FCD2" s="8"/>
      <c r="FCE2" s="8"/>
      <c r="FCF2" s="8"/>
      <c r="FCG2" s="8"/>
      <c r="FCH2" s="8"/>
      <c r="FCI2" s="8"/>
      <c r="FCJ2" s="8"/>
      <c r="FCK2" s="8"/>
      <c r="FCL2" s="8"/>
      <c r="FCM2" s="8"/>
      <c r="FCN2" s="8"/>
      <c r="FCO2" s="8"/>
      <c r="FCP2" s="8"/>
      <c r="FCQ2" s="8"/>
      <c r="FCR2" s="8"/>
      <c r="FCS2" s="8"/>
      <c r="FCT2" s="8"/>
      <c r="FCU2" s="8"/>
      <c r="FCV2" s="8"/>
      <c r="FCW2" s="8"/>
      <c r="FCX2" s="8"/>
      <c r="FCY2" s="8"/>
      <c r="FCZ2" s="8"/>
      <c r="FDA2" s="8"/>
      <c r="FDB2" s="8"/>
      <c r="FDC2" s="8"/>
      <c r="FDD2" s="8"/>
      <c r="FDE2" s="8"/>
      <c r="FDF2" s="8"/>
      <c r="FDG2" s="8"/>
      <c r="FDH2" s="8"/>
      <c r="FDI2" s="8"/>
      <c r="FDJ2" s="8"/>
      <c r="FDK2" s="8"/>
      <c r="FDL2" s="8"/>
      <c r="FDM2" s="8"/>
      <c r="FDN2" s="8"/>
      <c r="FDO2" s="8"/>
      <c r="FDP2" s="8"/>
      <c r="FDQ2" s="8"/>
      <c r="FDR2" s="8"/>
      <c r="FDS2" s="8"/>
      <c r="FDT2" s="8"/>
      <c r="FDU2" s="8"/>
      <c r="FDV2" s="8"/>
      <c r="FDW2" s="8"/>
      <c r="FDX2" s="8"/>
      <c r="FDY2" s="8"/>
      <c r="FDZ2" s="8"/>
      <c r="FEA2" s="8"/>
      <c r="FEB2" s="8"/>
      <c r="FEC2" s="8"/>
      <c r="FED2" s="8"/>
      <c r="FEE2" s="8"/>
      <c r="FEF2" s="8"/>
      <c r="FEG2" s="8"/>
      <c r="FEH2" s="8"/>
      <c r="FEI2" s="8"/>
      <c r="FEJ2" s="8"/>
      <c r="FEK2" s="8"/>
      <c r="FEL2" s="8"/>
      <c r="FEM2" s="8"/>
      <c r="FEN2" s="8"/>
      <c r="FEO2" s="8"/>
      <c r="FEP2" s="8"/>
      <c r="FEQ2" s="8"/>
      <c r="FER2" s="8"/>
      <c r="FES2" s="8"/>
      <c r="FET2" s="8"/>
      <c r="FEU2" s="8"/>
      <c r="FEV2" s="8"/>
      <c r="FEW2" s="8"/>
      <c r="FEX2" s="8"/>
      <c r="FEY2" s="8"/>
      <c r="FEZ2" s="8"/>
      <c r="FFA2" s="8"/>
      <c r="FFB2" s="8"/>
      <c r="FFC2" s="8"/>
      <c r="FFD2" s="8"/>
      <c r="FFE2" s="8"/>
      <c r="FFF2" s="8"/>
      <c r="FFG2" s="8"/>
      <c r="FFH2" s="8"/>
      <c r="FFI2" s="8"/>
      <c r="FFJ2" s="8"/>
      <c r="FFK2" s="8"/>
      <c r="FFL2" s="8"/>
      <c r="FFM2" s="8"/>
      <c r="FFN2" s="8"/>
      <c r="FFO2" s="8"/>
      <c r="FFP2" s="8"/>
      <c r="FFQ2" s="8"/>
      <c r="FFR2" s="8"/>
      <c r="FFS2" s="8"/>
      <c r="FFT2" s="8"/>
      <c r="FFU2" s="8"/>
      <c r="FFV2" s="8"/>
      <c r="FFW2" s="8"/>
      <c r="FFX2" s="8"/>
      <c r="FFY2" s="8"/>
      <c r="FFZ2" s="8"/>
      <c r="FGA2" s="8"/>
      <c r="FGB2" s="8"/>
      <c r="FGC2" s="8"/>
      <c r="FGD2" s="8"/>
      <c r="FGE2" s="8"/>
      <c r="FGF2" s="8"/>
      <c r="FGG2" s="8"/>
      <c r="FGH2" s="8"/>
      <c r="FGI2" s="8"/>
      <c r="FGJ2" s="8"/>
      <c r="FGK2" s="8"/>
      <c r="FGL2" s="8"/>
      <c r="FGM2" s="8"/>
      <c r="FGN2" s="8"/>
      <c r="FGO2" s="8"/>
      <c r="FGP2" s="8"/>
      <c r="FGQ2" s="8"/>
      <c r="FGR2" s="8"/>
      <c r="FGS2" s="8"/>
      <c r="FGT2" s="8"/>
      <c r="FGU2" s="8"/>
      <c r="FGV2" s="8"/>
      <c r="FGW2" s="8"/>
      <c r="FGX2" s="8"/>
      <c r="FGY2" s="8"/>
      <c r="FGZ2" s="8"/>
      <c r="FHA2" s="8"/>
      <c r="FHB2" s="8"/>
      <c r="FHC2" s="8"/>
      <c r="FHD2" s="8"/>
      <c r="FHE2" s="8"/>
      <c r="FHF2" s="8"/>
      <c r="FHG2" s="8"/>
      <c r="FHH2" s="8"/>
      <c r="FHI2" s="8"/>
      <c r="FHJ2" s="8"/>
      <c r="FHK2" s="8"/>
      <c r="FHL2" s="8"/>
      <c r="FHM2" s="8"/>
      <c r="FHN2" s="8"/>
      <c r="FHO2" s="8"/>
      <c r="FHP2" s="8"/>
      <c r="FHQ2" s="8"/>
      <c r="FHR2" s="8"/>
      <c r="FHS2" s="8"/>
      <c r="FHT2" s="8"/>
      <c r="FHU2" s="8"/>
      <c r="FHV2" s="8"/>
      <c r="FHW2" s="8"/>
      <c r="FHX2" s="8"/>
      <c r="FHY2" s="8"/>
      <c r="FHZ2" s="8"/>
      <c r="FIA2" s="8"/>
      <c r="FIB2" s="8"/>
      <c r="FIC2" s="8"/>
      <c r="FID2" s="8"/>
      <c r="FIE2" s="8"/>
      <c r="FIF2" s="8"/>
      <c r="FIG2" s="8"/>
      <c r="FIH2" s="8"/>
      <c r="FII2" s="8"/>
      <c r="FIJ2" s="8"/>
      <c r="FIK2" s="8"/>
      <c r="FIL2" s="8"/>
      <c r="FIM2" s="8"/>
      <c r="FIN2" s="8"/>
      <c r="FIO2" s="8"/>
      <c r="FIP2" s="8"/>
      <c r="FIQ2" s="8"/>
      <c r="FIR2" s="8"/>
      <c r="FIS2" s="8"/>
      <c r="FIT2" s="8"/>
      <c r="FIU2" s="8"/>
      <c r="FIV2" s="8"/>
      <c r="FIW2" s="8"/>
      <c r="FIX2" s="8"/>
      <c r="FIY2" s="8"/>
      <c r="FIZ2" s="8"/>
      <c r="FJA2" s="8"/>
      <c r="FJB2" s="8"/>
      <c r="FJC2" s="8"/>
      <c r="FJD2" s="8"/>
      <c r="FJE2" s="8"/>
      <c r="FJF2" s="8"/>
      <c r="FJG2" s="8"/>
      <c r="FJH2" s="8"/>
      <c r="FJI2" s="8"/>
      <c r="FJJ2" s="8"/>
      <c r="FJK2" s="8"/>
      <c r="FJL2" s="8"/>
      <c r="FJM2" s="8"/>
      <c r="FJN2" s="8"/>
      <c r="FJO2" s="8"/>
      <c r="FJP2" s="8"/>
      <c r="FJQ2" s="8"/>
      <c r="FJR2" s="8"/>
      <c r="FJS2" s="8"/>
      <c r="FJT2" s="8"/>
      <c r="FJU2" s="8"/>
      <c r="FJV2" s="8"/>
      <c r="FJW2" s="8"/>
      <c r="FJX2" s="8"/>
      <c r="FJY2" s="8"/>
      <c r="FJZ2" s="8"/>
      <c r="FKA2" s="8"/>
      <c r="FKB2" s="8"/>
      <c r="FKC2" s="8"/>
      <c r="FKD2" s="8"/>
      <c r="FKE2" s="8"/>
      <c r="FKF2" s="8"/>
      <c r="FKG2" s="8"/>
      <c r="FKH2" s="8"/>
      <c r="FKI2" s="8"/>
      <c r="FKJ2" s="8"/>
      <c r="FKK2" s="8"/>
      <c r="FKL2" s="8"/>
      <c r="FKM2" s="8"/>
      <c r="FKN2" s="8"/>
      <c r="FKO2" s="8"/>
      <c r="FKP2" s="8"/>
      <c r="FKQ2" s="8"/>
      <c r="FKR2" s="8"/>
      <c r="FKS2" s="8"/>
      <c r="FKT2" s="8"/>
      <c r="FKU2" s="8"/>
      <c r="FKV2" s="8"/>
      <c r="FKW2" s="8"/>
      <c r="FKX2" s="8"/>
      <c r="FKY2" s="8"/>
      <c r="FKZ2" s="8"/>
      <c r="FLA2" s="8"/>
      <c r="FLB2" s="8"/>
      <c r="FLC2" s="8"/>
      <c r="FLD2" s="8"/>
      <c r="FLE2" s="8"/>
      <c r="FLF2" s="8"/>
      <c r="FLG2" s="8"/>
      <c r="FLH2" s="8"/>
      <c r="FLI2" s="8"/>
      <c r="FLJ2" s="8"/>
      <c r="FLK2" s="8"/>
      <c r="FLL2" s="8"/>
      <c r="FLM2" s="8"/>
      <c r="FLN2" s="8"/>
      <c r="FLO2" s="8"/>
      <c r="FLP2" s="8"/>
      <c r="FLQ2" s="8"/>
      <c r="FLR2" s="8"/>
      <c r="FLS2" s="8"/>
      <c r="FLT2" s="8"/>
      <c r="FLU2" s="8"/>
      <c r="FLV2" s="8"/>
      <c r="FLW2" s="8"/>
      <c r="FLX2" s="8"/>
      <c r="FLY2" s="8"/>
      <c r="FLZ2" s="8"/>
      <c r="FMA2" s="8"/>
      <c r="FMB2" s="8"/>
      <c r="FMC2" s="8"/>
      <c r="FMD2" s="8"/>
      <c r="FME2" s="8"/>
      <c r="FMF2" s="8"/>
      <c r="FMG2" s="8"/>
      <c r="FMH2" s="8"/>
      <c r="FMI2" s="8"/>
      <c r="FMJ2" s="8"/>
      <c r="FMK2" s="8"/>
      <c r="FML2" s="8"/>
      <c r="FMM2" s="8"/>
      <c r="FMN2" s="8"/>
      <c r="FMO2" s="8"/>
      <c r="FMP2" s="8"/>
      <c r="FMQ2" s="8"/>
      <c r="FMR2" s="8"/>
      <c r="FMS2" s="8"/>
      <c r="FMT2" s="8"/>
      <c r="FMU2" s="8"/>
      <c r="FMV2" s="8"/>
      <c r="FMW2" s="8"/>
      <c r="FMX2" s="8"/>
      <c r="FMY2" s="8"/>
      <c r="FMZ2" s="8"/>
      <c r="FNA2" s="8"/>
      <c r="FNB2" s="8"/>
      <c r="FNC2" s="8"/>
      <c r="FND2" s="8"/>
      <c r="FNE2" s="8"/>
      <c r="FNF2" s="8"/>
      <c r="FNG2" s="8"/>
      <c r="FNH2" s="8"/>
      <c r="FNI2" s="8"/>
      <c r="FNJ2" s="8"/>
      <c r="FNK2" s="8"/>
      <c r="FNL2" s="8"/>
      <c r="FNM2" s="8"/>
      <c r="FNN2" s="8"/>
      <c r="FNO2" s="8"/>
      <c r="FNP2" s="8"/>
      <c r="FNQ2" s="8"/>
      <c r="FNR2" s="8"/>
      <c r="FNS2" s="8"/>
      <c r="FNT2" s="8"/>
      <c r="FNU2" s="8"/>
      <c r="FNV2" s="8"/>
      <c r="FNW2" s="8"/>
      <c r="FNX2" s="8"/>
      <c r="FNY2" s="8"/>
      <c r="FNZ2" s="8"/>
      <c r="FOA2" s="8"/>
      <c r="FOB2" s="8"/>
      <c r="FOC2" s="8"/>
      <c r="FOD2" s="8"/>
      <c r="FOE2" s="8"/>
      <c r="FOF2" s="8"/>
      <c r="FOG2" s="8"/>
      <c r="FOH2" s="8"/>
      <c r="FOI2" s="8"/>
      <c r="FOJ2" s="8"/>
      <c r="FOK2" s="8"/>
      <c r="FOL2" s="8"/>
      <c r="FOM2" s="8"/>
      <c r="FON2" s="8"/>
      <c r="FOO2" s="8"/>
      <c r="FOP2" s="8"/>
      <c r="FOQ2" s="8"/>
      <c r="FOR2" s="8"/>
      <c r="FOS2" s="8"/>
      <c r="FOT2" s="8"/>
      <c r="FOU2" s="8"/>
      <c r="FOV2" s="8"/>
      <c r="FOW2" s="8"/>
      <c r="FOX2" s="8"/>
      <c r="FOY2" s="8"/>
      <c r="FOZ2" s="8"/>
      <c r="FPA2" s="8"/>
      <c r="FPB2" s="8"/>
      <c r="FPC2" s="8"/>
      <c r="FPD2" s="8"/>
      <c r="FPE2" s="8"/>
      <c r="FPF2" s="8"/>
      <c r="FPG2" s="8"/>
      <c r="FPH2" s="8"/>
      <c r="FPI2" s="8"/>
      <c r="FPJ2" s="8"/>
      <c r="FPK2" s="8"/>
      <c r="FPL2" s="8"/>
      <c r="FPM2" s="8"/>
      <c r="FPN2" s="8"/>
      <c r="FPO2" s="8"/>
      <c r="FPP2" s="8"/>
      <c r="FPQ2" s="8"/>
      <c r="FPR2" s="8"/>
      <c r="FPS2" s="8"/>
      <c r="FPT2" s="8"/>
      <c r="FPU2" s="8"/>
      <c r="FPV2" s="8"/>
      <c r="FPW2" s="8"/>
      <c r="FPX2" s="8"/>
      <c r="FPY2" s="8"/>
      <c r="FPZ2" s="8"/>
      <c r="FQA2" s="8"/>
      <c r="FQB2" s="8"/>
      <c r="FQC2" s="8"/>
      <c r="FQD2" s="8"/>
      <c r="FQE2" s="8"/>
      <c r="FQF2" s="8"/>
      <c r="FQG2" s="8"/>
      <c r="FQH2" s="8"/>
      <c r="FQI2" s="8"/>
      <c r="FQJ2" s="8"/>
      <c r="FQK2" s="8"/>
      <c r="FQL2" s="8"/>
      <c r="FQM2" s="8"/>
      <c r="FQN2" s="8"/>
      <c r="FQO2" s="8"/>
      <c r="FQP2" s="8"/>
      <c r="FQQ2" s="8"/>
      <c r="FQR2" s="8"/>
      <c r="FQS2" s="8"/>
      <c r="FQT2" s="8"/>
      <c r="FQU2" s="8"/>
      <c r="FQV2" s="8"/>
      <c r="FQW2" s="8"/>
      <c r="FQX2" s="8"/>
      <c r="FQY2" s="8"/>
      <c r="FQZ2" s="8"/>
      <c r="FRA2" s="8"/>
      <c r="FRB2" s="8"/>
      <c r="FRC2" s="8"/>
      <c r="FRD2" s="8"/>
      <c r="FRE2" s="8"/>
      <c r="FRF2" s="8"/>
      <c r="FRG2" s="8"/>
      <c r="FRH2" s="8"/>
      <c r="FRI2" s="8"/>
      <c r="FRJ2" s="8"/>
      <c r="FRK2" s="8"/>
      <c r="FRL2" s="8"/>
      <c r="FRM2" s="8"/>
      <c r="FRN2" s="8"/>
      <c r="FRO2" s="8"/>
      <c r="FRP2" s="8"/>
      <c r="FRQ2" s="8"/>
      <c r="FRR2" s="8"/>
      <c r="FRS2" s="8"/>
      <c r="FRT2" s="8"/>
      <c r="FRU2" s="8"/>
      <c r="FRV2" s="8"/>
      <c r="FRW2" s="8"/>
      <c r="FRX2" s="8"/>
      <c r="FRY2" s="8"/>
      <c r="FRZ2" s="8"/>
      <c r="FSA2" s="8"/>
      <c r="FSB2" s="8"/>
      <c r="FSC2" s="8"/>
      <c r="FSD2" s="8"/>
      <c r="FSE2" s="8"/>
      <c r="FSF2" s="8"/>
      <c r="FSG2" s="8"/>
      <c r="FSH2" s="8"/>
      <c r="FSI2" s="8"/>
      <c r="FSJ2" s="8"/>
      <c r="FSK2" s="8"/>
      <c r="FSL2" s="8"/>
      <c r="FSM2" s="8"/>
      <c r="FSN2" s="8"/>
      <c r="FSO2" s="8"/>
      <c r="FSP2" s="8"/>
      <c r="FSQ2" s="8"/>
      <c r="FSR2" s="8"/>
      <c r="FSS2" s="8"/>
      <c r="FST2" s="8"/>
      <c r="FSU2" s="8"/>
      <c r="FSV2" s="8"/>
      <c r="FSW2" s="8"/>
      <c r="FSX2" s="8"/>
      <c r="FSY2" s="8"/>
      <c r="FSZ2" s="8"/>
      <c r="FTA2" s="8"/>
      <c r="FTB2" s="8"/>
      <c r="FTC2" s="8"/>
      <c r="FTD2" s="8"/>
      <c r="FTE2" s="8"/>
      <c r="FTF2" s="8"/>
      <c r="FTG2" s="8"/>
      <c r="FTH2" s="8"/>
      <c r="FTI2" s="8"/>
      <c r="FTJ2" s="8"/>
      <c r="FTK2" s="8"/>
      <c r="FTL2" s="8"/>
      <c r="FTM2" s="8"/>
      <c r="FTN2" s="8"/>
      <c r="FTO2" s="8"/>
      <c r="FTP2" s="8"/>
      <c r="FTQ2" s="8"/>
      <c r="FTR2" s="8"/>
      <c r="FTS2" s="8"/>
      <c r="FTT2" s="8"/>
      <c r="FTU2" s="8"/>
      <c r="FTV2" s="8"/>
      <c r="FTW2" s="8"/>
      <c r="FTX2" s="8"/>
      <c r="FTY2" s="8"/>
      <c r="FTZ2" s="8"/>
      <c r="FUA2" s="8"/>
      <c r="FUB2" s="8"/>
      <c r="FUC2" s="8"/>
      <c r="FUD2" s="8"/>
      <c r="FUE2" s="8"/>
      <c r="FUF2" s="8"/>
      <c r="FUG2" s="8"/>
      <c r="FUH2" s="8"/>
      <c r="FUI2" s="8"/>
      <c r="FUJ2" s="8"/>
      <c r="FUK2" s="8"/>
      <c r="FUL2" s="8"/>
      <c r="FUM2" s="8"/>
      <c r="FUN2" s="8"/>
      <c r="FUO2" s="8"/>
      <c r="FUP2" s="8"/>
      <c r="FUQ2" s="8"/>
      <c r="FUR2" s="8"/>
      <c r="FUS2" s="8"/>
      <c r="FUT2" s="8"/>
      <c r="FUU2" s="8"/>
      <c r="FUV2" s="8"/>
      <c r="FUW2" s="8"/>
      <c r="FUX2" s="8"/>
      <c r="FUY2" s="8"/>
      <c r="FUZ2" s="8"/>
      <c r="FVA2" s="8"/>
      <c r="FVB2" s="8"/>
      <c r="FVC2" s="8"/>
      <c r="FVD2" s="8"/>
      <c r="FVE2" s="8"/>
      <c r="FVF2" s="8"/>
      <c r="FVG2" s="8"/>
      <c r="FVH2" s="8"/>
      <c r="FVI2" s="8"/>
      <c r="FVJ2" s="8"/>
      <c r="FVK2" s="8"/>
      <c r="FVL2" s="8"/>
      <c r="FVM2" s="8"/>
      <c r="FVN2" s="8"/>
      <c r="FVO2" s="8"/>
      <c r="FVP2" s="8"/>
      <c r="FVQ2" s="8"/>
      <c r="FVR2" s="8"/>
      <c r="FVS2" s="8"/>
      <c r="FVT2" s="8"/>
      <c r="FVU2" s="8"/>
      <c r="FVV2" s="8"/>
      <c r="FVW2" s="8"/>
      <c r="FVX2" s="8"/>
      <c r="FVY2" s="8"/>
      <c r="FVZ2" s="8"/>
      <c r="FWA2" s="8"/>
      <c r="FWB2" s="8"/>
      <c r="FWC2" s="8"/>
      <c r="FWD2" s="8"/>
      <c r="FWE2" s="8"/>
      <c r="FWF2" s="8"/>
      <c r="FWG2" s="8"/>
      <c r="FWH2" s="8"/>
      <c r="FWI2" s="8"/>
      <c r="FWJ2" s="8"/>
      <c r="FWK2" s="8"/>
      <c r="FWL2" s="8"/>
      <c r="FWM2" s="8"/>
      <c r="FWN2" s="8"/>
      <c r="FWO2" s="8"/>
      <c r="FWP2" s="8"/>
      <c r="FWQ2" s="8"/>
      <c r="FWR2" s="8"/>
      <c r="FWS2" s="8"/>
      <c r="FWT2" s="8"/>
      <c r="FWU2" s="8"/>
      <c r="FWV2" s="8"/>
      <c r="FWW2" s="8"/>
      <c r="FWX2" s="8"/>
      <c r="FWY2" s="8"/>
      <c r="FWZ2" s="8"/>
      <c r="FXA2" s="8"/>
      <c r="FXB2" s="8"/>
      <c r="FXC2" s="8"/>
      <c r="FXD2" s="8"/>
      <c r="FXE2" s="8"/>
      <c r="FXF2" s="8"/>
      <c r="FXG2" s="8"/>
      <c r="FXH2" s="8"/>
      <c r="FXI2" s="8"/>
      <c r="FXJ2" s="8"/>
      <c r="FXK2" s="8"/>
      <c r="FXL2" s="8"/>
      <c r="FXM2" s="8"/>
      <c r="FXN2" s="8"/>
      <c r="FXO2" s="8"/>
      <c r="FXP2" s="8"/>
      <c r="FXQ2" s="8"/>
      <c r="FXR2" s="8"/>
      <c r="FXS2" s="8"/>
      <c r="FXT2" s="8"/>
      <c r="FXU2" s="8"/>
      <c r="FXV2" s="8"/>
      <c r="FXW2" s="8"/>
      <c r="FXX2" s="8"/>
      <c r="FXY2" s="8"/>
      <c r="FXZ2" s="8"/>
      <c r="FYA2" s="8"/>
      <c r="FYB2" s="8"/>
      <c r="FYC2" s="8"/>
      <c r="FYD2" s="8"/>
      <c r="FYE2" s="8"/>
      <c r="FYF2" s="8"/>
      <c r="FYG2" s="8"/>
      <c r="FYH2" s="8"/>
      <c r="FYI2" s="8"/>
      <c r="FYJ2" s="8"/>
      <c r="FYK2" s="8"/>
      <c r="FYL2" s="8"/>
      <c r="FYM2" s="8"/>
      <c r="FYN2" s="8"/>
      <c r="FYO2" s="8"/>
      <c r="FYP2" s="8"/>
      <c r="FYQ2" s="8"/>
      <c r="FYR2" s="8"/>
      <c r="FYS2" s="8"/>
      <c r="FYT2" s="8"/>
      <c r="FYU2" s="8"/>
      <c r="FYV2" s="8"/>
      <c r="FYW2" s="8"/>
      <c r="FYX2" s="8"/>
      <c r="FYY2" s="8"/>
      <c r="FYZ2" s="8"/>
      <c r="FZA2" s="8"/>
      <c r="FZB2" s="8"/>
      <c r="FZC2" s="8"/>
      <c r="FZD2" s="8"/>
      <c r="FZE2" s="8"/>
      <c r="FZF2" s="8"/>
      <c r="FZG2" s="8"/>
      <c r="FZH2" s="8"/>
      <c r="FZI2" s="8"/>
      <c r="FZJ2" s="8"/>
      <c r="FZK2" s="8"/>
      <c r="FZL2" s="8"/>
      <c r="FZM2" s="8"/>
      <c r="FZN2" s="8"/>
      <c r="FZO2" s="8"/>
      <c r="FZP2" s="8"/>
      <c r="FZQ2" s="8"/>
      <c r="FZR2" s="8"/>
      <c r="FZS2" s="8"/>
      <c r="FZT2" s="8"/>
      <c r="FZU2" s="8"/>
      <c r="FZV2" s="8"/>
      <c r="FZW2" s="8"/>
      <c r="FZX2" s="8"/>
      <c r="FZY2" s="8"/>
      <c r="FZZ2" s="8"/>
      <c r="GAA2" s="8"/>
      <c r="GAB2" s="8"/>
      <c r="GAC2" s="8"/>
      <c r="GAD2" s="8"/>
      <c r="GAE2" s="8"/>
      <c r="GAF2" s="8"/>
      <c r="GAG2" s="8"/>
      <c r="GAH2" s="8"/>
      <c r="GAI2" s="8"/>
      <c r="GAJ2" s="8"/>
      <c r="GAK2" s="8"/>
      <c r="GAL2" s="8"/>
      <c r="GAM2" s="8"/>
      <c r="GAN2" s="8"/>
      <c r="GAO2" s="8"/>
      <c r="GAP2" s="8"/>
      <c r="GAQ2" s="8"/>
      <c r="GAR2" s="8"/>
      <c r="GAS2" s="8"/>
      <c r="GAT2" s="8"/>
      <c r="GAU2" s="8"/>
      <c r="GAV2" s="8"/>
      <c r="GAW2" s="8"/>
      <c r="GAX2" s="8"/>
      <c r="GAY2" s="8"/>
      <c r="GAZ2" s="8"/>
      <c r="GBA2" s="8"/>
      <c r="GBB2" s="8"/>
      <c r="GBC2" s="8"/>
      <c r="GBD2" s="8"/>
      <c r="GBE2" s="8"/>
      <c r="GBF2" s="8"/>
      <c r="GBG2" s="8"/>
      <c r="GBH2" s="8"/>
      <c r="GBI2" s="8"/>
      <c r="GBJ2" s="8"/>
      <c r="GBK2" s="8"/>
      <c r="GBL2" s="8"/>
      <c r="GBM2" s="8"/>
      <c r="GBN2" s="8"/>
      <c r="GBO2" s="8"/>
      <c r="GBP2" s="8"/>
      <c r="GBQ2" s="8"/>
      <c r="GBR2" s="8"/>
      <c r="GBS2" s="8"/>
      <c r="GBT2" s="8"/>
      <c r="GBU2" s="8"/>
      <c r="GBV2" s="8"/>
      <c r="GBW2" s="8"/>
      <c r="GBX2" s="8"/>
      <c r="GBY2" s="8"/>
      <c r="GBZ2" s="8"/>
      <c r="GCA2" s="8"/>
      <c r="GCB2" s="8"/>
      <c r="GCC2" s="8"/>
      <c r="GCD2" s="8"/>
      <c r="GCE2" s="8"/>
      <c r="GCF2" s="8"/>
      <c r="GCG2" s="8"/>
      <c r="GCH2" s="8"/>
      <c r="GCI2" s="8"/>
      <c r="GCJ2" s="8"/>
      <c r="GCK2" s="8"/>
      <c r="GCL2" s="8"/>
      <c r="GCM2" s="8"/>
      <c r="GCN2" s="8"/>
      <c r="GCO2" s="8"/>
      <c r="GCP2" s="8"/>
      <c r="GCQ2" s="8"/>
      <c r="GCR2" s="8"/>
      <c r="GCS2" s="8"/>
      <c r="GCT2" s="8"/>
      <c r="GCU2" s="8"/>
      <c r="GCV2" s="8"/>
      <c r="GCW2" s="8"/>
      <c r="GCX2" s="8"/>
      <c r="GCY2" s="8"/>
      <c r="GCZ2" s="8"/>
      <c r="GDA2" s="8"/>
      <c r="GDB2" s="8"/>
      <c r="GDC2" s="8"/>
      <c r="GDD2" s="8"/>
      <c r="GDE2" s="8"/>
      <c r="GDF2" s="8"/>
      <c r="GDG2" s="8"/>
      <c r="GDH2" s="8"/>
      <c r="GDI2" s="8"/>
      <c r="GDJ2" s="8"/>
      <c r="GDK2" s="8"/>
      <c r="GDL2" s="8"/>
      <c r="GDM2" s="8"/>
      <c r="GDN2" s="8"/>
      <c r="GDO2" s="8"/>
      <c r="GDP2" s="8"/>
      <c r="GDQ2" s="8"/>
      <c r="GDR2" s="8"/>
      <c r="GDS2" s="8"/>
      <c r="GDT2" s="8"/>
      <c r="GDU2" s="8"/>
      <c r="GDV2" s="8"/>
      <c r="GDW2" s="8"/>
      <c r="GDX2" s="8"/>
      <c r="GDY2" s="8"/>
      <c r="GDZ2" s="8"/>
      <c r="GEA2" s="8"/>
      <c r="GEB2" s="8"/>
      <c r="GEC2" s="8"/>
      <c r="GED2" s="8"/>
      <c r="GEE2" s="8"/>
      <c r="GEF2" s="8"/>
      <c r="GEG2" s="8"/>
      <c r="GEH2" s="8"/>
      <c r="GEI2" s="8"/>
      <c r="GEJ2" s="8"/>
      <c r="GEK2" s="8"/>
      <c r="GEL2" s="8"/>
      <c r="GEM2" s="8"/>
      <c r="GEN2" s="8"/>
      <c r="GEO2" s="8"/>
      <c r="GEP2" s="8"/>
      <c r="GEQ2" s="8"/>
      <c r="GER2" s="8"/>
      <c r="GES2" s="8"/>
      <c r="GET2" s="8"/>
      <c r="GEU2" s="8"/>
      <c r="GEV2" s="8"/>
      <c r="GEW2" s="8"/>
      <c r="GEX2" s="8"/>
      <c r="GEY2" s="8"/>
      <c r="GEZ2" s="8"/>
      <c r="GFA2" s="8"/>
      <c r="GFB2" s="8"/>
      <c r="GFC2" s="8"/>
      <c r="GFD2" s="8"/>
      <c r="GFE2" s="8"/>
      <c r="GFF2" s="8"/>
      <c r="GFG2" s="8"/>
      <c r="GFH2" s="8"/>
      <c r="GFI2" s="8"/>
      <c r="GFJ2" s="8"/>
      <c r="GFK2" s="8"/>
      <c r="GFL2" s="8"/>
      <c r="GFM2" s="8"/>
      <c r="GFN2" s="8"/>
      <c r="GFO2" s="8"/>
      <c r="GFP2" s="8"/>
      <c r="GFQ2" s="8"/>
      <c r="GFR2" s="8"/>
      <c r="GFS2" s="8"/>
      <c r="GFT2" s="8"/>
      <c r="GFU2" s="8"/>
      <c r="GFV2" s="8"/>
      <c r="GFW2" s="8"/>
      <c r="GFX2" s="8"/>
      <c r="GFY2" s="8"/>
      <c r="GFZ2" s="8"/>
      <c r="GGA2" s="8"/>
      <c r="GGB2" s="8"/>
      <c r="GGC2" s="8"/>
      <c r="GGD2" s="8"/>
      <c r="GGE2" s="8"/>
      <c r="GGF2" s="8"/>
      <c r="GGG2" s="8"/>
      <c r="GGH2" s="8"/>
      <c r="GGI2" s="8"/>
      <c r="GGJ2" s="8"/>
      <c r="GGK2" s="8"/>
      <c r="GGL2" s="8"/>
      <c r="GGM2" s="8"/>
      <c r="GGN2" s="8"/>
      <c r="GGO2" s="8"/>
      <c r="GGP2" s="8"/>
      <c r="GGQ2" s="8"/>
      <c r="GGR2" s="8"/>
      <c r="GGS2" s="8"/>
      <c r="GGT2" s="8"/>
      <c r="GGU2" s="8"/>
      <c r="GGV2" s="8"/>
      <c r="GGW2" s="8"/>
      <c r="GGX2" s="8"/>
      <c r="GGY2" s="8"/>
      <c r="GGZ2" s="8"/>
      <c r="GHA2" s="8"/>
      <c r="GHB2" s="8"/>
      <c r="GHC2" s="8"/>
      <c r="GHD2" s="8"/>
      <c r="GHE2" s="8"/>
      <c r="GHF2" s="8"/>
      <c r="GHG2" s="8"/>
      <c r="GHH2" s="8"/>
      <c r="GHI2" s="8"/>
      <c r="GHJ2" s="8"/>
      <c r="GHK2" s="8"/>
      <c r="GHL2" s="8"/>
      <c r="GHM2" s="8"/>
      <c r="GHN2" s="8"/>
      <c r="GHO2" s="8"/>
      <c r="GHP2" s="8"/>
      <c r="GHQ2" s="8"/>
      <c r="GHR2" s="8"/>
      <c r="GHS2" s="8"/>
      <c r="GHT2" s="8"/>
      <c r="GHU2" s="8"/>
      <c r="GHV2" s="8"/>
      <c r="GHW2" s="8"/>
      <c r="GHX2" s="8"/>
      <c r="GHY2" s="8"/>
      <c r="GHZ2" s="8"/>
      <c r="GIA2" s="8"/>
      <c r="GIB2" s="8"/>
      <c r="GIC2" s="8"/>
      <c r="GID2" s="8"/>
      <c r="GIE2" s="8"/>
      <c r="GIF2" s="8"/>
      <c r="GIG2" s="8"/>
      <c r="GIH2" s="8"/>
      <c r="GII2" s="8"/>
      <c r="GIJ2" s="8"/>
      <c r="GIK2" s="8"/>
      <c r="GIL2" s="8"/>
      <c r="GIM2" s="8"/>
      <c r="GIN2" s="8"/>
      <c r="GIO2" s="8"/>
      <c r="GIP2" s="8"/>
      <c r="GIQ2" s="8"/>
      <c r="GIR2" s="8"/>
      <c r="GIS2" s="8"/>
      <c r="GIT2" s="8"/>
      <c r="GIU2" s="8"/>
      <c r="GIV2" s="8"/>
      <c r="GIW2" s="8"/>
      <c r="GIX2" s="8"/>
      <c r="GIY2" s="8"/>
      <c r="GIZ2" s="8"/>
      <c r="GJA2" s="8"/>
      <c r="GJB2" s="8"/>
      <c r="GJC2" s="8"/>
      <c r="GJD2" s="8"/>
      <c r="GJE2" s="8"/>
      <c r="GJF2" s="8"/>
      <c r="GJG2" s="8"/>
      <c r="GJH2" s="8"/>
      <c r="GJI2" s="8"/>
      <c r="GJJ2" s="8"/>
      <c r="GJK2" s="8"/>
      <c r="GJL2" s="8"/>
      <c r="GJM2" s="8"/>
      <c r="GJN2" s="8"/>
      <c r="GJO2" s="8"/>
      <c r="GJP2" s="8"/>
      <c r="GJQ2" s="8"/>
      <c r="GJR2" s="8"/>
      <c r="GJS2" s="8"/>
      <c r="GJT2" s="8"/>
      <c r="GJU2" s="8"/>
      <c r="GJV2" s="8"/>
      <c r="GJW2" s="8"/>
      <c r="GJX2" s="8"/>
      <c r="GJY2" s="8"/>
      <c r="GJZ2" s="8"/>
      <c r="GKA2" s="8"/>
      <c r="GKB2" s="8"/>
      <c r="GKC2" s="8"/>
      <c r="GKD2" s="8"/>
      <c r="GKE2" s="8"/>
      <c r="GKF2" s="8"/>
      <c r="GKG2" s="8"/>
      <c r="GKH2" s="8"/>
      <c r="GKI2" s="8"/>
      <c r="GKJ2" s="8"/>
      <c r="GKK2" s="8"/>
      <c r="GKL2" s="8"/>
      <c r="GKM2" s="8"/>
      <c r="GKN2" s="8"/>
      <c r="GKO2" s="8"/>
      <c r="GKP2" s="8"/>
      <c r="GKQ2" s="8"/>
      <c r="GKR2" s="8"/>
      <c r="GKS2" s="8"/>
      <c r="GKT2" s="8"/>
      <c r="GKU2" s="8"/>
      <c r="GKV2" s="8"/>
      <c r="GKW2" s="8"/>
      <c r="GKX2" s="8"/>
      <c r="GKY2" s="8"/>
      <c r="GKZ2" s="8"/>
      <c r="GLA2" s="8"/>
      <c r="GLB2" s="8"/>
      <c r="GLC2" s="8"/>
      <c r="GLD2" s="8"/>
      <c r="GLE2" s="8"/>
      <c r="GLF2" s="8"/>
      <c r="GLG2" s="8"/>
      <c r="GLH2" s="8"/>
      <c r="GLI2" s="8"/>
      <c r="GLJ2" s="8"/>
      <c r="GLK2" s="8"/>
      <c r="GLL2" s="8"/>
      <c r="GLM2" s="8"/>
      <c r="GLN2" s="8"/>
      <c r="GLO2" s="8"/>
      <c r="GLP2" s="8"/>
      <c r="GLQ2" s="8"/>
      <c r="GLR2" s="8"/>
      <c r="GLS2" s="8"/>
      <c r="GLT2" s="8"/>
      <c r="GLU2" s="8"/>
      <c r="GLV2" s="8"/>
      <c r="GLW2" s="8"/>
      <c r="GLX2" s="8"/>
      <c r="GLY2" s="8"/>
      <c r="GLZ2" s="8"/>
      <c r="GMA2" s="8"/>
      <c r="GMB2" s="8"/>
      <c r="GMC2" s="8"/>
      <c r="GMD2" s="8"/>
      <c r="GME2" s="8"/>
      <c r="GMF2" s="8"/>
      <c r="GMG2" s="8"/>
      <c r="GMH2" s="8"/>
      <c r="GMI2" s="8"/>
      <c r="GMJ2" s="8"/>
      <c r="GMK2" s="8"/>
      <c r="GML2" s="8"/>
      <c r="GMM2" s="8"/>
      <c r="GMN2" s="8"/>
      <c r="GMO2" s="8"/>
      <c r="GMP2" s="8"/>
      <c r="GMQ2" s="8"/>
      <c r="GMR2" s="8"/>
      <c r="GMS2" s="8"/>
      <c r="GMT2" s="8"/>
      <c r="GMU2" s="8"/>
      <c r="GMV2" s="8"/>
      <c r="GMW2" s="8"/>
      <c r="GMX2" s="8"/>
      <c r="GMY2" s="8"/>
      <c r="GMZ2" s="8"/>
      <c r="GNA2" s="8"/>
      <c r="GNB2" s="8"/>
      <c r="GNC2" s="8"/>
      <c r="GND2" s="8"/>
      <c r="GNE2" s="8"/>
      <c r="GNF2" s="8"/>
      <c r="GNG2" s="8"/>
      <c r="GNH2" s="8"/>
      <c r="GNI2" s="8"/>
      <c r="GNJ2" s="8"/>
      <c r="GNK2" s="8"/>
      <c r="GNL2" s="8"/>
      <c r="GNM2" s="8"/>
      <c r="GNN2" s="8"/>
      <c r="GNO2" s="8"/>
      <c r="GNP2" s="8"/>
      <c r="GNQ2" s="8"/>
      <c r="GNR2" s="8"/>
      <c r="GNS2" s="8"/>
      <c r="GNT2" s="8"/>
      <c r="GNU2" s="8"/>
      <c r="GNV2" s="8"/>
      <c r="GNW2" s="8"/>
      <c r="GNX2" s="8"/>
      <c r="GNY2" s="8"/>
      <c r="GNZ2" s="8"/>
      <c r="GOA2" s="8"/>
      <c r="GOB2" s="8"/>
      <c r="GOC2" s="8"/>
      <c r="GOD2" s="8"/>
      <c r="GOE2" s="8"/>
      <c r="GOF2" s="8"/>
      <c r="GOG2" s="8"/>
      <c r="GOH2" s="8"/>
      <c r="GOI2" s="8"/>
      <c r="GOJ2" s="8"/>
      <c r="GOK2" s="8"/>
      <c r="GOL2" s="8"/>
      <c r="GOM2" s="8"/>
      <c r="GON2" s="8"/>
      <c r="GOO2" s="8"/>
      <c r="GOP2" s="8"/>
      <c r="GOQ2" s="8"/>
      <c r="GOR2" s="8"/>
      <c r="GOS2" s="8"/>
      <c r="GOT2" s="8"/>
      <c r="GOU2" s="8"/>
      <c r="GOV2" s="8"/>
      <c r="GOW2" s="8"/>
      <c r="GOX2" s="8"/>
      <c r="GOY2" s="8"/>
      <c r="GOZ2" s="8"/>
      <c r="GPA2" s="8"/>
      <c r="GPB2" s="8"/>
      <c r="GPC2" s="8"/>
      <c r="GPD2" s="8"/>
      <c r="GPE2" s="8"/>
      <c r="GPF2" s="8"/>
      <c r="GPG2" s="8"/>
      <c r="GPH2" s="8"/>
      <c r="GPI2" s="8"/>
      <c r="GPJ2" s="8"/>
      <c r="GPK2" s="8"/>
      <c r="GPL2" s="8"/>
      <c r="GPM2" s="8"/>
      <c r="GPN2" s="8"/>
      <c r="GPO2" s="8"/>
      <c r="GPP2" s="8"/>
      <c r="GPQ2" s="8"/>
      <c r="GPR2" s="8"/>
      <c r="GPS2" s="8"/>
      <c r="GPT2" s="8"/>
      <c r="GPU2" s="8"/>
      <c r="GPV2" s="8"/>
      <c r="GPW2" s="8"/>
      <c r="GPX2" s="8"/>
      <c r="GPY2" s="8"/>
      <c r="GPZ2" s="8"/>
      <c r="GQA2" s="8"/>
      <c r="GQB2" s="8"/>
      <c r="GQC2" s="8"/>
      <c r="GQD2" s="8"/>
      <c r="GQE2" s="8"/>
      <c r="GQF2" s="8"/>
      <c r="GQG2" s="8"/>
      <c r="GQH2" s="8"/>
      <c r="GQI2" s="8"/>
      <c r="GQJ2" s="8"/>
      <c r="GQK2" s="8"/>
      <c r="GQL2" s="8"/>
      <c r="GQM2" s="8"/>
      <c r="GQN2" s="8"/>
      <c r="GQO2" s="8"/>
      <c r="GQP2" s="8"/>
      <c r="GQQ2" s="8"/>
      <c r="GQR2" s="8"/>
      <c r="GQS2" s="8"/>
      <c r="GQT2" s="8"/>
      <c r="GQU2" s="8"/>
      <c r="GQV2" s="8"/>
      <c r="GQW2" s="8"/>
      <c r="GQX2" s="8"/>
      <c r="GQY2" s="8"/>
      <c r="GQZ2" s="8"/>
      <c r="GRA2" s="8"/>
      <c r="GRB2" s="8"/>
      <c r="GRC2" s="8"/>
      <c r="GRD2" s="8"/>
      <c r="GRE2" s="8"/>
      <c r="GRF2" s="8"/>
      <c r="GRG2" s="8"/>
      <c r="GRH2" s="8"/>
      <c r="GRI2" s="8"/>
      <c r="GRJ2" s="8"/>
      <c r="GRK2" s="8"/>
      <c r="GRL2" s="8"/>
      <c r="GRM2" s="8"/>
      <c r="GRN2" s="8"/>
      <c r="GRO2" s="8"/>
      <c r="GRP2" s="8"/>
      <c r="GRQ2" s="8"/>
      <c r="GRR2" s="8"/>
      <c r="GRS2" s="8"/>
      <c r="GRT2" s="8"/>
      <c r="GRU2" s="8"/>
      <c r="GRV2" s="8"/>
      <c r="GRW2" s="8"/>
      <c r="GRX2" s="8"/>
      <c r="GRY2" s="8"/>
      <c r="GRZ2" s="8"/>
      <c r="GSA2" s="8"/>
      <c r="GSB2" s="8"/>
      <c r="GSC2" s="8"/>
      <c r="GSD2" s="8"/>
      <c r="GSE2" s="8"/>
      <c r="GSF2" s="8"/>
      <c r="GSG2" s="8"/>
      <c r="GSH2" s="8"/>
      <c r="GSI2" s="8"/>
      <c r="GSJ2" s="8"/>
      <c r="GSK2" s="8"/>
      <c r="GSL2" s="8"/>
      <c r="GSM2" s="8"/>
      <c r="GSN2" s="8"/>
      <c r="GSO2" s="8"/>
      <c r="GSP2" s="8"/>
      <c r="GSQ2" s="8"/>
      <c r="GSR2" s="8"/>
      <c r="GSS2" s="8"/>
      <c r="GST2" s="8"/>
      <c r="GSU2" s="8"/>
      <c r="GSV2" s="8"/>
      <c r="GSW2" s="8"/>
      <c r="GSX2" s="8"/>
      <c r="GSY2" s="8"/>
      <c r="GSZ2" s="8"/>
      <c r="GTA2" s="8"/>
      <c r="GTB2" s="8"/>
      <c r="GTC2" s="8"/>
      <c r="GTD2" s="8"/>
      <c r="GTE2" s="8"/>
      <c r="GTF2" s="8"/>
      <c r="GTG2" s="8"/>
      <c r="GTH2" s="8"/>
      <c r="GTI2" s="8"/>
      <c r="GTJ2" s="8"/>
      <c r="GTK2" s="8"/>
      <c r="GTL2" s="8"/>
      <c r="GTM2" s="8"/>
      <c r="GTN2" s="8"/>
      <c r="GTO2" s="8"/>
      <c r="GTP2" s="8"/>
      <c r="GTQ2" s="8"/>
      <c r="GTR2" s="8"/>
      <c r="GTS2" s="8"/>
      <c r="GTT2" s="8"/>
      <c r="GTU2" s="8"/>
      <c r="GTV2" s="8"/>
      <c r="GTW2" s="8"/>
      <c r="GTX2" s="8"/>
      <c r="GTY2" s="8"/>
      <c r="GTZ2" s="8"/>
      <c r="GUA2" s="8"/>
      <c r="GUB2" s="8"/>
      <c r="GUC2" s="8"/>
      <c r="GUD2" s="8"/>
      <c r="GUE2" s="8"/>
      <c r="GUF2" s="8"/>
      <c r="GUG2" s="8"/>
      <c r="GUH2" s="8"/>
      <c r="GUI2" s="8"/>
      <c r="GUJ2" s="8"/>
      <c r="GUK2" s="8"/>
      <c r="GUL2" s="8"/>
      <c r="GUM2" s="8"/>
      <c r="GUN2" s="8"/>
      <c r="GUO2" s="8"/>
      <c r="GUP2" s="8"/>
      <c r="GUQ2" s="8"/>
      <c r="GUR2" s="8"/>
      <c r="GUS2" s="8"/>
      <c r="GUT2" s="8"/>
      <c r="GUU2" s="8"/>
      <c r="GUV2" s="8"/>
      <c r="GUW2" s="8"/>
      <c r="GUX2" s="8"/>
      <c r="GUY2" s="8"/>
      <c r="GUZ2" s="8"/>
      <c r="GVA2" s="8"/>
      <c r="GVB2" s="8"/>
      <c r="GVC2" s="8"/>
      <c r="GVD2" s="8"/>
      <c r="GVE2" s="8"/>
      <c r="GVF2" s="8"/>
      <c r="GVG2" s="8"/>
      <c r="GVH2" s="8"/>
      <c r="GVI2" s="8"/>
      <c r="GVJ2" s="8"/>
      <c r="GVK2" s="8"/>
      <c r="GVL2" s="8"/>
      <c r="GVM2" s="8"/>
      <c r="GVN2" s="8"/>
      <c r="GVO2" s="8"/>
      <c r="GVP2" s="8"/>
      <c r="GVQ2" s="8"/>
      <c r="GVR2" s="8"/>
      <c r="GVS2" s="8"/>
      <c r="GVT2" s="8"/>
      <c r="GVU2" s="8"/>
      <c r="GVV2" s="8"/>
      <c r="GVW2" s="8"/>
      <c r="GVX2" s="8"/>
      <c r="GVY2" s="8"/>
      <c r="GVZ2" s="8"/>
      <c r="GWA2" s="8"/>
      <c r="GWB2" s="8"/>
      <c r="GWC2" s="8"/>
      <c r="GWD2" s="8"/>
      <c r="GWE2" s="8"/>
      <c r="GWF2" s="8"/>
      <c r="GWG2" s="8"/>
      <c r="GWH2" s="8"/>
      <c r="GWI2" s="8"/>
      <c r="GWJ2" s="8"/>
      <c r="GWK2" s="8"/>
      <c r="GWL2" s="8"/>
      <c r="GWM2" s="8"/>
      <c r="GWN2" s="8"/>
      <c r="GWO2" s="8"/>
      <c r="GWP2" s="8"/>
      <c r="GWQ2" s="8"/>
      <c r="GWR2" s="8"/>
      <c r="GWS2" s="8"/>
      <c r="GWT2" s="8"/>
      <c r="GWU2" s="8"/>
      <c r="GWV2" s="8"/>
      <c r="GWW2" s="8"/>
      <c r="GWX2" s="8"/>
      <c r="GWY2" s="8"/>
      <c r="GWZ2" s="8"/>
      <c r="GXA2" s="8"/>
      <c r="GXB2" s="8"/>
      <c r="GXC2" s="8"/>
      <c r="GXD2" s="8"/>
      <c r="GXE2" s="8"/>
      <c r="GXF2" s="8"/>
      <c r="GXG2" s="8"/>
      <c r="GXH2" s="8"/>
      <c r="GXI2" s="8"/>
      <c r="GXJ2" s="8"/>
      <c r="GXK2" s="8"/>
      <c r="GXL2" s="8"/>
      <c r="GXM2" s="8"/>
      <c r="GXN2" s="8"/>
      <c r="GXO2" s="8"/>
      <c r="GXP2" s="8"/>
      <c r="GXQ2" s="8"/>
      <c r="GXR2" s="8"/>
      <c r="GXS2" s="8"/>
      <c r="GXT2" s="8"/>
      <c r="GXU2" s="8"/>
      <c r="GXV2" s="8"/>
      <c r="GXW2" s="8"/>
      <c r="GXX2" s="8"/>
      <c r="GXY2" s="8"/>
      <c r="GXZ2" s="8"/>
      <c r="GYA2" s="8"/>
      <c r="GYB2" s="8"/>
      <c r="GYC2" s="8"/>
      <c r="GYD2" s="8"/>
      <c r="GYE2" s="8"/>
      <c r="GYF2" s="8"/>
      <c r="GYG2" s="8"/>
      <c r="GYH2" s="8"/>
      <c r="GYI2" s="8"/>
      <c r="GYJ2" s="8"/>
      <c r="GYK2" s="8"/>
      <c r="GYL2" s="8"/>
      <c r="GYM2" s="8"/>
      <c r="GYN2" s="8"/>
      <c r="GYO2" s="8"/>
      <c r="GYP2" s="8"/>
      <c r="GYQ2" s="8"/>
      <c r="GYR2" s="8"/>
      <c r="GYS2" s="8"/>
      <c r="GYT2" s="8"/>
      <c r="GYU2" s="8"/>
      <c r="GYV2" s="8"/>
      <c r="GYW2" s="8"/>
      <c r="GYX2" s="8"/>
      <c r="GYY2" s="8"/>
      <c r="GYZ2" s="8"/>
      <c r="GZA2" s="8"/>
      <c r="GZB2" s="8"/>
      <c r="GZC2" s="8"/>
      <c r="GZD2" s="8"/>
      <c r="GZE2" s="8"/>
      <c r="GZF2" s="8"/>
      <c r="GZG2" s="8"/>
      <c r="GZH2" s="8"/>
      <c r="GZI2" s="8"/>
      <c r="GZJ2" s="8"/>
      <c r="GZK2" s="8"/>
      <c r="GZL2" s="8"/>
      <c r="GZM2" s="8"/>
      <c r="GZN2" s="8"/>
      <c r="GZO2" s="8"/>
      <c r="GZP2" s="8"/>
      <c r="GZQ2" s="8"/>
      <c r="GZR2" s="8"/>
      <c r="GZS2" s="8"/>
      <c r="GZT2" s="8"/>
      <c r="GZU2" s="8"/>
      <c r="GZV2" s="8"/>
      <c r="GZW2" s="8"/>
      <c r="GZX2" s="8"/>
      <c r="GZY2" s="8"/>
      <c r="GZZ2" s="8"/>
      <c r="HAA2" s="8"/>
      <c r="HAB2" s="8"/>
      <c r="HAC2" s="8"/>
      <c r="HAD2" s="8"/>
      <c r="HAE2" s="8"/>
      <c r="HAF2" s="8"/>
      <c r="HAG2" s="8"/>
      <c r="HAH2" s="8"/>
      <c r="HAI2" s="8"/>
      <c r="HAJ2" s="8"/>
      <c r="HAK2" s="8"/>
      <c r="HAL2" s="8"/>
      <c r="HAM2" s="8"/>
      <c r="HAN2" s="8"/>
      <c r="HAO2" s="8"/>
      <c r="HAP2" s="8"/>
      <c r="HAQ2" s="8"/>
      <c r="HAR2" s="8"/>
      <c r="HAS2" s="8"/>
      <c r="HAT2" s="8"/>
      <c r="HAU2" s="8"/>
      <c r="HAV2" s="8"/>
      <c r="HAW2" s="8"/>
      <c r="HAX2" s="8"/>
      <c r="HAY2" s="8"/>
      <c r="HAZ2" s="8"/>
      <c r="HBA2" s="8"/>
      <c r="HBB2" s="8"/>
      <c r="HBC2" s="8"/>
      <c r="HBD2" s="8"/>
      <c r="HBE2" s="8"/>
      <c r="HBF2" s="8"/>
      <c r="HBG2" s="8"/>
      <c r="HBH2" s="8"/>
      <c r="HBI2" s="8"/>
      <c r="HBJ2" s="8"/>
      <c r="HBK2" s="8"/>
      <c r="HBL2" s="8"/>
      <c r="HBM2" s="8"/>
      <c r="HBN2" s="8"/>
      <c r="HBO2" s="8"/>
      <c r="HBP2" s="8"/>
      <c r="HBQ2" s="8"/>
      <c r="HBR2" s="8"/>
      <c r="HBS2" s="8"/>
      <c r="HBT2" s="8"/>
      <c r="HBU2" s="8"/>
      <c r="HBV2" s="8"/>
      <c r="HBW2" s="8"/>
      <c r="HBX2" s="8"/>
      <c r="HBY2" s="8"/>
      <c r="HBZ2" s="8"/>
      <c r="HCA2" s="8"/>
      <c r="HCB2" s="8"/>
      <c r="HCC2" s="8"/>
      <c r="HCD2" s="8"/>
      <c r="HCE2" s="8"/>
      <c r="HCF2" s="8"/>
      <c r="HCG2" s="8"/>
      <c r="HCH2" s="8"/>
      <c r="HCI2" s="8"/>
      <c r="HCJ2" s="8"/>
      <c r="HCK2" s="8"/>
      <c r="HCL2" s="8"/>
      <c r="HCM2" s="8"/>
      <c r="HCN2" s="8"/>
      <c r="HCO2" s="8"/>
      <c r="HCP2" s="8"/>
      <c r="HCQ2" s="8"/>
      <c r="HCR2" s="8"/>
      <c r="HCS2" s="8"/>
      <c r="HCT2" s="8"/>
      <c r="HCU2" s="8"/>
      <c r="HCV2" s="8"/>
      <c r="HCW2" s="8"/>
      <c r="HCX2" s="8"/>
      <c r="HCY2" s="8"/>
      <c r="HCZ2" s="8"/>
      <c r="HDA2" s="8"/>
      <c r="HDB2" s="8"/>
      <c r="HDC2" s="8"/>
      <c r="HDD2" s="8"/>
      <c r="HDE2" s="8"/>
      <c r="HDF2" s="8"/>
      <c r="HDG2" s="8"/>
      <c r="HDH2" s="8"/>
      <c r="HDI2" s="8"/>
      <c r="HDJ2" s="8"/>
      <c r="HDK2" s="8"/>
      <c r="HDL2" s="8"/>
      <c r="HDM2" s="8"/>
      <c r="HDN2" s="8"/>
      <c r="HDO2" s="8"/>
      <c r="HDP2" s="8"/>
      <c r="HDQ2" s="8"/>
      <c r="HDR2" s="8"/>
      <c r="HDS2" s="8"/>
      <c r="HDT2" s="8"/>
      <c r="HDU2" s="8"/>
      <c r="HDV2" s="8"/>
      <c r="HDW2" s="8"/>
      <c r="HDX2" s="8"/>
      <c r="HDY2" s="8"/>
      <c r="HDZ2" s="8"/>
      <c r="HEA2" s="8"/>
      <c r="HEB2" s="8"/>
      <c r="HEC2" s="8"/>
      <c r="HED2" s="8"/>
      <c r="HEE2" s="8"/>
      <c r="HEF2" s="8"/>
      <c r="HEG2" s="8"/>
      <c r="HEH2" s="8"/>
      <c r="HEI2" s="8"/>
      <c r="HEJ2" s="8"/>
      <c r="HEK2" s="8"/>
      <c r="HEL2" s="8"/>
      <c r="HEM2" s="8"/>
      <c r="HEN2" s="8"/>
      <c r="HEO2" s="8"/>
      <c r="HEP2" s="8"/>
      <c r="HEQ2" s="8"/>
      <c r="HER2" s="8"/>
      <c r="HES2" s="8"/>
      <c r="HET2" s="8"/>
      <c r="HEU2" s="8"/>
      <c r="HEV2" s="8"/>
      <c r="HEW2" s="8"/>
      <c r="HEX2" s="8"/>
      <c r="HEY2" s="8"/>
      <c r="HEZ2" s="8"/>
      <c r="HFA2" s="8"/>
      <c r="HFB2" s="8"/>
      <c r="HFC2" s="8"/>
      <c r="HFD2" s="8"/>
      <c r="HFE2" s="8"/>
      <c r="HFF2" s="8"/>
      <c r="HFG2" s="8"/>
      <c r="HFH2" s="8"/>
      <c r="HFI2" s="8"/>
      <c r="HFJ2" s="8"/>
      <c r="HFK2" s="8"/>
      <c r="HFL2" s="8"/>
      <c r="HFM2" s="8"/>
      <c r="HFN2" s="8"/>
      <c r="HFO2" s="8"/>
      <c r="HFP2" s="8"/>
      <c r="HFQ2" s="8"/>
      <c r="HFR2" s="8"/>
      <c r="HFS2" s="8"/>
      <c r="HFT2" s="8"/>
      <c r="HFU2" s="8"/>
      <c r="HFV2" s="8"/>
      <c r="HFW2" s="8"/>
      <c r="HFX2" s="8"/>
      <c r="HFY2" s="8"/>
      <c r="HFZ2" s="8"/>
      <c r="HGA2" s="8"/>
      <c r="HGB2" s="8"/>
      <c r="HGC2" s="8"/>
      <c r="HGD2" s="8"/>
      <c r="HGE2" s="8"/>
      <c r="HGF2" s="8"/>
      <c r="HGG2" s="8"/>
      <c r="HGH2" s="8"/>
      <c r="HGI2" s="8"/>
      <c r="HGJ2" s="8"/>
      <c r="HGK2" s="8"/>
      <c r="HGL2" s="8"/>
      <c r="HGM2" s="8"/>
      <c r="HGN2" s="8"/>
      <c r="HGO2" s="8"/>
      <c r="HGP2" s="8"/>
      <c r="HGQ2" s="8"/>
      <c r="HGR2" s="8"/>
      <c r="HGS2" s="8"/>
      <c r="HGT2" s="8"/>
      <c r="HGU2" s="8"/>
      <c r="HGV2" s="8"/>
      <c r="HGW2" s="8"/>
      <c r="HGX2" s="8"/>
      <c r="HGY2" s="8"/>
      <c r="HGZ2" s="8"/>
      <c r="HHA2" s="8"/>
      <c r="HHB2" s="8"/>
      <c r="HHC2" s="8"/>
      <c r="HHD2" s="8"/>
      <c r="HHE2" s="8"/>
      <c r="HHF2" s="8"/>
      <c r="HHG2" s="8"/>
      <c r="HHH2" s="8"/>
      <c r="HHI2" s="8"/>
      <c r="HHJ2" s="8"/>
      <c r="HHK2" s="8"/>
      <c r="HHL2" s="8"/>
      <c r="HHM2" s="8"/>
      <c r="HHN2" s="8"/>
      <c r="HHO2" s="8"/>
      <c r="HHP2" s="8"/>
      <c r="HHQ2" s="8"/>
      <c r="HHR2" s="8"/>
      <c r="HHS2" s="8"/>
      <c r="HHT2" s="8"/>
      <c r="HHU2" s="8"/>
      <c r="HHV2" s="8"/>
      <c r="HHW2" s="8"/>
      <c r="HHX2" s="8"/>
      <c r="HHY2" s="8"/>
      <c r="HHZ2" s="8"/>
      <c r="HIA2" s="8"/>
      <c r="HIB2" s="8"/>
      <c r="HIC2" s="8"/>
      <c r="HID2" s="8"/>
      <c r="HIE2" s="8"/>
      <c r="HIF2" s="8"/>
      <c r="HIG2" s="8"/>
      <c r="HIH2" s="8"/>
      <c r="HII2" s="8"/>
      <c r="HIJ2" s="8"/>
      <c r="HIK2" s="8"/>
      <c r="HIL2" s="8"/>
      <c r="HIM2" s="8"/>
      <c r="HIN2" s="8"/>
      <c r="HIO2" s="8"/>
      <c r="HIP2" s="8"/>
      <c r="HIQ2" s="8"/>
      <c r="HIR2" s="8"/>
      <c r="HIS2" s="8"/>
      <c r="HIT2" s="8"/>
      <c r="HIU2" s="8"/>
      <c r="HIV2" s="8"/>
      <c r="HIW2" s="8"/>
      <c r="HIX2" s="8"/>
      <c r="HIY2" s="8"/>
      <c r="HIZ2" s="8"/>
      <c r="HJA2" s="8"/>
      <c r="HJB2" s="8"/>
      <c r="HJC2" s="8"/>
      <c r="HJD2" s="8"/>
      <c r="HJE2" s="8"/>
      <c r="HJF2" s="8"/>
      <c r="HJG2" s="8"/>
      <c r="HJH2" s="8"/>
      <c r="HJI2" s="8"/>
      <c r="HJJ2" s="8"/>
      <c r="HJK2" s="8"/>
      <c r="HJL2" s="8"/>
      <c r="HJM2" s="8"/>
      <c r="HJN2" s="8"/>
      <c r="HJO2" s="8"/>
      <c r="HJP2" s="8"/>
      <c r="HJQ2" s="8"/>
      <c r="HJR2" s="8"/>
      <c r="HJS2" s="8"/>
      <c r="HJT2" s="8"/>
      <c r="HJU2" s="8"/>
      <c r="HJV2" s="8"/>
      <c r="HJW2" s="8"/>
      <c r="HJX2" s="8"/>
      <c r="HJY2" s="8"/>
      <c r="HJZ2" s="8"/>
      <c r="HKA2" s="8"/>
      <c r="HKB2" s="8"/>
      <c r="HKC2" s="8"/>
      <c r="HKD2" s="8"/>
      <c r="HKE2" s="8"/>
      <c r="HKF2" s="8"/>
      <c r="HKG2" s="8"/>
      <c r="HKH2" s="8"/>
      <c r="HKI2" s="8"/>
      <c r="HKJ2" s="8"/>
      <c r="HKK2" s="8"/>
      <c r="HKL2" s="8"/>
      <c r="HKM2" s="8"/>
      <c r="HKN2" s="8"/>
      <c r="HKO2" s="8"/>
      <c r="HKP2" s="8"/>
      <c r="HKQ2" s="8"/>
      <c r="HKR2" s="8"/>
      <c r="HKS2" s="8"/>
      <c r="HKT2" s="8"/>
      <c r="HKU2" s="8"/>
      <c r="HKV2" s="8"/>
      <c r="HKW2" s="8"/>
      <c r="HKX2" s="8"/>
      <c r="HKY2" s="8"/>
      <c r="HKZ2" s="8"/>
      <c r="HLA2" s="8"/>
      <c r="HLB2" s="8"/>
      <c r="HLC2" s="8"/>
      <c r="HLD2" s="8"/>
      <c r="HLE2" s="8"/>
      <c r="HLF2" s="8"/>
      <c r="HLG2" s="8"/>
      <c r="HLH2" s="8"/>
      <c r="HLI2" s="8"/>
      <c r="HLJ2" s="8"/>
      <c r="HLK2" s="8"/>
      <c r="HLL2" s="8"/>
      <c r="HLM2" s="8"/>
      <c r="HLN2" s="8"/>
      <c r="HLO2" s="8"/>
      <c r="HLP2" s="8"/>
      <c r="HLQ2" s="8"/>
      <c r="HLR2" s="8"/>
      <c r="HLS2" s="8"/>
      <c r="HLT2" s="8"/>
      <c r="HLU2" s="8"/>
      <c r="HLV2" s="8"/>
      <c r="HLW2" s="8"/>
      <c r="HLX2" s="8"/>
      <c r="HLY2" s="8"/>
      <c r="HLZ2" s="8"/>
      <c r="HMA2" s="8"/>
      <c r="HMB2" s="8"/>
      <c r="HMC2" s="8"/>
      <c r="HMD2" s="8"/>
      <c r="HME2" s="8"/>
      <c r="HMF2" s="8"/>
      <c r="HMG2" s="8"/>
      <c r="HMH2" s="8"/>
      <c r="HMI2" s="8"/>
      <c r="HMJ2" s="8"/>
      <c r="HMK2" s="8"/>
      <c r="HML2" s="8"/>
      <c r="HMM2" s="8"/>
      <c r="HMN2" s="8"/>
      <c r="HMO2" s="8"/>
      <c r="HMP2" s="8"/>
      <c r="HMQ2" s="8"/>
      <c r="HMR2" s="8"/>
      <c r="HMS2" s="8"/>
      <c r="HMT2" s="8"/>
      <c r="HMU2" s="8"/>
      <c r="HMV2" s="8"/>
      <c r="HMW2" s="8"/>
      <c r="HMX2" s="8"/>
      <c r="HMY2" s="8"/>
      <c r="HMZ2" s="8"/>
      <c r="HNA2" s="8"/>
      <c r="HNB2" s="8"/>
      <c r="HNC2" s="8"/>
      <c r="HND2" s="8"/>
      <c r="HNE2" s="8"/>
      <c r="HNF2" s="8"/>
      <c r="HNG2" s="8"/>
      <c r="HNH2" s="8"/>
      <c r="HNI2" s="8"/>
      <c r="HNJ2" s="8"/>
      <c r="HNK2" s="8"/>
      <c r="HNL2" s="8"/>
      <c r="HNM2" s="8"/>
      <c r="HNN2" s="8"/>
      <c r="HNO2" s="8"/>
      <c r="HNP2" s="8"/>
      <c r="HNQ2" s="8"/>
      <c r="HNR2" s="8"/>
      <c r="HNS2" s="8"/>
      <c r="HNT2" s="8"/>
      <c r="HNU2" s="8"/>
      <c r="HNV2" s="8"/>
      <c r="HNW2" s="8"/>
      <c r="HNX2" s="8"/>
      <c r="HNY2" s="8"/>
      <c r="HNZ2" s="8"/>
      <c r="HOA2" s="8"/>
      <c r="HOB2" s="8"/>
      <c r="HOC2" s="8"/>
      <c r="HOD2" s="8"/>
      <c r="HOE2" s="8"/>
      <c r="HOF2" s="8"/>
      <c r="HOG2" s="8"/>
      <c r="HOH2" s="8"/>
      <c r="HOI2" s="8"/>
      <c r="HOJ2" s="8"/>
      <c r="HOK2" s="8"/>
      <c r="HOL2" s="8"/>
      <c r="HOM2" s="8"/>
      <c r="HON2" s="8"/>
      <c r="HOO2" s="8"/>
      <c r="HOP2" s="8"/>
      <c r="HOQ2" s="8"/>
      <c r="HOR2" s="8"/>
      <c r="HOS2" s="8"/>
      <c r="HOT2" s="8"/>
      <c r="HOU2" s="8"/>
      <c r="HOV2" s="8"/>
      <c r="HOW2" s="8"/>
      <c r="HOX2" s="8"/>
      <c r="HOY2" s="8"/>
      <c r="HOZ2" s="8"/>
      <c r="HPA2" s="8"/>
      <c r="HPB2" s="8"/>
      <c r="HPC2" s="8"/>
      <c r="HPD2" s="8"/>
      <c r="HPE2" s="8"/>
      <c r="HPF2" s="8"/>
      <c r="HPG2" s="8"/>
      <c r="HPH2" s="8"/>
      <c r="HPI2" s="8"/>
      <c r="HPJ2" s="8"/>
      <c r="HPK2" s="8"/>
      <c r="HPL2" s="8"/>
      <c r="HPM2" s="8"/>
      <c r="HPN2" s="8"/>
      <c r="HPO2" s="8"/>
      <c r="HPP2" s="8"/>
      <c r="HPQ2" s="8"/>
      <c r="HPR2" s="8"/>
      <c r="HPS2" s="8"/>
      <c r="HPT2" s="8"/>
      <c r="HPU2" s="8"/>
      <c r="HPV2" s="8"/>
      <c r="HPW2" s="8"/>
      <c r="HPX2" s="8"/>
      <c r="HPY2" s="8"/>
      <c r="HPZ2" s="8"/>
      <c r="HQA2" s="8"/>
      <c r="HQB2" s="8"/>
      <c r="HQC2" s="8"/>
      <c r="HQD2" s="8"/>
      <c r="HQE2" s="8"/>
      <c r="HQF2" s="8"/>
      <c r="HQG2" s="8"/>
      <c r="HQH2" s="8"/>
      <c r="HQI2" s="8"/>
      <c r="HQJ2" s="8"/>
      <c r="HQK2" s="8"/>
      <c r="HQL2" s="8"/>
      <c r="HQM2" s="8"/>
      <c r="HQN2" s="8"/>
      <c r="HQO2" s="8"/>
      <c r="HQP2" s="8"/>
      <c r="HQQ2" s="8"/>
      <c r="HQR2" s="8"/>
      <c r="HQS2" s="8"/>
      <c r="HQT2" s="8"/>
      <c r="HQU2" s="8"/>
      <c r="HQV2" s="8"/>
      <c r="HQW2" s="8"/>
      <c r="HQX2" s="8"/>
      <c r="HQY2" s="8"/>
      <c r="HQZ2" s="8"/>
      <c r="HRA2" s="8"/>
      <c r="HRB2" s="8"/>
      <c r="HRC2" s="8"/>
      <c r="HRD2" s="8"/>
      <c r="HRE2" s="8"/>
      <c r="HRF2" s="8"/>
      <c r="HRG2" s="8"/>
      <c r="HRH2" s="8"/>
      <c r="HRI2" s="8"/>
      <c r="HRJ2" s="8"/>
      <c r="HRK2" s="8"/>
      <c r="HRL2" s="8"/>
      <c r="HRM2" s="8"/>
      <c r="HRN2" s="8"/>
      <c r="HRO2" s="8"/>
      <c r="HRP2" s="8"/>
      <c r="HRQ2" s="8"/>
      <c r="HRR2" s="8"/>
      <c r="HRS2" s="8"/>
      <c r="HRT2" s="8"/>
      <c r="HRU2" s="8"/>
      <c r="HRV2" s="8"/>
      <c r="HRW2" s="8"/>
      <c r="HRX2" s="8"/>
      <c r="HRY2" s="8"/>
      <c r="HRZ2" s="8"/>
      <c r="HSA2" s="8"/>
      <c r="HSB2" s="8"/>
      <c r="HSC2" s="8"/>
      <c r="HSD2" s="8"/>
      <c r="HSE2" s="8"/>
      <c r="HSF2" s="8"/>
      <c r="HSG2" s="8"/>
      <c r="HSH2" s="8"/>
      <c r="HSI2" s="8"/>
      <c r="HSJ2" s="8"/>
      <c r="HSK2" s="8"/>
      <c r="HSL2" s="8"/>
      <c r="HSM2" s="8"/>
      <c r="HSN2" s="8"/>
      <c r="HSO2" s="8"/>
      <c r="HSP2" s="8"/>
      <c r="HSQ2" s="8"/>
      <c r="HSR2" s="8"/>
      <c r="HSS2" s="8"/>
      <c r="HST2" s="8"/>
      <c r="HSU2" s="8"/>
      <c r="HSV2" s="8"/>
      <c r="HSW2" s="8"/>
      <c r="HSX2" s="8"/>
      <c r="HSY2" s="8"/>
      <c r="HSZ2" s="8"/>
      <c r="HTA2" s="8"/>
      <c r="HTB2" s="8"/>
      <c r="HTC2" s="8"/>
      <c r="HTD2" s="8"/>
      <c r="HTE2" s="8"/>
      <c r="HTF2" s="8"/>
      <c r="HTG2" s="8"/>
      <c r="HTH2" s="8"/>
      <c r="HTI2" s="8"/>
      <c r="HTJ2" s="8"/>
      <c r="HTK2" s="8"/>
      <c r="HTL2" s="8"/>
      <c r="HTM2" s="8"/>
      <c r="HTN2" s="8"/>
      <c r="HTO2" s="8"/>
      <c r="HTP2" s="8"/>
      <c r="HTQ2" s="8"/>
      <c r="HTR2" s="8"/>
      <c r="HTS2" s="8"/>
      <c r="HTT2" s="8"/>
      <c r="HTU2" s="8"/>
      <c r="HTV2" s="8"/>
      <c r="HTW2" s="8"/>
      <c r="HTX2" s="8"/>
      <c r="HTY2" s="8"/>
      <c r="HTZ2" s="8"/>
      <c r="HUA2" s="8"/>
      <c r="HUB2" s="8"/>
      <c r="HUC2" s="8"/>
      <c r="HUD2" s="8"/>
      <c r="HUE2" s="8"/>
      <c r="HUF2" s="8"/>
      <c r="HUG2" s="8"/>
      <c r="HUH2" s="8"/>
      <c r="HUI2" s="8"/>
      <c r="HUJ2" s="8"/>
      <c r="HUK2" s="8"/>
      <c r="HUL2" s="8"/>
      <c r="HUM2" s="8"/>
      <c r="HUN2" s="8"/>
      <c r="HUO2" s="8"/>
      <c r="HUP2" s="8"/>
      <c r="HUQ2" s="8"/>
      <c r="HUR2" s="8"/>
      <c r="HUS2" s="8"/>
      <c r="HUT2" s="8"/>
      <c r="HUU2" s="8"/>
      <c r="HUV2" s="8"/>
      <c r="HUW2" s="8"/>
      <c r="HUX2" s="8"/>
      <c r="HUY2" s="8"/>
      <c r="HUZ2" s="8"/>
      <c r="HVA2" s="8"/>
      <c r="HVB2" s="8"/>
      <c r="HVC2" s="8"/>
      <c r="HVD2" s="8"/>
      <c r="HVE2" s="8"/>
      <c r="HVF2" s="8"/>
      <c r="HVG2" s="8"/>
      <c r="HVH2" s="8"/>
      <c r="HVI2" s="8"/>
      <c r="HVJ2" s="8"/>
      <c r="HVK2" s="8"/>
      <c r="HVL2" s="8"/>
      <c r="HVM2" s="8"/>
      <c r="HVN2" s="8"/>
      <c r="HVO2" s="8"/>
      <c r="HVP2" s="8"/>
      <c r="HVQ2" s="8"/>
      <c r="HVR2" s="8"/>
      <c r="HVS2" s="8"/>
      <c r="HVT2" s="8"/>
      <c r="HVU2" s="8"/>
      <c r="HVV2" s="8"/>
      <c r="HVW2" s="8"/>
      <c r="HVX2" s="8"/>
      <c r="HVY2" s="8"/>
      <c r="HVZ2" s="8"/>
      <c r="HWA2" s="8"/>
      <c r="HWB2" s="8"/>
      <c r="HWC2" s="8"/>
      <c r="HWD2" s="8"/>
      <c r="HWE2" s="8"/>
      <c r="HWF2" s="8"/>
      <c r="HWG2" s="8"/>
      <c r="HWH2" s="8"/>
      <c r="HWI2" s="8"/>
      <c r="HWJ2" s="8"/>
      <c r="HWK2" s="8"/>
      <c r="HWL2" s="8"/>
      <c r="HWM2" s="8"/>
      <c r="HWN2" s="8"/>
      <c r="HWO2" s="8"/>
      <c r="HWP2" s="8"/>
      <c r="HWQ2" s="8"/>
      <c r="HWR2" s="8"/>
      <c r="HWS2" s="8"/>
      <c r="HWT2" s="8"/>
      <c r="HWU2" s="8"/>
      <c r="HWV2" s="8"/>
      <c r="HWW2" s="8"/>
      <c r="HWX2" s="8"/>
      <c r="HWY2" s="8"/>
      <c r="HWZ2" s="8"/>
      <c r="HXA2" s="8"/>
      <c r="HXB2" s="8"/>
      <c r="HXC2" s="8"/>
      <c r="HXD2" s="8"/>
      <c r="HXE2" s="8"/>
      <c r="HXF2" s="8"/>
      <c r="HXG2" s="8"/>
      <c r="HXH2" s="8"/>
      <c r="HXI2" s="8"/>
      <c r="HXJ2" s="8"/>
      <c r="HXK2" s="8"/>
      <c r="HXL2" s="8"/>
      <c r="HXM2" s="8"/>
      <c r="HXN2" s="8"/>
      <c r="HXO2" s="8"/>
      <c r="HXP2" s="8"/>
      <c r="HXQ2" s="8"/>
      <c r="HXR2" s="8"/>
      <c r="HXS2" s="8"/>
      <c r="HXT2" s="8"/>
      <c r="HXU2" s="8"/>
      <c r="HXV2" s="8"/>
      <c r="HXW2" s="8"/>
      <c r="HXX2" s="8"/>
      <c r="HXY2" s="8"/>
      <c r="HXZ2" s="8"/>
      <c r="HYA2" s="8"/>
      <c r="HYB2" s="8"/>
      <c r="HYC2" s="8"/>
      <c r="HYD2" s="8"/>
      <c r="HYE2" s="8"/>
      <c r="HYF2" s="8"/>
      <c r="HYG2" s="8"/>
      <c r="HYH2" s="8"/>
      <c r="HYI2" s="8"/>
      <c r="HYJ2" s="8"/>
      <c r="HYK2" s="8"/>
      <c r="HYL2" s="8"/>
      <c r="HYM2" s="8"/>
      <c r="HYN2" s="8"/>
      <c r="HYO2" s="8"/>
      <c r="HYP2" s="8"/>
      <c r="HYQ2" s="8"/>
      <c r="HYR2" s="8"/>
      <c r="HYS2" s="8"/>
      <c r="HYT2" s="8"/>
      <c r="HYU2" s="8"/>
      <c r="HYV2" s="8"/>
      <c r="HYW2" s="8"/>
      <c r="HYX2" s="8"/>
      <c r="HYY2" s="8"/>
      <c r="HYZ2" s="8"/>
      <c r="HZA2" s="8"/>
      <c r="HZB2" s="8"/>
      <c r="HZC2" s="8"/>
      <c r="HZD2" s="8"/>
      <c r="HZE2" s="8"/>
      <c r="HZF2" s="8"/>
      <c r="HZG2" s="8"/>
      <c r="HZH2" s="8"/>
      <c r="HZI2" s="8"/>
      <c r="HZJ2" s="8"/>
      <c r="HZK2" s="8"/>
      <c r="HZL2" s="8"/>
      <c r="HZM2" s="8"/>
      <c r="HZN2" s="8"/>
      <c r="HZO2" s="8"/>
      <c r="HZP2" s="8"/>
      <c r="HZQ2" s="8"/>
      <c r="HZR2" s="8"/>
      <c r="HZS2" s="8"/>
      <c r="HZT2" s="8"/>
      <c r="HZU2" s="8"/>
      <c r="HZV2" s="8"/>
      <c r="HZW2" s="8"/>
      <c r="HZX2" s="8"/>
      <c r="HZY2" s="8"/>
      <c r="HZZ2" s="8"/>
      <c r="IAA2" s="8"/>
      <c r="IAB2" s="8"/>
      <c r="IAC2" s="8"/>
      <c r="IAD2" s="8"/>
      <c r="IAE2" s="8"/>
      <c r="IAF2" s="8"/>
      <c r="IAG2" s="8"/>
      <c r="IAH2" s="8"/>
      <c r="IAI2" s="8"/>
      <c r="IAJ2" s="8"/>
      <c r="IAK2" s="8"/>
      <c r="IAL2" s="8"/>
      <c r="IAM2" s="8"/>
      <c r="IAN2" s="8"/>
      <c r="IAO2" s="8"/>
      <c r="IAP2" s="8"/>
      <c r="IAQ2" s="8"/>
      <c r="IAR2" s="8"/>
      <c r="IAS2" s="8"/>
      <c r="IAT2" s="8"/>
      <c r="IAU2" s="8"/>
      <c r="IAV2" s="8"/>
      <c r="IAW2" s="8"/>
      <c r="IAX2" s="8"/>
      <c r="IAY2" s="8"/>
      <c r="IAZ2" s="8"/>
      <c r="IBA2" s="8"/>
      <c r="IBB2" s="8"/>
      <c r="IBC2" s="8"/>
      <c r="IBD2" s="8"/>
      <c r="IBE2" s="8"/>
      <c r="IBF2" s="8"/>
      <c r="IBG2" s="8"/>
      <c r="IBH2" s="8"/>
      <c r="IBI2" s="8"/>
      <c r="IBJ2" s="8"/>
      <c r="IBK2" s="8"/>
      <c r="IBL2" s="8"/>
      <c r="IBM2" s="8"/>
      <c r="IBN2" s="8"/>
      <c r="IBO2" s="8"/>
      <c r="IBP2" s="8"/>
      <c r="IBQ2" s="8"/>
      <c r="IBR2" s="8"/>
      <c r="IBS2" s="8"/>
      <c r="IBT2" s="8"/>
      <c r="IBU2" s="8"/>
      <c r="IBV2" s="8"/>
      <c r="IBW2" s="8"/>
      <c r="IBX2" s="8"/>
      <c r="IBY2" s="8"/>
      <c r="IBZ2" s="8"/>
      <c r="ICA2" s="8"/>
      <c r="ICB2" s="8"/>
      <c r="ICC2" s="8"/>
      <c r="ICD2" s="8"/>
      <c r="ICE2" s="8"/>
      <c r="ICF2" s="8"/>
      <c r="ICG2" s="8"/>
      <c r="ICH2" s="8"/>
      <c r="ICI2" s="8"/>
      <c r="ICJ2" s="8"/>
      <c r="ICK2" s="8"/>
      <c r="ICL2" s="8"/>
      <c r="ICM2" s="8"/>
      <c r="ICN2" s="8"/>
      <c r="ICO2" s="8"/>
      <c r="ICP2" s="8"/>
      <c r="ICQ2" s="8"/>
      <c r="ICR2" s="8"/>
      <c r="ICS2" s="8"/>
      <c r="ICT2" s="8"/>
      <c r="ICU2" s="8"/>
      <c r="ICV2" s="8"/>
      <c r="ICW2" s="8"/>
      <c r="ICX2" s="8"/>
      <c r="ICY2" s="8"/>
      <c r="ICZ2" s="8"/>
      <c r="IDA2" s="8"/>
      <c r="IDB2" s="8"/>
      <c r="IDC2" s="8"/>
      <c r="IDD2" s="8"/>
      <c r="IDE2" s="8"/>
      <c r="IDF2" s="8"/>
      <c r="IDG2" s="8"/>
      <c r="IDH2" s="8"/>
      <c r="IDI2" s="8"/>
      <c r="IDJ2" s="8"/>
      <c r="IDK2" s="8"/>
      <c r="IDL2" s="8"/>
      <c r="IDM2" s="8"/>
      <c r="IDN2" s="8"/>
      <c r="IDO2" s="8"/>
      <c r="IDP2" s="8"/>
      <c r="IDQ2" s="8"/>
      <c r="IDR2" s="8"/>
      <c r="IDS2" s="8"/>
      <c r="IDT2" s="8"/>
      <c r="IDU2" s="8"/>
      <c r="IDV2" s="8"/>
      <c r="IDW2" s="8"/>
      <c r="IDX2" s="8"/>
      <c r="IDY2" s="8"/>
      <c r="IDZ2" s="8"/>
      <c r="IEA2" s="8"/>
      <c r="IEB2" s="8"/>
      <c r="IEC2" s="8"/>
      <c r="IED2" s="8"/>
      <c r="IEE2" s="8"/>
      <c r="IEF2" s="8"/>
      <c r="IEG2" s="8"/>
      <c r="IEH2" s="8"/>
      <c r="IEI2" s="8"/>
      <c r="IEJ2" s="8"/>
      <c r="IEK2" s="8"/>
      <c r="IEL2" s="8"/>
      <c r="IEM2" s="8"/>
      <c r="IEN2" s="8"/>
      <c r="IEO2" s="8"/>
      <c r="IEP2" s="8"/>
      <c r="IEQ2" s="8"/>
      <c r="IER2" s="8"/>
      <c r="IES2" s="8"/>
      <c r="IET2" s="8"/>
      <c r="IEU2" s="8"/>
      <c r="IEV2" s="8"/>
      <c r="IEW2" s="8"/>
      <c r="IEX2" s="8"/>
      <c r="IEY2" s="8"/>
      <c r="IEZ2" s="8"/>
      <c r="IFA2" s="8"/>
      <c r="IFB2" s="8"/>
      <c r="IFC2" s="8"/>
      <c r="IFD2" s="8"/>
      <c r="IFE2" s="8"/>
      <c r="IFF2" s="8"/>
      <c r="IFG2" s="8"/>
      <c r="IFH2" s="8"/>
      <c r="IFI2" s="8"/>
      <c r="IFJ2" s="8"/>
      <c r="IFK2" s="8"/>
      <c r="IFL2" s="8"/>
      <c r="IFM2" s="8"/>
      <c r="IFN2" s="8"/>
      <c r="IFO2" s="8"/>
      <c r="IFP2" s="8"/>
      <c r="IFQ2" s="8"/>
      <c r="IFR2" s="8"/>
      <c r="IFS2" s="8"/>
      <c r="IFT2" s="8"/>
      <c r="IFU2" s="8"/>
      <c r="IFV2" s="8"/>
      <c r="IFW2" s="8"/>
      <c r="IFX2" s="8"/>
      <c r="IFY2" s="8"/>
      <c r="IFZ2" s="8"/>
      <c r="IGA2" s="8"/>
      <c r="IGB2" s="8"/>
      <c r="IGC2" s="8"/>
      <c r="IGD2" s="8"/>
      <c r="IGE2" s="8"/>
      <c r="IGF2" s="8"/>
      <c r="IGG2" s="8"/>
      <c r="IGH2" s="8"/>
      <c r="IGI2" s="8"/>
      <c r="IGJ2" s="8"/>
      <c r="IGK2" s="8"/>
      <c r="IGL2" s="8"/>
      <c r="IGM2" s="8"/>
      <c r="IGN2" s="8"/>
      <c r="IGO2" s="8"/>
      <c r="IGP2" s="8"/>
      <c r="IGQ2" s="8"/>
      <c r="IGR2" s="8"/>
      <c r="IGS2" s="8"/>
      <c r="IGT2" s="8"/>
      <c r="IGU2" s="8"/>
      <c r="IGV2" s="8"/>
      <c r="IGW2" s="8"/>
      <c r="IGX2" s="8"/>
      <c r="IGY2" s="8"/>
      <c r="IGZ2" s="8"/>
      <c r="IHA2" s="8"/>
      <c r="IHB2" s="8"/>
      <c r="IHC2" s="8"/>
      <c r="IHD2" s="8"/>
      <c r="IHE2" s="8"/>
      <c r="IHF2" s="8"/>
      <c r="IHG2" s="8"/>
      <c r="IHH2" s="8"/>
      <c r="IHI2" s="8"/>
      <c r="IHJ2" s="8"/>
      <c r="IHK2" s="8"/>
      <c r="IHL2" s="8"/>
      <c r="IHM2" s="8"/>
      <c r="IHN2" s="8"/>
      <c r="IHO2" s="8"/>
      <c r="IHP2" s="8"/>
      <c r="IHQ2" s="8"/>
      <c r="IHR2" s="8"/>
      <c r="IHS2" s="8"/>
      <c r="IHT2" s="8"/>
      <c r="IHU2" s="8"/>
      <c r="IHV2" s="8"/>
      <c r="IHW2" s="8"/>
      <c r="IHX2" s="8"/>
      <c r="IHY2" s="8"/>
      <c r="IHZ2" s="8"/>
      <c r="IIA2" s="8"/>
      <c r="IIB2" s="8"/>
      <c r="IIC2" s="8"/>
      <c r="IID2" s="8"/>
      <c r="IIE2" s="8"/>
      <c r="IIF2" s="8"/>
      <c r="IIG2" s="8"/>
      <c r="IIH2" s="8"/>
      <c r="III2" s="8"/>
      <c r="IIJ2" s="8"/>
      <c r="IIK2" s="8"/>
      <c r="IIL2" s="8"/>
      <c r="IIM2" s="8"/>
      <c r="IIN2" s="8"/>
      <c r="IIO2" s="8"/>
      <c r="IIP2" s="8"/>
      <c r="IIQ2" s="8"/>
      <c r="IIR2" s="8"/>
      <c r="IIS2" s="8"/>
      <c r="IIT2" s="8"/>
      <c r="IIU2" s="8"/>
      <c r="IIV2" s="8"/>
      <c r="IIW2" s="8"/>
      <c r="IIX2" s="8"/>
      <c r="IIY2" s="8"/>
      <c r="IIZ2" s="8"/>
      <c r="IJA2" s="8"/>
      <c r="IJB2" s="8"/>
      <c r="IJC2" s="8"/>
      <c r="IJD2" s="8"/>
      <c r="IJE2" s="8"/>
      <c r="IJF2" s="8"/>
      <c r="IJG2" s="8"/>
      <c r="IJH2" s="8"/>
      <c r="IJI2" s="8"/>
      <c r="IJJ2" s="8"/>
      <c r="IJK2" s="8"/>
      <c r="IJL2" s="8"/>
      <c r="IJM2" s="8"/>
      <c r="IJN2" s="8"/>
      <c r="IJO2" s="8"/>
      <c r="IJP2" s="8"/>
      <c r="IJQ2" s="8"/>
      <c r="IJR2" s="8"/>
      <c r="IJS2" s="8"/>
      <c r="IJT2" s="8"/>
      <c r="IJU2" s="8"/>
      <c r="IJV2" s="8"/>
      <c r="IJW2" s="8"/>
      <c r="IJX2" s="8"/>
      <c r="IJY2" s="8"/>
      <c r="IJZ2" s="8"/>
      <c r="IKA2" s="8"/>
      <c r="IKB2" s="8"/>
      <c r="IKC2" s="8"/>
      <c r="IKD2" s="8"/>
      <c r="IKE2" s="8"/>
      <c r="IKF2" s="8"/>
      <c r="IKG2" s="8"/>
      <c r="IKH2" s="8"/>
      <c r="IKI2" s="8"/>
      <c r="IKJ2" s="8"/>
      <c r="IKK2" s="8"/>
      <c r="IKL2" s="8"/>
      <c r="IKM2" s="8"/>
      <c r="IKN2" s="8"/>
      <c r="IKO2" s="8"/>
      <c r="IKP2" s="8"/>
      <c r="IKQ2" s="8"/>
      <c r="IKR2" s="8"/>
      <c r="IKS2" s="8"/>
      <c r="IKT2" s="8"/>
      <c r="IKU2" s="8"/>
      <c r="IKV2" s="8"/>
      <c r="IKW2" s="8"/>
      <c r="IKX2" s="8"/>
      <c r="IKY2" s="8"/>
      <c r="IKZ2" s="8"/>
      <c r="ILA2" s="8"/>
      <c r="ILB2" s="8"/>
      <c r="ILC2" s="8"/>
      <c r="ILD2" s="8"/>
      <c r="ILE2" s="8"/>
      <c r="ILF2" s="8"/>
      <c r="ILG2" s="8"/>
      <c r="ILH2" s="8"/>
      <c r="ILI2" s="8"/>
      <c r="ILJ2" s="8"/>
      <c r="ILK2" s="8"/>
      <c r="ILL2" s="8"/>
      <c r="ILM2" s="8"/>
      <c r="ILN2" s="8"/>
      <c r="ILO2" s="8"/>
      <c r="ILP2" s="8"/>
      <c r="ILQ2" s="8"/>
      <c r="ILR2" s="8"/>
      <c r="ILS2" s="8"/>
      <c r="ILT2" s="8"/>
      <c r="ILU2" s="8"/>
      <c r="ILV2" s="8"/>
      <c r="ILW2" s="8"/>
      <c r="ILX2" s="8"/>
      <c r="ILY2" s="8"/>
      <c r="ILZ2" s="8"/>
      <c r="IMA2" s="8"/>
      <c r="IMB2" s="8"/>
      <c r="IMC2" s="8"/>
      <c r="IMD2" s="8"/>
      <c r="IME2" s="8"/>
      <c r="IMF2" s="8"/>
      <c r="IMG2" s="8"/>
      <c r="IMH2" s="8"/>
      <c r="IMI2" s="8"/>
      <c r="IMJ2" s="8"/>
      <c r="IMK2" s="8"/>
      <c r="IML2" s="8"/>
      <c r="IMM2" s="8"/>
      <c r="IMN2" s="8"/>
      <c r="IMO2" s="8"/>
      <c r="IMP2" s="8"/>
      <c r="IMQ2" s="8"/>
      <c r="IMR2" s="8"/>
      <c r="IMS2" s="8"/>
      <c r="IMT2" s="8"/>
      <c r="IMU2" s="8"/>
      <c r="IMV2" s="8"/>
      <c r="IMW2" s="8"/>
      <c r="IMX2" s="8"/>
      <c r="IMY2" s="8"/>
      <c r="IMZ2" s="8"/>
      <c r="INA2" s="8"/>
      <c r="INB2" s="8"/>
      <c r="INC2" s="8"/>
      <c r="IND2" s="8"/>
      <c r="INE2" s="8"/>
      <c r="INF2" s="8"/>
      <c r="ING2" s="8"/>
      <c r="INH2" s="8"/>
      <c r="INI2" s="8"/>
      <c r="INJ2" s="8"/>
      <c r="INK2" s="8"/>
      <c r="INL2" s="8"/>
      <c r="INM2" s="8"/>
      <c r="INN2" s="8"/>
      <c r="INO2" s="8"/>
      <c r="INP2" s="8"/>
      <c r="INQ2" s="8"/>
      <c r="INR2" s="8"/>
      <c r="INS2" s="8"/>
      <c r="INT2" s="8"/>
      <c r="INU2" s="8"/>
      <c r="INV2" s="8"/>
      <c r="INW2" s="8"/>
      <c r="INX2" s="8"/>
      <c r="INY2" s="8"/>
      <c r="INZ2" s="8"/>
      <c r="IOA2" s="8"/>
      <c r="IOB2" s="8"/>
      <c r="IOC2" s="8"/>
      <c r="IOD2" s="8"/>
      <c r="IOE2" s="8"/>
      <c r="IOF2" s="8"/>
      <c r="IOG2" s="8"/>
      <c r="IOH2" s="8"/>
      <c r="IOI2" s="8"/>
      <c r="IOJ2" s="8"/>
      <c r="IOK2" s="8"/>
      <c r="IOL2" s="8"/>
      <c r="IOM2" s="8"/>
      <c r="ION2" s="8"/>
      <c r="IOO2" s="8"/>
      <c r="IOP2" s="8"/>
      <c r="IOQ2" s="8"/>
      <c r="IOR2" s="8"/>
      <c r="IOS2" s="8"/>
      <c r="IOT2" s="8"/>
      <c r="IOU2" s="8"/>
      <c r="IOV2" s="8"/>
      <c r="IOW2" s="8"/>
      <c r="IOX2" s="8"/>
      <c r="IOY2" s="8"/>
      <c r="IOZ2" s="8"/>
      <c r="IPA2" s="8"/>
      <c r="IPB2" s="8"/>
      <c r="IPC2" s="8"/>
      <c r="IPD2" s="8"/>
      <c r="IPE2" s="8"/>
      <c r="IPF2" s="8"/>
      <c r="IPG2" s="8"/>
      <c r="IPH2" s="8"/>
      <c r="IPI2" s="8"/>
      <c r="IPJ2" s="8"/>
      <c r="IPK2" s="8"/>
      <c r="IPL2" s="8"/>
      <c r="IPM2" s="8"/>
      <c r="IPN2" s="8"/>
      <c r="IPO2" s="8"/>
      <c r="IPP2" s="8"/>
      <c r="IPQ2" s="8"/>
      <c r="IPR2" s="8"/>
      <c r="IPS2" s="8"/>
      <c r="IPT2" s="8"/>
      <c r="IPU2" s="8"/>
      <c r="IPV2" s="8"/>
      <c r="IPW2" s="8"/>
      <c r="IPX2" s="8"/>
      <c r="IPY2" s="8"/>
      <c r="IPZ2" s="8"/>
      <c r="IQA2" s="8"/>
      <c r="IQB2" s="8"/>
      <c r="IQC2" s="8"/>
      <c r="IQD2" s="8"/>
      <c r="IQE2" s="8"/>
      <c r="IQF2" s="8"/>
      <c r="IQG2" s="8"/>
      <c r="IQH2" s="8"/>
      <c r="IQI2" s="8"/>
      <c r="IQJ2" s="8"/>
      <c r="IQK2" s="8"/>
      <c r="IQL2" s="8"/>
      <c r="IQM2" s="8"/>
      <c r="IQN2" s="8"/>
      <c r="IQO2" s="8"/>
      <c r="IQP2" s="8"/>
      <c r="IQQ2" s="8"/>
      <c r="IQR2" s="8"/>
      <c r="IQS2" s="8"/>
      <c r="IQT2" s="8"/>
      <c r="IQU2" s="8"/>
      <c r="IQV2" s="8"/>
      <c r="IQW2" s="8"/>
      <c r="IQX2" s="8"/>
      <c r="IQY2" s="8"/>
      <c r="IQZ2" s="8"/>
      <c r="IRA2" s="8"/>
      <c r="IRB2" s="8"/>
      <c r="IRC2" s="8"/>
      <c r="IRD2" s="8"/>
      <c r="IRE2" s="8"/>
      <c r="IRF2" s="8"/>
      <c r="IRG2" s="8"/>
      <c r="IRH2" s="8"/>
      <c r="IRI2" s="8"/>
      <c r="IRJ2" s="8"/>
      <c r="IRK2" s="8"/>
      <c r="IRL2" s="8"/>
      <c r="IRM2" s="8"/>
      <c r="IRN2" s="8"/>
      <c r="IRO2" s="8"/>
      <c r="IRP2" s="8"/>
      <c r="IRQ2" s="8"/>
      <c r="IRR2" s="8"/>
      <c r="IRS2" s="8"/>
      <c r="IRT2" s="8"/>
      <c r="IRU2" s="8"/>
      <c r="IRV2" s="8"/>
      <c r="IRW2" s="8"/>
      <c r="IRX2" s="8"/>
      <c r="IRY2" s="8"/>
      <c r="IRZ2" s="8"/>
      <c r="ISA2" s="8"/>
      <c r="ISB2" s="8"/>
      <c r="ISC2" s="8"/>
      <c r="ISD2" s="8"/>
      <c r="ISE2" s="8"/>
      <c r="ISF2" s="8"/>
      <c r="ISG2" s="8"/>
      <c r="ISH2" s="8"/>
      <c r="ISI2" s="8"/>
      <c r="ISJ2" s="8"/>
      <c r="ISK2" s="8"/>
      <c r="ISL2" s="8"/>
      <c r="ISM2" s="8"/>
      <c r="ISN2" s="8"/>
      <c r="ISO2" s="8"/>
      <c r="ISP2" s="8"/>
      <c r="ISQ2" s="8"/>
      <c r="ISR2" s="8"/>
      <c r="ISS2" s="8"/>
      <c r="IST2" s="8"/>
      <c r="ISU2" s="8"/>
      <c r="ISV2" s="8"/>
      <c r="ISW2" s="8"/>
      <c r="ISX2" s="8"/>
      <c r="ISY2" s="8"/>
      <c r="ISZ2" s="8"/>
      <c r="ITA2" s="8"/>
      <c r="ITB2" s="8"/>
      <c r="ITC2" s="8"/>
      <c r="ITD2" s="8"/>
      <c r="ITE2" s="8"/>
      <c r="ITF2" s="8"/>
      <c r="ITG2" s="8"/>
      <c r="ITH2" s="8"/>
      <c r="ITI2" s="8"/>
      <c r="ITJ2" s="8"/>
      <c r="ITK2" s="8"/>
      <c r="ITL2" s="8"/>
      <c r="ITM2" s="8"/>
      <c r="ITN2" s="8"/>
      <c r="ITO2" s="8"/>
      <c r="ITP2" s="8"/>
      <c r="ITQ2" s="8"/>
      <c r="ITR2" s="8"/>
      <c r="ITS2" s="8"/>
      <c r="ITT2" s="8"/>
      <c r="ITU2" s="8"/>
      <c r="ITV2" s="8"/>
      <c r="ITW2" s="8"/>
      <c r="ITX2" s="8"/>
      <c r="ITY2" s="8"/>
      <c r="ITZ2" s="8"/>
      <c r="IUA2" s="8"/>
      <c r="IUB2" s="8"/>
      <c r="IUC2" s="8"/>
      <c r="IUD2" s="8"/>
      <c r="IUE2" s="8"/>
      <c r="IUF2" s="8"/>
      <c r="IUG2" s="8"/>
      <c r="IUH2" s="8"/>
      <c r="IUI2" s="8"/>
      <c r="IUJ2" s="8"/>
      <c r="IUK2" s="8"/>
      <c r="IUL2" s="8"/>
      <c r="IUM2" s="8"/>
      <c r="IUN2" s="8"/>
      <c r="IUO2" s="8"/>
      <c r="IUP2" s="8"/>
      <c r="IUQ2" s="8"/>
      <c r="IUR2" s="8"/>
      <c r="IUS2" s="8"/>
      <c r="IUT2" s="8"/>
      <c r="IUU2" s="8"/>
      <c r="IUV2" s="8"/>
      <c r="IUW2" s="8"/>
      <c r="IUX2" s="8"/>
      <c r="IUY2" s="8"/>
      <c r="IUZ2" s="8"/>
      <c r="IVA2" s="8"/>
      <c r="IVB2" s="8"/>
      <c r="IVC2" s="8"/>
      <c r="IVD2" s="8"/>
      <c r="IVE2" s="8"/>
      <c r="IVF2" s="8"/>
      <c r="IVG2" s="8"/>
      <c r="IVH2" s="8"/>
      <c r="IVI2" s="8"/>
      <c r="IVJ2" s="8"/>
      <c r="IVK2" s="8"/>
      <c r="IVL2" s="8"/>
      <c r="IVM2" s="8"/>
      <c r="IVN2" s="8"/>
      <c r="IVO2" s="8"/>
      <c r="IVP2" s="8"/>
      <c r="IVQ2" s="8"/>
      <c r="IVR2" s="8"/>
      <c r="IVS2" s="8"/>
      <c r="IVT2" s="8"/>
      <c r="IVU2" s="8"/>
      <c r="IVV2" s="8"/>
      <c r="IVW2" s="8"/>
      <c r="IVX2" s="8"/>
      <c r="IVY2" s="8"/>
      <c r="IVZ2" s="8"/>
      <c r="IWA2" s="8"/>
      <c r="IWB2" s="8"/>
      <c r="IWC2" s="8"/>
      <c r="IWD2" s="8"/>
      <c r="IWE2" s="8"/>
      <c r="IWF2" s="8"/>
      <c r="IWG2" s="8"/>
      <c r="IWH2" s="8"/>
      <c r="IWI2" s="8"/>
      <c r="IWJ2" s="8"/>
      <c r="IWK2" s="8"/>
      <c r="IWL2" s="8"/>
      <c r="IWM2" s="8"/>
      <c r="IWN2" s="8"/>
      <c r="IWO2" s="8"/>
      <c r="IWP2" s="8"/>
      <c r="IWQ2" s="8"/>
      <c r="IWR2" s="8"/>
      <c r="IWS2" s="8"/>
      <c r="IWT2" s="8"/>
      <c r="IWU2" s="8"/>
      <c r="IWV2" s="8"/>
      <c r="IWW2" s="8"/>
      <c r="IWX2" s="8"/>
      <c r="IWY2" s="8"/>
      <c r="IWZ2" s="8"/>
      <c r="IXA2" s="8"/>
      <c r="IXB2" s="8"/>
      <c r="IXC2" s="8"/>
      <c r="IXD2" s="8"/>
      <c r="IXE2" s="8"/>
      <c r="IXF2" s="8"/>
      <c r="IXG2" s="8"/>
      <c r="IXH2" s="8"/>
      <c r="IXI2" s="8"/>
      <c r="IXJ2" s="8"/>
      <c r="IXK2" s="8"/>
      <c r="IXL2" s="8"/>
      <c r="IXM2" s="8"/>
      <c r="IXN2" s="8"/>
      <c r="IXO2" s="8"/>
      <c r="IXP2" s="8"/>
      <c r="IXQ2" s="8"/>
      <c r="IXR2" s="8"/>
      <c r="IXS2" s="8"/>
      <c r="IXT2" s="8"/>
      <c r="IXU2" s="8"/>
      <c r="IXV2" s="8"/>
      <c r="IXW2" s="8"/>
      <c r="IXX2" s="8"/>
      <c r="IXY2" s="8"/>
      <c r="IXZ2" s="8"/>
      <c r="IYA2" s="8"/>
      <c r="IYB2" s="8"/>
      <c r="IYC2" s="8"/>
      <c r="IYD2" s="8"/>
      <c r="IYE2" s="8"/>
      <c r="IYF2" s="8"/>
      <c r="IYG2" s="8"/>
      <c r="IYH2" s="8"/>
      <c r="IYI2" s="8"/>
      <c r="IYJ2" s="8"/>
      <c r="IYK2" s="8"/>
      <c r="IYL2" s="8"/>
      <c r="IYM2" s="8"/>
      <c r="IYN2" s="8"/>
      <c r="IYO2" s="8"/>
      <c r="IYP2" s="8"/>
      <c r="IYQ2" s="8"/>
      <c r="IYR2" s="8"/>
      <c r="IYS2" s="8"/>
      <c r="IYT2" s="8"/>
      <c r="IYU2" s="8"/>
      <c r="IYV2" s="8"/>
      <c r="IYW2" s="8"/>
      <c r="IYX2" s="8"/>
      <c r="IYY2" s="8"/>
      <c r="IYZ2" s="8"/>
      <c r="IZA2" s="8"/>
      <c r="IZB2" s="8"/>
      <c r="IZC2" s="8"/>
      <c r="IZD2" s="8"/>
      <c r="IZE2" s="8"/>
      <c r="IZF2" s="8"/>
      <c r="IZG2" s="8"/>
      <c r="IZH2" s="8"/>
      <c r="IZI2" s="8"/>
      <c r="IZJ2" s="8"/>
      <c r="IZK2" s="8"/>
      <c r="IZL2" s="8"/>
      <c r="IZM2" s="8"/>
      <c r="IZN2" s="8"/>
      <c r="IZO2" s="8"/>
      <c r="IZP2" s="8"/>
      <c r="IZQ2" s="8"/>
      <c r="IZR2" s="8"/>
      <c r="IZS2" s="8"/>
      <c r="IZT2" s="8"/>
      <c r="IZU2" s="8"/>
      <c r="IZV2" s="8"/>
      <c r="IZW2" s="8"/>
      <c r="IZX2" s="8"/>
      <c r="IZY2" s="8"/>
      <c r="IZZ2" s="8"/>
      <c r="JAA2" s="8"/>
      <c r="JAB2" s="8"/>
      <c r="JAC2" s="8"/>
      <c r="JAD2" s="8"/>
      <c r="JAE2" s="8"/>
      <c r="JAF2" s="8"/>
      <c r="JAG2" s="8"/>
      <c r="JAH2" s="8"/>
      <c r="JAI2" s="8"/>
      <c r="JAJ2" s="8"/>
      <c r="JAK2" s="8"/>
      <c r="JAL2" s="8"/>
      <c r="JAM2" s="8"/>
      <c r="JAN2" s="8"/>
      <c r="JAO2" s="8"/>
      <c r="JAP2" s="8"/>
      <c r="JAQ2" s="8"/>
      <c r="JAR2" s="8"/>
      <c r="JAS2" s="8"/>
      <c r="JAT2" s="8"/>
      <c r="JAU2" s="8"/>
      <c r="JAV2" s="8"/>
      <c r="JAW2" s="8"/>
      <c r="JAX2" s="8"/>
      <c r="JAY2" s="8"/>
      <c r="JAZ2" s="8"/>
      <c r="JBA2" s="8"/>
      <c r="JBB2" s="8"/>
      <c r="JBC2" s="8"/>
      <c r="JBD2" s="8"/>
      <c r="JBE2" s="8"/>
      <c r="JBF2" s="8"/>
      <c r="JBG2" s="8"/>
      <c r="JBH2" s="8"/>
      <c r="JBI2" s="8"/>
      <c r="JBJ2" s="8"/>
      <c r="JBK2" s="8"/>
      <c r="JBL2" s="8"/>
      <c r="JBM2" s="8"/>
      <c r="JBN2" s="8"/>
      <c r="JBO2" s="8"/>
      <c r="JBP2" s="8"/>
      <c r="JBQ2" s="8"/>
      <c r="JBR2" s="8"/>
      <c r="JBS2" s="8"/>
      <c r="JBT2" s="8"/>
      <c r="JBU2" s="8"/>
      <c r="JBV2" s="8"/>
      <c r="JBW2" s="8"/>
      <c r="JBX2" s="8"/>
      <c r="JBY2" s="8"/>
      <c r="JBZ2" s="8"/>
      <c r="JCA2" s="8"/>
      <c r="JCB2" s="8"/>
      <c r="JCC2" s="8"/>
      <c r="JCD2" s="8"/>
      <c r="JCE2" s="8"/>
      <c r="JCF2" s="8"/>
      <c r="JCG2" s="8"/>
      <c r="JCH2" s="8"/>
      <c r="JCI2" s="8"/>
      <c r="JCJ2" s="8"/>
      <c r="JCK2" s="8"/>
      <c r="JCL2" s="8"/>
      <c r="JCM2" s="8"/>
      <c r="JCN2" s="8"/>
      <c r="JCO2" s="8"/>
      <c r="JCP2" s="8"/>
      <c r="JCQ2" s="8"/>
      <c r="JCR2" s="8"/>
      <c r="JCS2" s="8"/>
      <c r="JCT2" s="8"/>
      <c r="JCU2" s="8"/>
      <c r="JCV2" s="8"/>
      <c r="JCW2" s="8"/>
      <c r="JCX2" s="8"/>
      <c r="JCY2" s="8"/>
      <c r="JCZ2" s="8"/>
      <c r="JDA2" s="8"/>
      <c r="JDB2" s="8"/>
      <c r="JDC2" s="8"/>
      <c r="JDD2" s="8"/>
      <c r="JDE2" s="8"/>
      <c r="JDF2" s="8"/>
      <c r="JDG2" s="8"/>
      <c r="JDH2" s="8"/>
      <c r="JDI2" s="8"/>
      <c r="JDJ2" s="8"/>
      <c r="JDK2" s="8"/>
      <c r="JDL2" s="8"/>
      <c r="JDM2" s="8"/>
      <c r="JDN2" s="8"/>
      <c r="JDO2" s="8"/>
      <c r="JDP2" s="8"/>
      <c r="JDQ2" s="8"/>
      <c r="JDR2" s="8"/>
      <c r="JDS2" s="8"/>
      <c r="JDT2" s="8"/>
      <c r="JDU2" s="8"/>
      <c r="JDV2" s="8"/>
      <c r="JDW2" s="8"/>
      <c r="JDX2" s="8"/>
      <c r="JDY2" s="8"/>
      <c r="JDZ2" s="8"/>
      <c r="JEA2" s="8"/>
      <c r="JEB2" s="8"/>
      <c r="JEC2" s="8"/>
      <c r="JED2" s="8"/>
      <c r="JEE2" s="8"/>
      <c r="JEF2" s="8"/>
      <c r="JEG2" s="8"/>
      <c r="JEH2" s="8"/>
      <c r="JEI2" s="8"/>
      <c r="JEJ2" s="8"/>
      <c r="JEK2" s="8"/>
      <c r="JEL2" s="8"/>
      <c r="JEM2" s="8"/>
      <c r="JEN2" s="8"/>
      <c r="JEO2" s="8"/>
      <c r="JEP2" s="8"/>
      <c r="JEQ2" s="8"/>
      <c r="JER2" s="8"/>
      <c r="JES2" s="8"/>
      <c r="JET2" s="8"/>
      <c r="JEU2" s="8"/>
      <c r="JEV2" s="8"/>
      <c r="JEW2" s="8"/>
      <c r="JEX2" s="8"/>
      <c r="JEY2" s="8"/>
      <c r="JEZ2" s="8"/>
      <c r="JFA2" s="8"/>
      <c r="JFB2" s="8"/>
      <c r="JFC2" s="8"/>
      <c r="JFD2" s="8"/>
      <c r="JFE2" s="8"/>
      <c r="JFF2" s="8"/>
      <c r="JFG2" s="8"/>
      <c r="JFH2" s="8"/>
      <c r="JFI2" s="8"/>
      <c r="JFJ2" s="8"/>
      <c r="JFK2" s="8"/>
      <c r="JFL2" s="8"/>
      <c r="JFM2" s="8"/>
      <c r="JFN2" s="8"/>
      <c r="JFO2" s="8"/>
      <c r="JFP2" s="8"/>
      <c r="JFQ2" s="8"/>
      <c r="JFR2" s="8"/>
      <c r="JFS2" s="8"/>
      <c r="JFT2" s="8"/>
      <c r="JFU2" s="8"/>
      <c r="JFV2" s="8"/>
      <c r="JFW2" s="8"/>
      <c r="JFX2" s="8"/>
      <c r="JFY2" s="8"/>
      <c r="JFZ2" s="8"/>
      <c r="JGA2" s="8"/>
      <c r="JGB2" s="8"/>
      <c r="JGC2" s="8"/>
      <c r="JGD2" s="8"/>
      <c r="JGE2" s="8"/>
      <c r="JGF2" s="8"/>
      <c r="JGG2" s="8"/>
      <c r="JGH2" s="8"/>
      <c r="JGI2" s="8"/>
      <c r="JGJ2" s="8"/>
      <c r="JGK2" s="8"/>
      <c r="JGL2" s="8"/>
      <c r="JGM2" s="8"/>
      <c r="JGN2" s="8"/>
      <c r="JGO2" s="8"/>
      <c r="JGP2" s="8"/>
      <c r="JGQ2" s="8"/>
      <c r="JGR2" s="8"/>
      <c r="JGS2" s="8"/>
      <c r="JGT2" s="8"/>
      <c r="JGU2" s="8"/>
      <c r="JGV2" s="8"/>
      <c r="JGW2" s="8"/>
      <c r="JGX2" s="8"/>
      <c r="JGY2" s="8"/>
      <c r="JGZ2" s="8"/>
      <c r="JHA2" s="8"/>
      <c r="JHB2" s="8"/>
      <c r="JHC2" s="8"/>
      <c r="JHD2" s="8"/>
      <c r="JHE2" s="8"/>
      <c r="JHF2" s="8"/>
      <c r="JHG2" s="8"/>
      <c r="JHH2" s="8"/>
      <c r="JHI2" s="8"/>
      <c r="JHJ2" s="8"/>
      <c r="JHK2" s="8"/>
      <c r="JHL2" s="8"/>
      <c r="JHM2" s="8"/>
      <c r="JHN2" s="8"/>
      <c r="JHO2" s="8"/>
      <c r="JHP2" s="8"/>
      <c r="JHQ2" s="8"/>
      <c r="JHR2" s="8"/>
      <c r="JHS2" s="8"/>
      <c r="JHT2" s="8"/>
      <c r="JHU2" s="8"/>
      <c r="JHV2" s="8"/>
      <c r="JHW2" s="8"/>
      <c r="JHX2" s="8"/>
      <c r="JHY2" s="8"/>
      <c r="JHZ2" s="8"/>
      <c r="JIA2" s="8"/>
      <c r="JIB2" s="8"/>
      <c r="JIC2" s="8"/>
      <c r="JID2" s="8"/>
      <c r="JIE2" s="8"/>
      <c r="JIF2" s="8"/>
      <c r="JIG2" s="8"/>
      <c r="JIH2" s="8"/>
      <c r="JII2" s="8"/>
      <c r="JIJ2" s="8"/>
      <c r="JIK2" s="8"/>
      <c r="JIL2" s="8"/>
      <c r="JIM2" s="8"/>
      <c r="JIN2" s="8"/>
      <c r="JIO2" s="8"/>
      <c r="JIP2" s="8"/>
      <c r="JIQ2" s="8"/>
      <c r="JIR2" s="8"/>
      <c r="JIS2" s="8"/>
      <c r="JIT2" s="8"/>
      <c r="JIU2" s="8"/>
      <c r="JIV2" s="8"/>
      <c r="JIW2" s="8"/>
      <c r="JIX2" s="8"/>
      <c r="JIY2" s="8"/>
      <c r="JIZ2" s="8"/>
      <c r="JJA2" s="8"/>
      <c r="JJB2" s="8"/>
      <c r="JJC2" s="8"/>
      <c r="JJD2" s="8"/>
      <c r="JJE2" s="8"/>
      <c r="JJF2" s="8"/>
      <c r="JJG2" s="8"/>
      <c r="JJH2" s="8"/>
      <c r="JJI2" s="8"/>
      <c r="JJJ2" s="8"/>
      <c r="JJK2" s="8"/>
      <c r="JJL2" s="8"/>
      <c r="JJM2" s="8"/>
      <c r="JJN2" s="8"/>
      <c r="JJO2" s="8"/>
      <c r="JJP2" s="8"/>
      <c r="JJQ2" s="8"/>
      <c r="JJR2" s="8"/>
      <c r="JJS2" s="8"/>
      <c r="JJT2" s="8"/>
      <c r="JJU2" s="8"/>
      <c r="JJV2" s="8"/>
      <c r="JJW2" s="8"/>
      <c r="JJX2" s="8"/>
      <c r="JJY2" s="8"/>
      <c r="JJZ2" s="8"/>
      <c r="JKA2" s="8"/>
      <c r="JKB2" s="8"/>
      <c r="JKC2" s="8"/>
      <c r="JKD2" s="8"/>
      <c r="JKE2" s="8"/>
      <c r="JKF2" s="8"/>
      <c r="JKG2" s="8"/>
      <c r="JKH2" s="8"/>
      <c r="JKI2" s="8"/>
      <c r="JKJ2" s="8"/>
      <c r="JKK2" s="8"/>
      <c r="JKL2" s="8"/>
      <c r="JKM2" s="8"/>
      <c r="JKN2" s="8"/>
      <c r="JKO2" s="8"/>
      <c r="JKP2" s="8"/>
      <c r="JKQ2" s="8"/>
      <c r="JKR2" s="8"/>
      <c r="JKS2" s="8"/>
      <c r="JKT2" s="8"/>
      <c r="JKU2" s="8"/>
      <c r="JKV2" s="8"/>
      <c r="JKW2" s="8"/>
      <c r="JKX2" s="8"/>
      <c r="JKY2" s="8"/>
      <c r="JKZ2" s="8"/>
      <c r="JLA2" s="8"/>
      <c r="JLB2" s="8"/>
      <c r="JLC2" s="8"/>
      <c r="JLD2" s="8"/>
      <c r="JLE2" s="8"/>
      <c r="JLF2" s="8"/>
      <c r="JLG2" s="8"/>
      <c r="JLH2" s="8"/>
      <c r="JLI2" s="8"/>
      <c r="JLJ2" s="8"/>
      <c r="JLK2" s="8"/>
      <c r="JLL2" s="8"/>
      <c r="JLM2" s="8"/>
      <c r="JLN2" s="8"/>
      <c r="JLO2" s="8"/>
      <c r="JLP2" s="8"/>
      <c r="JLQ2" s="8"/>
      <c r="JLR2" s="8"/>
      <c r="JLS2" s="8"/>
      <c r="JLT2" s="8"/>
      <c r="JLU2" s="8"/>
      <c r="JLV2" s="8"/>
      <c r="JLW2" s="8"/>
      <c r="JLX2" s="8"/>
      <c r="JLY2" s="8"/>
      <c r="JLZ2" s="8"/>
      <c r="JMA2" s="8"/>
      <c r="JMB2" s="8"/>
      <c r="JMC2" s="8"/>
      <c r="JMD2" s="8"/>
      <c r="JME2" s="8"/>
      <c r="JMF2" s="8"/>
      <c r="JMG2" s="8"/>
      <c r="JMH2" s="8"/>
      <c r="JMI2" s="8"/>
      <c r="JMJ2" s="8"/>
      <c r="JMK2" s="8"/>
      <c r="JML2" s="8"/>
      <c r="JMM2" s="8"/>
      <c r="JMN2" s="8"/>
      <c r="JMO2" s="8"/>
      <c r="JMP2" s="8"/>
      <c r="JMQ2" s="8"/>
      <c r="JMR2" s="8"/>
      <c r="JMS2" s="8"/>
      <c r="JMT2" s="8"/>
      <c r="JMU2" s="8"/>
      <c r="JMV2" s="8"/>
      <c r="JMW2" s="8"/>
      <c r="JMX2" s="8"/>
      <c r="JMY2" s="8"/>
      <c r="JMZ2" s="8"/>
      <c r="JNA2" s="8"/>
      <c r="JNB2" s="8"/>
      <c r="JNC2" s="8"/>
      <c r="JND2" s="8"/>
      <c r="JNE2" s="8"/>
      <c r="JNF2" s="8"/>
      <c r="JNG2" s="8"/>
      <c r="JNH2" s="8"/>
      <c r="JNI2" s="8"/>
      <c r="JNJ2" s="8"/>
      <c r="JNK2" s="8"/>
      <c r="JNL2" s="8"/>
      <c r="JNM2" s="8"/>
      <c r="JNN2" s="8"/>
      <c r="JNO2" s="8"/>
      <c r="JNP2" s="8"/>
      <c r="JNQ2" s="8"/>
      <c r="JNR2" s="8"/>
      <c r="JNS2" s="8"/>
      <c r="JNT2" s="8"/>
      <c r="JNU2" s="8"/>
      <c r="JNV2" s="8"/>
      <c r="JNW2" s="8"/>
      <c r="JNX2" s="8"/>
      <c r="JNY2" s="8"/>
      <c r="JNZ2" s="8"/>
      <c r="JOA2" s="8"/>
      <c r="JOB2" s="8"/>
      <c r="JOC2" s="8"/>
      <c r="JOD2" s="8"/>
      <c r="JOE2" s="8"/>
      <c r="JOF2" s="8"/>
      <c r="JOG2" s="8"/>
      <c r="JOH2" s="8"/>
      <c r="JOI2" s="8"/>
      <c r="JOJ2" s="8"/>
      <c r="JOK2" s="8"/>
      <c r="JOL2" s="8"/>
      <c r="JOM2" s="8"/>
      <c r="JON2" s="8"/>
      <c r="JOO2" s="8"/>
      <c r="JOP2" s="8"/>
      <c r="JOQ2" s="8"/>
      <c r="JOR2" s="8"/>
      <c r="JOS2" s="8"/>
      <c r="JOT2" s="8"/>
      <c r="JOU2" s="8"/>
      <c r="JOV2" s="8"/>
      <c r="JOW2" s="8"/>
      <c r="JOX2" s="8"/>
      <c r="JOY2" s="8"/>
      <c r="JOZ2" s="8"/>
      <c r="JPA2" s="8"/>
      <c r="JPB2" s="8"/>
      <c r="JPC2" s="8"/>
      <c r="JPD2" s="8"/>
      <c r="JPE2" s="8"/>
      <c r="JPF2" s="8"/>
      <c r="JPG2" s="8"/>
      <c r="JPH2" s="8"/>
      <c r="JPI2" s="8"/>
      <c r="JPJ2" s="8"/>
      <c r="JPK2" s="8"/>
      <c r="JPL2" s="8"/>
      <c r="JPM2" s="8"/>
      <c r="JPN2" s="8"/>
      <c r="JPO2" s="8"/>
      <c r="JPP2" s="8"/>
      <c r="JPQ2" s="8"/>
      <c r="JPR2" s="8"/>
      <c r="JPS2" s="8"/>
      <c r="JPT2" s="8"/>
      <c r="JPU2" s="8"/>
      <c r="JPV2" s="8"/>
      <c r="JPW2" s="8"/>
      <c r="JPX2" s="8"/>
      <c r="JPY2" s="8"/>
      <c r="JPZ2" s="8"/>
      <c r="JQA2" s="8"/>
      <c r="JQB2" s="8"/>
      <c r="JQC2" s="8"/>
      <c r="JQD2" s="8"/>
      <c r="JQE2" s="8"/>
      <c r="JQF2" s="8"/>
      <c r="JQG2" s="8"/>
      <c r="JQH2" s="8"/>
      <c r="JQI2" s="8"/>
      <c r="JQJ2" s="8"/>
      <c r="JQK2" s="8"/>
      <c r="JQL2" s="8"/>
      <c r="JQM2" s="8"/>
      <c r="JQN2" s="8"/>
      <c r="JQO2" s="8"/>
      <c r="JQP2" s="8"/>
      <c r="JQQ2" s="8"/>
      <c r="JQR2" s="8"/>
      <c r="JQS2" s="8"/>
      <c r="JQT2" s="8"/>
      <c r="JQU2" s="8"/>
      <c r="JQV2" s="8"/>
      <c r="JQW2" s="8"/>
      <c r="JQX2" s="8"/>
      <c r="JQY2" s="8"/>
      <c r="JQZ2" s="8"/>
      <c r="JRA2" s="8"/>
      <c r="JRB2" s="8"/>
      <c r="JRC2" s="8"/>
      <c r="JRD2" s="8"/>
      <c r="JRE2" s="8"/>
      <c r="JRF2" s="8"/>
      <c r="JRG2" s="8"/>
      <c r="JRH2" s="8"/>
      <c r="JRI2" s="8"/>
      <c r="JRJ2" s="8"/>
      <c r="JRK2" s="8"/>
      <c r="JRL2" s="8"/>
      <c r="JRM2" s="8"/>
      <c r="JRN2" s="8"/>
      <c r="JRO2" s="8"/>
      <c r="JRP2" s="8"/>
      <c r="JRQ2" s="8"/>
      <c r="JRR2" s="8"/>
      <c r="JRS2" s="8"/>
      <c r="JRT2" s="8"/>
      <c r="JRU2" s="8"/>
      <c r="JRV2" s="8"/>
      <c r="JRW2" s="8"/>
      <c r="JRX2" s="8"/>
      <c r="JRY2" s="8"/>
      <c r="JRZ2" s="8"/>
      <c r="JSA2" s="8"/>
      <c r="JSB2" s="8"/>
      <c r="JSC2" s="8"/>
      <c r="JSD2" s="8"/>
      <c r="JSE2" s="8"/>
      <c r="JSF2" s="8"/>
      <c r="JSG2" s="8"/>
      <c r="JSH2" s="8"/>
      <c r="JSI2" s="8"/>
      <c r="JSJ2" s="8"/>
      <c r="JSK2" s="8"/>
      <c r="JSL2" s="8"/>
      <c r="JSM2" s="8"/>
      <c r="JSN2" s="8"/>
      <c r="JSO2" s="8"/>
      <c r="JSP2" s="8"/>
      <c r="JSQ2" s="8"/>
      <c r="JSR2" s="8"/>
      <c r="JSS2" s="8"/>
      <c r="JST2" s="8"/>
      <c r="JSU2" s="8"/>
      <c r="JSV2" s="8"/>
      <c r="JSW2" s="8"/>
      <c r="JSX2" s="8"/>
      <c r="JSY2" s="8"/>
      <c r="JSZ2" s="8"/>
      <c r="JTA2" s="8"/>
      <c r="JTB2" s="8"/>
      <c r="JTC2" s="8"/>
      <c r="JTD2" s="8"/>
      <c r="JTE2" s="8"/>
      <c r="JTF2" s="8"/>
      <c r="JTG2" s="8"/>
      <c r="JTH2" s="8"/>
      <c r="JTI2" s="8"/>
      <c r="JTJ2" s="8"/>
      <c r="JTK2" s="8"/>
      <c r="JTL2" s="8"/>
      <c r="JTM2" s="8"/>
      <c r="JTN2" s="8"/>
      <c r="JTO2" s="8"/>
      <c r="JTP2" s="8"/>
      <c r="JTQ2" s="8"/>
      <c r="JTR2" s="8"/>
      <c r="JTS2" s="8"/>
      <c r="JTT2" s="8"/>
      <c r="JTU2" s="8"/>
      <c r="JTV2" s="8"/>
      <c r="JTW2" s="8"/>
      <c r="JTX2" s="8"/>
      <c r="JTY2" s="8"/>
      <c r="JTZ2" s="8"/>
      <c r="JUA2" s="8"/>
      <c r="JUB2" s="8"/>
      <c r="JUC2" s="8"/>
      <c r="JUD2" s="8"/>
      <c r="JUE2" s="8"/>
      <c r="JUF2" s="8"/>
      <c r="JUG2" s="8"/>
      <c r="JUH2" s="8"/>
      <c r="JUI2" s="8"/>
      <c r="JUJ2" s="8"/>
      <c r="JUK2" s="8"/>
      <c r="JUL2" s="8"/>
      <c r="JUM2" s="8"/>
      <c r="JUN2" s="8"/>
      <c r="JUO2" s="8"/>
      <c r="JUP2" s="8"/>
      <c r="JUQ2" s="8"/>
      <c r="JUR2" s="8"/>
      <c r="JUS2" s="8"/>
      <c r="JUT2" s="8"/>
      <c r="JUU2" s="8"/>
      <c r="JUV2" s="8"/>
      <c r="JUW2" s="8"/>
      <c r="JUX2" s="8"/>
      <c r="JUY2" s="8"/>
      <c r="JUZ2" s="8"/>
      <c r="JVA2" s="8"/>
      <c r="JVB2" s="8"/>
      <c r="JVC2" s="8"/>
      <c r="JVD2" s="8"/>
      <c r="JVE2" s="8"/>
      <c r="JVF2" s="8"/>
      <c r="JVG2" s="8"/>
      <c r="JVH2" s="8"/>
      <c r="JVI2" s="8"/>
      <c r="JVJ2" s="8"/>
      <c r="JVK2" s="8"/>
      <c r="JVL2" s="8"/>
      <c r="JVM2" s="8"/>
      <c r="JVN2" s="8"/>
      <c r="JVO2" s="8"/>
      <c r="JVP2" s="8"/>
      <c r="JVQ2" s="8"/>
      <c r="JVR2" s="8"/>
      <c r="JVS2" s="8"/>
      <c r="JVT2" s="8"/>
      <c r="JVU2" s="8"/>
      <c r="JVV2" s="8"/>
      <c r="JVW2" s="8"/>
      <c r="JVX2" s="8"/>
      <c r="JVY2" s="8"/>
      <c r="JVZ2" s="8"/>
      <c r="JWA2" s="8"/>
      <c r="JWB2" s="8"/>
      <c r="JWC2" s="8"/>
      <c r="JWD2" s="8"/>
      <c r="JWE2" s="8"/>
      <c r="JWF2" s="8"/>
      <c r="JWG2" s="8"/>
      <c r="JWH2" s="8"/>
      <c r="JWI2" s="8"/>
      <c r="JWJ2" s="8"/>
      <c r="JWK2" s="8"/>
      <c r="JWL2" s="8"/>
      <c r="JWM2" s="8"/>
      <c r="JWN2" s="8"/>
      <c r="JWO2" s="8"/>
      <c r="JWP2" s="8"/>
      <c r="JWQ2" s="8"/>
      <c r="JWR2" s="8"/>
      <c r="JWS2" s="8"/>
      <c r="JWT2" s="8"/>
      <c r="JWU2" s="8"/>
      <c r="JWV2" s="8"/>
      <c r="JWW2" s="8"/>
      <c r="JWX2" s="8"/>
      <c r="JWY2" s="8"/>
      <c r="JWZ2" s="8"/>
      <c r="JXA2" s="8"/>
      <c r="JXB2" s="8"/>
      <c r="JXC2" s="8"/>
      <c r="JXD2" s="8"/>
      <c r="JXE2" s="8"/>
      <c r="JXF2" s="8"/>
      <c r="JXG2" s="8"/>
      <c r="JXH2" s="8"/>
      <c r="JXI2" s="8"/>
      <c r="JXJ2" s="8"/>
      <c r="JXK2" s="8"/>
      <c r="JXL2" s="8"/>
      <c r="JXM2" s="8"/>
      <c r="JXN2" s="8"/>
      <c r="JXO2" s="8"/>
      <c r="JXP2" s="8"/>
      <c r="JXQ2" s="8"/>
      <c r="JXR2" s="8"/>
      <c r="JXS2" s="8"/>
      <c r="JXT2" s="8"/>
      <c r="JXU2" s="8"/>
      <c r="JXV2" s="8"/>
      <c r="JXW2" s="8"/>
      <c r="JXX2" s="8"/>
      <c r="JXY2" s="8"/>
      <c r="JXZ2" s="8"/>
      <c r="JYA2" s="8"/>
      <c r="JYB2" s="8"/>
      <c r="JYC2" s="8"/>
      <c r="JYD2" s="8"/>
      <c r="JYE2" s="8"/>
      <c r="JYF2" s="8"/>
      <c r="JYG2" s="8"/>
      <c r="JYH2" s="8"/>
      <c r="JYI2" s="8"/>
      <c r="JYJ2" s="8"/>
      <c r="JYK2" s="8"/>
      <c r="JYL2" s="8"/>
      <c r="JYM2" s="8"/>
      <c r="JYN2" s="8"/>
      <c r="JYO2" s="8"/>
      <c r="JYP2" s="8"/>
      <c r="JYQ2" s="8"/>
      <c r="JYR2" s="8"/>
      <c r="JYS2" s="8"/>
      <c r="JYT2" s="8"/>
      <c r="JYU2" s="8"/>
      <c r="JYV2" s="8"/>
      <c r="JYW2" s="8"/>
      <c r="JYX2" s="8"/>
      <c r="JYY2" s="8"/>
      <c r="JYZ2" s="8"/>
      <c r="JZA2" s="8"/>
      <c r="JZB2" s="8"/>
      <c r="JZC2" s="8"/>
      <c r="JZD2" s="8"/>
      <c r="JZE2" s="8"/>
      <c r="JZF2" s="8"/>
      <c r="JZG2" s="8"/>
      <c r="JZH2" s="8"/>
      <c r="JZI2" s="8"/>
      <c r="JZJ2" s="8"/>
      <c r="JZK2" s="8"/>
      <c r="JZL2" s="8"/>
      <c r="JZM2" s="8"/>
      <c r="JZN2" s="8"/>
      <c r="JZO2" s="8"/>
      <c r="JZP2" s="8"/>
      <c r="JZQ2" s="8"/>
      <c r="JZR2" s="8"/>
      <c r="JZS2" s="8"/>
      <c r="JZT2" s="8"/>
      <c r="JZU2" s="8"/>
      <c r="JZV2" s="8"/>
      <c r="JZW2" s="8"/>
      <c r="JZX2" s="8"/>
      <c r="JZY2" s="8"/>
      <c r="JZZ2" s="8"/>
      <c r="KAA2" s="8"/>
      <c r="KAB2" s="8"/>
      <c r="KAC2" s="8"/>
      <c r="KAD2" s="8"/>
      <c r="KAE2" s="8"/>
      <c r="KAF2" s="8"/>
      <c r="KAG2" s="8"/>
      <c r="KAH2" s="8"/>
      <c r="KAI2" s="8"/>
      <c r="KAJ2" s="8"/>
      <c r="KAK2" s="8"/>
      <c r="KAL2" s="8"/>
      <c r="KAM2" s="8"/>
      <c r="KAN2" s="8"/>
      <c r="KAO2" s="8"/>
      <c r="KAP2" s="8"/>
      <c r="KAQ2" s="8"/>
      <c r="KAR2" s="8"/>
      <c r="KAS2" s="8"/>
      <c r="KAT2" s="8"/>
      <c r="KAU2" s="8"/>
      <c r="KAV2" s="8"/>
      <c r="KAW2" s="8"/>
      <c r="KAX2" s="8"/>
      <c r="KAY2" s="8"/>
      <c r="KAZ2" s="8"/>
      <c r="KBA2" s="8"/>
      <c r="KBB2" s="8"/>
      <c r="KBC2" s="8"/>
      <c r="KBD2" s="8"/>
      <c r="KBE2" s="8"/>
      <c r="KBF2" s="8"/>
      <c r="KBG2" s="8"/>
      <c r="KBH2" s="8"/>
      <c r="KBI2" s="8"/>
      <c r="KBJ2" s="8"/>
      <c r="KBK2" s="8"/>
      <c r="KBL2" s="8"/>
      <c r="KBM2" s="8"/>
      <c r="KBN2" s="8"/>
      <c r="KBO2" s="8"/>
      <c r="KBP2" s="8"/>
      <c r="KBQ2" s="8"/>
      <c r="KBR2" s="8"/>
      <c r="KBS2" s="8"/>
      <c r="KBT2" s="8"/>
      <c r="KBU2" s="8"/>
      <c r="KBV2" s="8"/>
      <c r="KBW2" s="8"/>
      <c r="KBX2" s="8"/>
      <c r="KBY2" s="8"/>
      <c r="KBZ2" s="8"/>
      <c r="KCA2" s="8"/>
      <c r="KCB2" s="8"/>
      <c r="KCC2" s="8"/>
      <c r="KCD2" s="8"/>
      <c r="KCE2" s="8"/>
      <c r="KCF2" s="8"/>
      <c r="KCG2" s="8"/>
      <c r="KCH2" s="8"/>
      <c r="KCI2" s="8"/>
      <c r="KCJ2" s="8"/>
      <c r="KCK2" s="8"/>
      <c r="KCL2" s="8"/>
      <c r="KCM2" s="8"/>
      <c r="KCN2" s="8"/>
      <c r="KCO2" s="8"/>
      <c r="KCP2" s="8"/>
      <c r="KCQ2" s="8"/>
      <c r="KCR2" s="8"/>
      <c r="KCS2" s="8"/>
      <c r="KCT2" s="8"/>
      <c r="KCU2" s="8"/>
      <c r="KCV2" s="8"/>
      <c r="KCW2" s="8"/>
      <c r="KCX2" s="8"/>
      <c r="KCY2" s="8"/>
      <c r="KCZ2" s="8"/>
      <c r="KDA2" s="8"/>
      <c r="KDB2" s="8"/>
      <c r="KDC2" s="8"/>
      <c r="KDD2" s="8"/>
      <c r="KDE2" s="8"/>
      <c r="KDF2" s="8"/>
      <c r="KDG2" s="8"/>
      <c r="KDH2" s="8"/>
      <c r="KDI2" s="8"/>
      <c r="KDJ2" s="8"/>
      <c r="KDK2" s="8"/>
      <c r="KDL2" s="8"/>
      <c r="KDM2" s="8"/>
      <c r="KDN2" s="8"/>
      <c r="KDO2" s="8"/>
      <c r="KDP2" s="8"/>
      <c r="KDQ2" s="8"/>
      <c r="KDR2" s="8"/>
      <c r="KDS2" s="8"/>
      <c r="KDT2" s="8"/>
      <c r="KDU2" s="8"/>
      <c r="KDV2" s="8"/>
      <c r="KDW2" s="8"/>
      <c r="KDX2" s="8"/>
      <c r="KDY2" s="8"/>
      <c r="KDZ2" s="8"/>
      <c r="KEA2" s="8"/>
      <c r="KEB2" s="8"/>
      <c r="KEC2" s="8"/>
      <c r="KED2" s="8"/>
      <c r="KEE2" s="8"/>
      <c r="KEF2" s="8"/>
      <c r="KEG2" s="8"/>
      <c r="KEH2" s="8"/>
      <c r="KEI2" s="8"/>
      <c r="KEJ2" s="8"/>
      <c r="KEK2" s="8"/>
      <c r="KEL2" s="8"/>
      <c r="KEM2" s="8"/>
      <c r="KEN2" s="8"/>
      <c r="KEO2" s="8"/>
      <c r="KEP2" s="8"/>
      <c r="KEQ2" s="8"/>
      <c r="KER2" s="8"/>
      <c r="KES2" s="8"/>
      <c r="KET2" s="8"/>
      <c r="KEU2" s="8"/>
      <c r="KEV2" s="8"/>
      <c r="KEW2" s="8"/>
      <c r="KEX2" s="8"/>
      <c r="KEY2" s="8"/>
      <c r="KEZ2" s="8"/>
      <c r="KFA2" s="8"/>
      <c r="KFB2" s="8"/>
      <c r="KFC2" s="8"/>
      <c r="KFD2" s="8"/>
      <c r="KFE2" s="8"/>
      <c r="KFF2" s="8"/>
      <c r="KFG2" s="8"/>
      <c r="KFH2" s="8"/>
      <c r="KFI2" s="8"/>
      <c r="KFJ2" s="8"/>
      <c r="KFK2" s="8"/>
      <c r="KFL2" s="8"/>
      <c r="KFM2" s="8"/>
      <c r="KFN2" s="8"/>
      <c r="KFO2" s="8"/>
      <c r="KFP2" s="8"/>
      <c r="KFQ2" s="8"/>
      <c r="KFR2" s="8"/>
      <c r="KFS2" s="8"/>
      <c r="KFT2" s="8"/>
      <c r="KFU2" s="8"/>
      <c r="KFV2" s="8"/>
      <c r="KFW2" s="8"/>
      <c r="KFX2" s="8"/>
      <c r="KFY2" s="8"/>
      <c r="KFZ2" s="8"/>
      <c r="KGA2" s="8"/>
      <c r="KGB2" s="8"/>
      <c r="KGC2" s="8"/>
      <c r="KGD2" s="8"/>
      <c r="KGE2" s="8"/>
      <c r="KGF2" s="8"/>
      <c r="KGG2" s="8"/>
      <c r="KGH2" s="8"/>
      <c r="KGI2" s="8"/>
      <c r="KGJ2" s="8"/>
      <c r="KGK2" s="8"/>
      <c r="KGL2" s="8"/>
      <c r="KGM2" s="8"/>
      <c r="KGN2" s="8"/>
      <c r="KGO2" s="8"/>
      <c r="KGP2" s="8"/>
      <c r="KGQ2" s="8"/>
      <c r="KGR2" s="8"/>
      <c r="KGS2" s="8"/>
      <c r="KGT2" s="8"/>
      <c r="KGU2" s="8"/>
      <c r="KGV2" s="8"/>
      <c r="KGW2" s="8"/>
      <c r="KGX2" s="8"/>
      <c r="KGY2" s="8"/>
      <c r="KGZ2" s="8"/>
      <c r="KHA2" s="8"/>
      <c r="KHB2" s="8"/>
      <c r="KHC2" s="8"/>
      <c r="KHD2" s="8"/>
      <c r="KHE2" s="8"/>
      <c r="KHF2" s="8"/>
      <c r="KHG2" s="8"/>
      <c r="KHH2" s="8"/>
      <c r="KHI2" s="8"/>
      <c r="KHJ2" s="8"/>
      <c r="KHK2" s="8"/>
      <c r="KHL2" s="8"/>
      <c r="KHM2" s="8"/>
      <c r="KHN2" s="8"/>
      <c r="KHO2" s="8"/>
      <c r="KHP2" s="8"/>
      <c r="KHQ2" s="8"/>
      <c r="KHR2" s="8"/>
      <c r="KHS2" s="8"/>
      <c r="KHT2" s="8"/>
      <c r="KHU2" s="8"/>
      <c r="KHV2" s="8"/>
      <c r="KHW2" s="8"/>
      <c r="KHX2" s="8"/>
      <c r="KHY2" s="8"/>
      <c r="KHZ2" s="8"/>
      <c r="KIA2" s="8"/>
      <c r="KIB2" s="8"/>
      <c r="KIC2" s="8"/>
      <c r="KID2" s="8"/>
      <c r="KIE2" s="8"/>
      <c r="KIF2" s="8"/>
      <c r="KIG2" s="8"/>
      <c r="KIH2" s="8"/>
      <c r="KII2" s="8"/>
      <c r="KIJ2" s="8"/>
      <c r="KIK2" s="8"/>
      <c r="KIL2" s="8"/>
      <c r="KIM2" s="8"/>
      <c r="KIN2" s="8"/>
      <c r="KIO2" s="8"/>
      <c r="KIP2" s="8"/>
      <c r="KIQ2" s="8"/>
      <c r="KIR2" s="8"/>
      <c r="KIS2" s="8"/>
      <c r="KIT2" s="8"/>
      <c r="KIU2" s="8"/>
      <c r="KIV2" s="8"/>
      <c r="KIW2" s="8"/>
      <c r="KIX2" s="8"/>
      <c r="KIY2" s="8"/>
      <c r="KIZ2" s="8"/>
      <c r="KJA2" s="8"/>
      <c r="KJB2" s="8"/>
      <c r="KJC2" s="8"/>
      <c r="KJD2" s="8"/>
      <c r="KJE2" s="8"/>
      <c r="KJF2" s="8"/>
      <c r="KJG2" s="8"/>
      <c r="KJH2" s="8"/>
      <c r="KJI2" s="8"/>
      <c r="KJJ2" s="8"/>
      <c r="KJK2" s="8"/>
      <c r="KJL2" s="8"/>
      <c r="KJM2" s="8"/>
      <c r="KJN2" s="8"/>
      <c r="KJO2" s="8"/>
      <c r="KJP2" s="8"/>
      <c r="KJQ2" s="8"/>
      <c r="KJR2" s="8"/>
      <c r="KJS2" s="8"/>
      <c r="KJT2" s="8"/>
      <c r="KJU2" s="8"/>
      <c r="KJV2" s="8"/>
      <c r="KJW2" s="8"/>
      <c r="KJX2" s="8"/>
      <c r="KJY2" s="8"/>
      <c r="KJZ2" s="8"/>
      <c r="KKA2" s="8"/>
      <c r="KKB2" s="8"/>
      <c r="KKC2" s="8"/>
      <c r="KKD2" s="8"/>
      <c r="KKE2" s="8"/>
      <c r="KKF2" s="8"/>
      <c r="KKG2" s="8"/>
      <c r="KKH2" s="8"/>
      <c r="KKI2" s="8"/>
      <c r="KKJ2" s="8"/>
      <c r="KKK2" s="8"/>
      <c r="KKL2" s="8"/>
      <c r="KKM2" s="8"/>
      <c r="KKN2" s="8"/>
      <c r="KKO2" s="8"/>
      <c r="KKP2" s="8"/>
      <c r="KKQ2" s="8"/>
      <c r="KKR2" s="8"/>
      <c r="KKS2" s="8"/>
      <c r="KKT2" s="8"/>
      <c r="KKU2" s="8"/>
      <c r="KKV2" s="8"/>
      <c r="KKW2" s="8"/>
      <c r="KKX2" s="8"/>
      <c r="KKY2" s="8"/>
      <c r="KKZ2" s="8"/>
      <c r="KLA2" s="8"/>
      <c r="KLB2" s="8"/>
      <c r="KLC2" s="8"/>
      <c r="KLD2" s="8"/>
      <c r="KLE2" s="8"/>
      <c r="KLF2" s="8"/>
      <c r="KLG2" s="8"/>
      <c r="KLH2" s="8"/>
      <c r="KLI2" s="8"/>
      <c r="KLJ2" s="8"/>
      <c r="KLK2" s="8"/>
      <c r="KLL2" s="8"/>
      <c r="KLM2" s="8"/>
      <c r="KLN2" s="8"/>
      <c r="KLO2" s="8"/>
      <c r="KLP2" s="8"/>
      <c r="KLQ2" s="8"/>
      <c r="KLR2" s="8"/>
      <c r="KLS2" s="8"/>
      <c r="KLT2" s="8"/>
      <c r="KLU2" s="8"/>
      <c r="KLV2" s="8"/>
      <c r="KLW2" s="8"/>
      <c r="KLX2" s="8"/>
      <c r="KLY2" s="8"/>
      <c r="KLZ2" s="8"/>
      <c r="KMA2" s="8"/>
      <c r="KMB2" s="8"/>
      <c r="KMC2" s="8"/>
      <c r="KMD2" s="8"/>
      <c r="KME2" s="8"/>
      <c r="KMF2" s="8"/>
      <c r="KMG2" s="8"/>
      <c r="KMH2" s="8"/>
      <c r="KMI2" s="8"/>
      <c r="KMJ2" s="8"/>
      <c r="KMK2" s="8"/>
      <c r="KML2" s="8"/>
      <c r="KMM2" s="8"/>
      <c r="KMN2" s="8"/>
      <c r="KMO2" s="8"/>
      <c r="KMP2" s="8"/>
      <c r="KMQ2" s="8"/>
      <c r="KMR2" s="8"/>
      <c r="KMS2" s="8"/>
      <c r="KMT2" s="8"/>
      <c r="KMU2" s="8"/>
      <c r="KMV2" s="8"/>
      <c r="KMW2" s="8"/>
      <c r="KMX2" s="8"/>
      <c r="KMY2" s="8"/>
      <c r="KMZ2" s="8"/>
      <c r="KNA2" s="8"/>
      <c r="KNB2" s="8"/>
      <c r="KNC2" s="8"/>
      <c r="KND2" s="8"/>
      <c r="KNE2" s="8"/>
      <c r="KNF2" s="8"/>
      <c r="KNG2" s="8"/>
      <c r="KNH2" s="8"/>
      <c r="KNI2" s="8"/>
      <c r="KNJ2" s="8"/>
      <c r="KNK2" s="8"/>
      <c r="KNL2" s="8"/>
      <c r="KNM2" s="8"/>
      <c r="KNN2" s="8"/>
      <c r="KNO2" s="8"/>
      <c r="KNP2" s="8"/>
      <c r="KNQ2" s="8"/>
      <c r="KNR2" s="8"/>
      <c r="KNS2" s="8"/>
      <c r="KNT2" s="8"/>
      <c r="KNU2" s="8"/>
      <c r="KNV2" s="8"/>
      <c r="KNW2" s="8"/>
      <c r="KNX2" s="8"/>
      <c r="KNY2" s="8"/>
      <c r="KNZ2" s="8"/>
      <c r="KOA2" s="8"/>
      <c r="KOB2" s="8"/>
      <c r="KOC2" s="8"/>
      <c r="KOD2" s="8"/>
      <c r="KOE2" s="8"/>
      <c r="KOF2" s="8"/>
      <c r="KOG2" s="8"/>
      <c r="KOH2" s="8"/>
      <c r="KOI2" s="8"/>
      <c r="KOJ2" s="8"/>
      <c r="KOK2" s="8"/>
      <c r="KOL2" s="8"/>
      <c r="KOM2" s="8"/>
      <c r="KON2" s="8"/>
      <c r="KOO2" s="8"/>
      <c r="KOP2" s="8"/>
      <c r="KOQ2" s="8"/>
      <c r="KOR2" s="8"/>
      <c r="KOS2" s="8"/>
      <c r="KOT2" s="8"/>
      <c r="KOU2" s="8"/>
      <c r="KOV2" s="8"/>
      <c r="KOW2" s="8"/>
      <c r="KOX2" s="8"/>
      <c r="KOY2" s="8"/>
      <c r="KOZ2" s="8"/>
      <c r="KPA2" s="8"/>
      <c r="KPB2" s="8"/>
      <c r="KPC2" s="8"/>
      <c r="KPD2" s="8"/>
      <c r="KPE2" s="8"/>
      <c r="KPF2" s="8"/>
      <c r="KPG2" s="8"/>
      <c r="KPH2" s="8"/>
      <c r="KPI2" s="8"/>
      <c r="KPJ2" s="8"/>
      <c r="KPK2" s="8"/>
      <c r="KPL2" s="8"/>
      <c r="KPM2" s="8"/>
      <c r="KPN2" s="8"/>
      <c r="KPO2" s="8"/>
      <c r="KPP2" s="8"/>
      <c r="KPQ2" s="8"/>
      <c r="KPR2" s="8"/>
      <c r="KPS2" s="8"/>
      <c r="KPT2" s="8"/>
      <c r="KPU2" s="8"/>
      <c r="KPV2" s="8"/>
      <c r="KPW2" s="8"/>
      <c r="KPX2" s="8"/>
      <c r="KPY2" s="8"/>
      <c r="KPZ2" s="8"/>
      <c r="KQA2" s="8"/>
      <c r="KQB2" s="8"/>
      <c r="KQC2" s="8"/>
      <c r="KQD2" s="8"/>
      <c r="KQE2" s="8"/>
      <c r="KQF2" s="8"/>
      <c r="KQG2" s="8"/>
      <c r="KQH2" s="8"/>
      <c r="KQI2" s="8"/>
      <c r="KQJ2" s="8"/>
      <c r="KQK2" s="8"/>
      <c r="KQL2" s="8"/>
      <c r="KQM2" s="8"/>
      <c r="KQN2" s="8"/>
      <c r="KQO2" s="8"/>
      <c r="KQP2" s="8"/>
      <c r="KQQ2" s="8"/>
      <c r="KQR2" s="8"/>
      <c r="KQS2" s="8"/>
      <c r="KQT2" s="8"/>
      <c r="KQU2" s="8"/>
      <c r="KQV2" s="8"/>
      <c r="KQW2" s="8"/>
      <c r="KQX2" s="8"/>
      <c r="KQY2" s="8"/>
      <c r="KQZ2" s="8"/>
      <c r="KRA2" s="8"/>
      <c r="KRB2" s="8"/>
      <c r="KRC2" s="8"/>
      <c r="KRD2" s="8"/>
      <c r="KRE2" s="8"/>
      <c r="KRF2" s="8"/>
      <c r="KRG2" s="8"/>
      <c r="KRH2" s="8"/>
      <c r="KRI2" s="8"/>
      <c r="KRJ2" s="8"/>
      <c r="KRK2" s="8"/>
      <c r="KRL2" s="8"/>
      <c r="KRM2" s="8"/>
      <c r="KRN2" s="8"/>
      <c r="KRO2" s="8"/>
      <c r="KRP2" s="8"/>
      <c r="KRQ2" s="8"/>
      <c r="KRR2" s="8"/>
      <c r="KRS2" s="8"/>
      <c r="KRT2" s="8"/>
      <c r="KRU2" s="8"/>
      <c r="KRV2" s="8"/>
      <c r="KRW2" s="8"/>
      <c r="KRX2" s="8"/>
      <c r="KRY2" s="8"/>
      <c r="KRZ2" s="8"/>
      <c r="KSA2" s="8"/>
      <c r="KSB2" s="8"/>
      <c r="KSC2" s="8"/>
      <c r="KSD2" s="8"/>
      <c r="KSE2" s="8"/>
      <c r="KSF2" s="8"/>
      <c r="KSG2" s="8"/>
      <c r="KSH2" s="8"/>
      <c r="KSI2" s="8"/>
      <c r="KSJ2" s="8"/>
      <c r="KSK2" s="8"/>
      <c r="KSL2" s="8"/>
      <c r="KSM2" s="8"/>
      <c r="KSN2" s="8"/>
      <c r="KSO2" s="8"/>
      <c r="KSP2" s="8"/>
      <c r="KSQ2" s="8"/>
      <c r="KSR2" s="8"/>
      <c r="KSS2" s="8"/>
      <c r="KST2" s="8"/>
      <c r="KSU2" s="8"/>
      <c r="KSV2" s="8"/>
      <c r="KSW2" s="8"/>
      <c r="KSX2" s="8"/>
      <c r="KSY2" s="8"/>
      <c r="KSZ2" s="8"/>
      <c r="KTA2" s="8"/>
      <c r="KTB2" s="8"/>
      <c r="KTC2" s="8"/>
      <c r="KTD2" s="8"/>
      <c r="KTE2" s="8"/>
      <c r="KTF2" s="8"/>
      <c r="KTG2" s="8"/>
      <c r="KTH2" s="8"/>
      <c r="KTI2" s="8"/>
      <c r="KTJ2" s="8"/>
      <c r="KTK2" s="8"/>
      <c r="KTL2" s="8"/>
      <c r="KTM2" s="8"/>
      <c r="KTN2" s="8"/>
      <c r="KTO2" s="8"/>
      <c r="KTP2" s="8"/>
      <c r="KTQ2" s="8"/>
      <c r="KTR2" s="8"/>
      <c r="KTS2" s="8"/>
      <c r="KTT2" s="8"/>
      <c r="KTU2" s="8"/>
      <c r="KTV2" s="8"/>
      <c r="KTW2" s="8"/>
      <c r="KTX2" s="8"/>
      <c r="KTY2" s="8"/>
      <c r="KTZ2" s="8"/>
      <c r="KUA2" s="8"/>
      <c r="KUB2" s="8"/>
      <c r="KUC2" s="8"/>
      <c r="KUD2" s="8"/>
      <c r="KUE2" s="8"/>
      <c r="KUF2" s="8"/>
      <c r="KUG2" s="8"/>
      <c r="KUH2" s="8"/>
      <c r="KUI2" s="8"/>
      <c r="KUJ2" s="8"/>
      <c r="KUK2" s="8"/>
      <c r="KUL2" s="8"/>
      <c r="KUM2" s="8"/>
      <c r="KUN2" s="8"/>
      <c r="KUO2" s="8"/>
      <c r="KUP2" s="8"/>
      <c r="KUQ2" s="8"/>
      <c r="KUR2" s="8"/>
      <c r="KUS2" s="8"/>
      <c r="KUT2" s="8"/>
      <c r="KUU2" s="8"/>
      <c r="KUV2" s="8"/>
      <c r="KUW2" s="8"/>
      <c r="KUX2" s="8"/>
      <c r="KUY2" s="8"/>
      <c r="KUZ2" s="8"/>
      <c r="KVA2" s="8"/>
      <c r="KVB2" s="8"/>
      <c r="KVC2" s="8"/>
      <c r="KVD2" s="8"/>
      <c r="KVE2" s="8"/>
      <c r="KVF2" s="8"/>
      <c r="KVG2" s="8"/>
      <c r="KVH2" s="8"/>
      <c r="KVI2" s="8"/>
      <c r="KVJ2" s="8"/>
      <c r="KVK2" s="8"/>
      <c r="KVL2" s="8"/>
      <c r="KVM2" s="8"/>
      <c r="KVN2" s="8"/>
      <c r="KVO2" s="8"/>
      <c r="KVP2" s="8"/>
      <c r="KVQ2" s="8"/>
      <c r="KVR2" s="8"/>
      <c r="KVS2" s="8"/>
      <c r="KVT2" s="8"/>
      <c r="KVU2" s="8"/>
      <c r="KVV2" s="8"/>
      <c r="KVW2" s="8"/>
      <c r="KVX2" s="8"/>
      <c r="KVY2" s="8"/>
      <c r="KVZ2" s="8"/>
      <c r="KWA2" s="8"/>
      <c r="KWB2" s="8"/>
      <c r="KWC2" s="8"/>
      <c r="KWD2" s="8"/>
      <c r="KWE2" s="8"/>
      <c r="KWF2" s="8"/>
      <c r="KWG2" s="8"/>
      <c r="KWH2" s="8"/>
      <c r="KWI2" s="8"/>
      <c r="KWJ2" s="8"/>
      <c r="KWK2" s="8"/>
      <c r="KWL2" s="8"/>
      <c r="KWM2" s="8"/>
      <c r="KWN2" s="8"/>
      <c r="KWO2" s="8"/>
      <c r="KWP2" s="8"/>
      <c r="KWQ2" s="8"/>
      <c r="KWR2" s="8"/>
      <c r="KWS2" s="8"/>
      <c r="KWT2" s="8"/>
      <c r="KWU2" s="8"/>
      <c r="KWV2" s="8"/>
      <c r="KWW2" s="8"/>
      <c r="KWX2" s="8"/>
      <c r="KWY2" s="8"/>
      <c r="KWZ2" s="8"/>
      <c r="KXA2" s="8"/>
      <c r="KXB2" s="8"/>
      <c r="KXC2" s="8"/>
      <c r="KXD2" s="8"/>
      <c r="KXE2" s="8"/>
      <c r="KXF2" s="8"/>
      <c r="KXG2" s="8"/>
      <c r="KXH2" s="8"/>
      <c r="KXI2" s="8"/>
      <c r="KXJ2" s="8"/>
      <c r="KXK2" s="8"/>
      <c r="KXL2" s="8"/>
      <c r="KXM2" s="8"/>
      <c r="KXN2" s="8"/>
      <c r="KXO2" s="8"/>
      <c r="KXP2" s="8"/>
      <c r="KXQ2" s="8"/>
      <c r="KXR2" s="8"/>
      <c r="KXS2" s="8"/>
      <c r="KXT2" s="8"/>
      <c r="KXU2" s="8"/>
      <c r="KXV2" s="8"/>
      <c r="KXW2" s="8"/>
      <c r="KXX2" s="8"/>
      <c r="KXY2" s="8"/>
      <c r="KXZ2" s="8"/>
      <c r="KYA2" s="8"/>
      <c r="KYB2" s="8"/>
      <c r="KYC2" s="8"/>
      <c r="KYD2" s="8"/>
      <c r="KYE2" s="8"/>
      <c r="KYF2" s="8"/>
      <c r="KYG2" s="8"/>
      <c r="KYH2" s="8"/>
      <c r="KYI2" s="8"/>
      <c r="KYJ2" s="8"/>
      <c r="KYK2" s="8"/>
      <c r="KYL2" s="8"/>
      <c r="KYM2" s="8"/>
      <c r="KYN2" s="8"/>
      <c r="KYO2" s="8"/>
      <c r="KYP2" s="8"/>
      <c r="KYQ2" s="8"/>
      <c r="KYR2" s="8"/>
      <c r="KYS2" s="8"/>
      <c r="KYT2" s="8"/>
      <c r="KYU2" s="8"/>
      <c r="KYV2" s="8"/>
      <c r="KYW2" s="8"/>
      <c r="KYX2" s="8"/>
      <c r="KYY2" s="8"/>
      <c r="KYZ2" s="8"/>
      <c r="KZA2" s="8"/>
      <c r="KZB2" s="8"/>
      <c r="KZC2" s="8"/>
      <c r="KZD2" s="8"/>
      <c r="KZE2" s="8"/>
      <c r="KZF2" s="8"/>
      <c r="KZG2" s="8"/>
      <c r="KZH2" s="8"/>
      <c r="KZI2" s="8"/>
      <c r="KZJ2" s="8"/>
      <c r="KZK2" s="8"/>
      <c r="KZL2" s="8"/>
      <c r="KZM2" s="8"/>
      <c r="KZN2" s="8"/>
      <c r="KZO2" s="8"/>
      <c r="KZP2" s="8"/>
      <c r="KZQ2" s="8"/>
      <c r="KZR2" s="8"/>
      <c r="KZS2" s="8"/>
      <c r="KZT2" s="8"/>
      <c r="KZU2" s="8"/>
      <c r="KZV2" s="8"/>
      <c r="KZW2" s="8"/>
      <c r="KZX2" s="8"/>
      <c r="KZY2" s="8"/>
      <c r="KZZ2" s="8"/>
      <c r="LAA2" s="8"/>
      <c r="LAB2" s="8"/>
      <c r="LAC2" s="8"/>
      <c r="LAD2" s="8"/>
      <c r="LAE2" s="8"/>
      <c r="LAF2" s="8"/>
      <c r="LAG2" s="8"/>
      <c r="LAH2" s="8"/>
      <c r="LAI2" s="8"/>
      <c r="LAJ2" s="8"/>
      <c r="LAK2" s="8"/>
      <c r="LAL2" s="8"/>
      <c r="LAM2" s="8"/>
      <c r="LAN2" s="8"/>
      <c r="LAO2" s="8"/>
      <c r="LAP2" s="8"/>
      <c r="LAQ2" s="8"/>
      <c r="LAR2" s="8"/>
      <c r="LAS2" s="8"/>
      <c r="LAT2" s="8"/>
      <c r="LAU2" s="8"/>
      <c r="LAV2" s="8"/>
      <c r="LAW2" s="8"/>
      <c r="LAX2" s="8"/>
      <c r="LAY2" s="8"/>
      <c r="LAZ2" s="8"/>
      <c r="LBA2" s="8"/>
      <c r="LBB2" s="8"/>
      <c r="LBC2" s="8"/>
      <c r="LBD2" s="8"/>
      <c r="LBE2" s="8"/>
      <c r="LBF2" s="8"/>
      <c r="LBG2" s="8"/>
      <c r="LBH2" s="8"/>
      <c r="LBI2" s="8"/>
      <c r="LBJ2" s="8"/>
      <c r="LBK2" s="8"/>
      <c r="LBL2" s="8"/>
      <c r="LBM2" s="8"/>
      <c r="LBN2" s="8"/>
      <c r="LBO2" s="8"/>
      <c r="LBP2" s="8"/>
      <c r="LBQ2" s="8"/>
      <c r="LBR2" s="8"/>
      <c r="LBS2" s="8"/>
      <c r="LBT2" s="8"/>
      <c r="LBU2" s="8"/>
      <c r="LBV2" s="8"/>
      <c r="LBW2" s="8"/>
      <c r="LBX2" s="8"/>
      <c r="LBY2" s="8"/>
      <c r="LBZ2" s="8"/>
      <c r="LCA2" s="8"/>
      <c r="LCB2" s="8"/>
      <c r="LCC2" s="8"/>
      <c r="LCD2" s="8"/>
      <c r="LCE2" s="8"/>
      <c r="LCF2" s="8"/>
      <c r="LCG2" s="8"/>
      <c r="LCH2" s="8"/>
      <c r="LCI2" s="8"/>
      <c r="LCJ2" s="8"/>
      <c r="LCK2" s="8"/>
      <c r="LCL2" s="8"/>
      <c r="LCM2" s="8"/>
      <c r="LCN2" s="8"/>
      <c r="LCO2" s="8"/>
      <c r="LCP2" s="8"/>
      <c r="LCQ2" s="8"/>
      <c r="LCR2" s="8"/>
      <c r="LCS2" s="8"/>
      <c r="LCT2" s="8"/>
      <c r="LCU2" s="8"/>
      <c r="LCV2" s="8"/>
      <c r="LCW2" s="8"/>
      <c r="LCX2" s="8"/>
      <c r="LCY2" s="8"/>
      <c r="LCZ2" s="8"/>
      <c r="LDA2" s="8"/>
      <c r="LDB2" s="8"/>
      <c r="LDC2" s="8"/>
      <c r="LDD2" s="8"/>
      <c r="LDE2" s="8"/>
      <c r="LDF2" s="8"/>
      <c r="LDG2" s="8"/>
      <c r="LDH2" s="8"/>
      <c r="LDI2" s="8"/>
      <c r="LDJ2" s="8"/>
      <c r="LDK2" s="8"/>
      <c r="LDL2" s="8"/>
      <c r="LDM2" s="8"/>
      <c r="LDN2" s="8"/>
      <c r="LDO2" s="8"/>
      <c r="LDP2" s="8"/>
      <c r="LDQ2" s="8"/>
      <c r="LDR2" s="8"/>
      <c r="LDS2" s="8"/>
      <c r="LDT2" s="8"/>
      <c r="LDU2" s="8"/>
      <c r="LDV2" s="8"/>
      <c r="LDW2" s="8"/>
      <c r="LDX2" s="8"/>
      <c r="LDY2" s="8"/>
      <c r="LDZ2" s="8"/>
      <c r="LEA2" s="8"/>
      <c r="LEB2" s="8"/>
      <c r="LEC2" s="8"/>
      <c r="LED2" s="8"/>
      <c r="LEE2" s="8"/>
      <c r="LEF2" s="8"/>
      <c r="LEG2" s="8"/>
      <c r="LEH2" s="8"/>
      <c r="LEI2" s="8"/>
      <c r="LEJ2" s="8"/>
      <c r="LEK2" s="8"/>
      <c r="LEL2" s="8"/>
      <c r="LEM2" s="8"/>
      <c r="LEN2" s="8"/>
      <c r="LEO2" s="8"/>
      <c r="LEP2" s="8"/>
      <c r="LEQ2" s="8"/>
      <c r="LER2" s="8"/>
      <c r="LES2" s="8"/>
      <c r="LET2" s="8"/>
      <c r="LEU2" s="8"/>
      <c r="LEV2" s="8"/>
      <c r="LEW2" s="8"/>
      <c r="LEX2" s="8"/>
      <c r="LEY2" s="8"/>
      <c r="LEZ2" s="8"/>
      <c r="LFA2" s="8"/>
      <c r="LFB2" s="8"/>
      <c r="LFC2" s="8"/>
      <c r="LFD2" s="8"/>
      <c r="LFE2" s="8"/>
      <c r="LFF2" s="8"/>
      <c r="LFG2" s="8"/>
      <c r="LFH2" s="8"/>
      <c r="LFI2" s="8"/>
      <c r="LFJ2" s="8"/>
      <c r="LFK2" s="8"/>
      <c r="LFL2" s="8"/>
      <c r="LFM2" s="8"/>
      <c r="LFN2" s="8"/>
      <c r="LFO2" s="8"/>
      <c r="LFP2" s="8"/>
      <c r="LFQ2" s="8"/>
      <c r="LFR2" s="8"/>
      <c r="LFS2" s="8"/>
      <c r="LFT2" s="8"/>
      <c r="LFU2" s="8"/>
      <c r="LFV2" s="8"/>
      <c r="LFW2" s="8"/>
      <c r="LFX2" s="8"/>
      <c r="LFY2" s="8"/>
      <c r="LFZ2" s="8"/>
      <c r="LGA2" s="8"/>
      <c r="LGB2" s="8"/>
      <c r="LGC2" s="8"/>
      <c r="LGD2" s="8"/>
      <c r="LGE2" s="8"/>
      <c r="LGF2" s="8"/>
      <c r="LGG2" s="8"/>
      <c r="LGH2" s="8"/>
      <c r="LGI2" s="8"/>
      <c r="LGJ2" s="8"/>
      <c r="LGK2" s="8"/>
      <c r="LGL2" s="8"/>
      <c r="LGM2" s="8"/>
      <c r="LGN2" s="8"/>
      <c r="LGO2" s="8"/>
      <c r="LGP2" s="8"/>
      <c r="LGQ2" s="8"/>
      <c r="LGR2" s="8"/>
      <c r="LGS2" s="8"/>
      <c r="LGT2" s="8"/>
      <c r="LGU2" s="8"/>
      <c r="LGV2" s="8"/>
      <c r="LGW2" s="8"/>
      <c r="LGX2" s="8"/>
      <c r="LGY2" s="8"/>
      <c r="LGZ2" s="8"/>
      <c r="LHA2" s="8"/>
      <c r="LHB2" s="8"/>
      <c r="LHC2" s="8"/>
      <c r="LHD2" s="8"/>
      <c r="LHE2" s="8"/>
      <c r="LHF2" s="8"/>
      <c r="LHG2" s="8"/>
      <c r="LHH2" s="8"/>
      <c r="LHI2" s="8"/>
      <c r="LHJ2" s="8"/>
      <c r="LHK2" s="8"/>
      <c r="LHL2" s="8"/>
      <c r="LHM2" s="8"/>
      <c r="LHN2" s="8"/>
      <c r="LHO2" s="8"/>
      <c r="LHP2" s="8"/>
      <c r="LHQ2" s="8"/>
      <c r="LHR2" s="8"/>
      <c r="LHS2" s="8"/>
      <c r="LHT2" s="8"/>
      <c r="LHU2" s="8"/>
      <c r="LHV2" s="8"/>
      <c r="LHW2" s="8"/>
      <c r="LHX2" s="8"/>
      <c r="LHY2" s="8"/>
      <c r="LHZ2" s="8"/>
      <c r="LIA2" s="8"/>
      <c r="LIB2" s="8"/>
      <c r="LIC2" s="8"/>
      <c r="LID2" s="8"/>
      <c r="LIE2" s="8"/>
      <c r="LIF2" s="8"/>
      <c r="LIG2" s="8"/>
      <c r="LIH2" s="8"/>
      <c r="LII2" s="8"/>
      <c r="LIJ2" s="8"/>
      <c r="LIK2" s="8"/>
      <c r="LIL2" s="8"/>
      <c r="LIM2" s="8"/>
      <c r="LIN2" s="8"/>
      <c r="LIO2" s="8"/>
      <c r="LIP2" s="8"/>
      <c r="LIQ2" s="8"/>
      <c r="LIR2" s="8"/>
      <c r="LIS2" s="8"/>
      <c r="LIT2" s="8"/>
      <c r="LIU2" s="8"/>
      <c r="LIV2" s="8"/>
      <c r="LIW2" s="8"/>
      <c r="LIX2" s="8"/>
      <c r="LIY2" s="8"/>
      <c r="LIZ2" s="8"/>
      <c r="LJA2" s="8"/>
      <c r="LJB2" s="8"/>
      <c r="LJC2" s="8"/>
      <c r="LJD2" s="8"/>
      <c r="LJE2" s="8"/>
      <c r="LJF2" s="8"/>
      <c r="LJG2" s="8"/>
      <c r="LJH2" s="8"/>
      <c r="LJI2" s="8"/>
      <c r="LJJ2" s="8"/>
      <c r="LJK2" s="8"/>
      <c r="LJL2" s="8"/>
      <c r="LJM2" s="8"/>
      <c r="LJN2" s="8"/>
      <c r="LJO2" s="8"/>
      <c r="LJP2" s="8"/>
      <c r="LJQ2" s="8"/>
      <c r="LJR2" s="8"/>
      <c r="LJS2" s="8"/>
      <c r="LJT2" s="8"/>
      <c r="LJU2" s="8"/>
      <c r="LJV2" s="8"/>
      <c r="LJW2" s="8"/>
      <c r="LJX2" s="8"/>
      <c r="LJY2" s="8"/>
      <c r="LJZ2" s="8"/>
      <c r="LKA2" s="8"/>
      <c r="LKB2" s="8"/>
      <c r="LKC2" s="8"/>
      <c r="LKD2" s="8"/>
      <c r="LKE2" s="8"/>
      <c r="LKF2" s="8"/>
      <c r="LKG2" s="8"/>
      <c r="LKH2" s="8"/>
      <c r="LKI2" s="8"/>
      <c r="LKJ2" s="8"/>
      <c r="LKK2" s="8"/>
      <c r="LKL2" s="8"/>
      <c r="LKM2" s="8"/>
      <c r="LKN2" s="8"/>
      <c r="LKO2" s="8"/>
      <c r="LKP2" s="8"/>
      <c r="LKQ2" s="8"/>
      <c r="LKR2" s="8"/>
      <c r="LKS2" s="8"/>
      <c r="LKT2" s="8"/>
      <c r="LKU2" s="8"/>
      <c r="LKV2" s="8"/>
      <c r="LKW2" s="8"/>
      <c r="LKX2" s="8"/>
      <c r="LKY2" s="8"/>
      <c r="LKZ2" s="8"/>
      <c r="LLA2" s="8"/>
      <c r="LLB2" s="8"/>
      <c r="LLC2" s="8"/>
      <c r="LLD2" s="8"/>
      <c r="LLE2" s="8"/>
      <c r="LLF2" s="8"/>
      <c r="LLG2" s="8"/>
      <c r="LLH2" s="8"/>
      <c r="LLI2" s="8"/>
      <c r="LLJ2" s="8"/>
      <c r="LLK2" s="8"/>
      <c r="LLL2" s="8"/>
      <c r="LLM2" s="8"/>
      <c r="LLN2" s="8"/>
      <c r="LLO2" s="8"/>
      <c r="LLP2" s="8"/>
      <c r="LLQ2" s="8"/>
      <c r="LLR2" s="8"/>
      <c r="LLS2" s="8"/>
      <c r="LLT2" s="8"/>
      <c r="LLU2" s="8"/>
      <c r="LLV2" s="8"/>
      <c r="LLW2" s="8"/>
      <c r="LLX2" s="8"/>
      <c r="LLY2" s="8"/>
      <c r="LLZ2" s="8"/>
      <c r="LMA2" s="8"/>
      <c r="LMB2" s="8"/>
      <c r="LMC2" s="8"/>
      <c r="LMD2" s="8"/>
      <c r="LME2" s="8"/>
      <c r="LMF2" s="8"/>
      <c r="LMG2" s="8"/>
      <c r="LMH2" s="8"/>
      <c r="LMI2" s="8"/>
      <c r="LMJ2" s="8"/>
      <c r="LMK2" s="8"/>
      <c r="LML2" s="8"/>
      <c r="LMM2" s="8"/>
      <c r="LMN2" s="8"/>
      <c r="LMO2" s="8"/>
      <c r="LMP2" s="8"/>
      <c r="LMQ2" s="8"/>
      <c r="LMR2" s="8"/>
      <c r="LMS2" s="8"/>
      <c r="LMT2" s="8"/>
      <c r="LMU2" s="8"/>
      <c r="LMV2" s="8"/>
      <c r="LMW2" s="8"/>
      <c r="LMX2" s="8"/>
      <c r="LMY2" s="8"/>
      <c r="LMZ2" s="8"/>
      <c r="LNA2" s="8"/>
      <c r="LNB2" s="8"/>
      <c r="LNC2" s="8"/>
      <c r="LND2" s="8"/>
      <c r="LNE2" s="8"/>
      <c r="LNF2" s="8"/>
      <c r="LNG2" s="8"/>
      <c r="LNH2" s="8"/>
      <c r="LNI2" s="8"/>
      <c r="LNJ2" s="8"/>
      <c r="LNK2" s="8"/>
      <c r="LNL2" s="8"/>
      <c r="LNM2" s="8"/>
      <c r="LNN2" s="8"/>
      <c r="LNO2" s="8"/>
      <c r="LNP2" s="8"/>
      <c r="LNQ2" s="8"/>
      <c r="LNR2" s="8"/>
      <c r="LNS2" s="8"/>
      <c r="LNT2" s="8"/>
      <c r="LNU2" s="8"/>
      <c r="LNV2" s="8"/>
      <c r="LNW2" s="8"/>
      <c r="LNX2" s="8"/>
      <c r="LNY2" s="8"/>
      <c r="LNZ2" s="8"/>
      <c r="LOA2" s="8"/>
      <c r="LOB2" s="8"/>
      <c r="LOC2" s="8"/>
      <c r="LOD2" s="8"/>
      <c r="LOE2" s="8"/>
      <c r="LOF2" s="8"/>
      <c r="LOG2" s="8"/>
      <c r="LOH2" s="8"/>
      <c r="LOI2" s="8"/>
      <c r="LOJ2" s="8"/>
      <c r="LOK2" s="8"/>
      <c r="LOL2" s="8"/>
      <c r="LOM2" s="8"/>
      <c r="LON2" s="8"/>
      <c r="LOO2" s="8"/>
      <c r="LOP2" s="8"/>
      <c r="LOQ2" s="8"/>
      <c r="LOR2" s="8"/>
      <c r="LOS2" s="8"/>
      <c r="LOT2" s="8"/>
      <c r="LOU2" s="8"/>
      <c r="LOV2" s="8"/>
      <c r="LOW2" s="8"/>
      <c r="LOX2" s="8"/>
      <c r="LOY2" s="8"/>
      <c r="LOZ2" s="8"/>
      <c r="LPA2" s="8"/>
      <c r="LPB2" s="8"/>
      <c r="LPC2" s="8"/>
      <c r="LPD2" s="8"/>
      <c r="LPE2" s="8"/>
      <c r="LPF2" s="8"/>
      <c r="LPG2" s="8"/>
      <c r="LPH2" s="8"/>
      <c r="LPI2" s="8"/>
      <c r="LPJ2" s="8"/>
      <c r="LPK2" s="8"/>
      <c r="LPL2" s="8"/>
      <c r="LPM2" s="8"/>
      <c r="LPN2" s="8"/>
      <c r="LPO2" s="8"/>
      <c r="LPP2" s="8"/>
      <c r="LPQ2" s="8"/>
      <c r="LPR2" s="8"/>
      <c r="LPS2" s="8"/>
      <c r="LPT2" s="8"/>
      <c r="LPU2" s="8"/>
      <c r="LPV2" s="8"/>
      <c r="LPW2" s="8"/>
      <c r="LPX2" s="8"/>
      <c r="LPY2" s="8"/>
      <c r="LPZ2" s="8"/>
      <c r="LQA2" s="8"/>
      <c r="LQB2" s="8"/>
      <c r="LQC2" s="8"/>
      <c r="LQD2" s="8"/>
      <c r="LQE2" s="8"/>
      <c r="LQF2" s="8"/>
      <c r="LQG2" s="8"/>
      <c r="LQH2" s="8"/>
      <c r="LQI2" s="8"/>
      <c r="LQJ2" s="8"/>
      <c r="LQK2" s="8"/>
      <c r="LQL2" s="8"/>
      <c r="LQM2" s="8"/>
      <c r="LQN2" s="8"/>
      <c r="LQO2" s="8"/>
      <c r="LQP2" s="8"/>
      <c r="LQQ2" s="8"/>
      <c r="LQR2" s="8"/>
      <c r="LQS2" s="8"/>
      <c r="LQT2" s="8"/>
      <c r="LQU2" s="8"/>
      <c r="LQV2" s="8"/>
      <c r="LQW2" s="8"/>
      <c r="LQX2" s="8"/>
      <c r="LQY2" s="8"/>
      <c r="LQZ2" s="8"/>
      <c r="LRA2" s="8"/>
      <c r="LRB2" s="8"/>
      <c r="LRC2" s="8"/>
      <c r="LRD2" s="8"/>
      <c r="LRE2" s="8"/>
      <c r="LRF2" s="8"/>
      <c r="LRG2" s="8"/>
      <c r="LRH2" s="8"/>
      <c r="LRI2" s="8"/>
      <c r="LRJ2" s="8"/>
      <c r="LRK2" s="8"/>
      <c r="LRL2" s="8"/>
      <c r="LRM2" s="8"/>
      <c r="LRN2" s="8"/>
      <c r="LRO2" s="8"/>
      <c r="LRP2" s="8"/>
      <c r="LRQ2" s="8"/>
      <c r="LRR2" s="8"/>
      <c r="LRS2" s="8"/>
      <c r="LRT2" s="8"/>
      <c r="LRU2" s="8"/>
      <c r="LRV2" s="8"/>
      <c r="LRW2" s="8"/>
      <c r="LRX2" s="8"/>
      <c r="LRY2" s="8"/>
      <c r="LRZ2" s="8"/>
      <c r="LSA2" s="8"/>
      <c r="LSB2" s="8"/>
      <c r="LSC2" s="8"/>
      <c r="LSD2" s="8"/>
      <c r="LSE2" s="8"/>
      <c r="LSF2" s="8"/>
      <c r="LSG2" s="8"/>
      <c r="LSH2" s="8"/>
      <c r="LSI2" s="8"/>
      <c r="LSJ2" s="8"/>
      <c r="LSK2" s="8"/>
      <c r="LSL2" s="8"/>
      <c r="LSM2" s="8"/>
      <c r="LSN2" s="8"/>
      <c r="LSO2" s="8"/>
      <c r="LSP2" s="8"/>
      <c r="LSQ2" s="8"/>
      <c r="LSR2" s="8"/>
      <c r="LSS2" s="8"/>
      <c r="LST2" s="8"/>
      <c r="LSU2" s="8"/>
      <c r="LSV2" s="8"/>
      <c r="LSW2" s="8"/>
      <c r="LSX2" s="8"/>
      <c r="LSY2" s="8"/>
      <c r="LSZ2" s="8"/>
      <c r="LTA2" s="8"/>
      <c r="LTB2" s="8"/>
      <c r="LTC2" s="8"/>
      <c r="LTD2" s="8"/>
      <c r="LTE2" s="8"/>
      <c r="LTF2" s="8"/>
      <c r="LTG2" s="8"/>
      <c r="LTH2" s="8"/>
      <c r="LTI2" s="8"/>
      <c r="LTJ2" s="8"/>
      <c r="LTK2" s="8"/>
      <c r="LTL2" s="8"/>
      <c r="LTM2" s="8"/>
      <c r="LTN2" s="8"/>
      <c r="LTO2" s="8"/>
      <c r="LTP2" s="8"/>
      <c r="LTQ2" s="8"/>
      <c r="LTR2" s="8"/>
      <c r="LTS2" s="8"/>
      <c r="LTT2" s="8"/>
      <c r="LTU2" s="8"/>
      <c r="LTV2" s="8"/>
      <c r="LTW2" s="8"/>
      <c r="LTX2" s="8"/>
      <c r="LTY2" s="8"/>
      <c r="LTZ2" s="8"/>
      <c r="LUA2" s="8"/>
      <c r="LUB2" s="8"/>
      <c r="LUC2" s="8"/>
      <c r="LUD2" s="8"/>
      <c r="LUE2" s="8"/>
      <c r="LUF2" s="8"/>
      <c r="LUG2" s="8"/>
      <c r="LUH2" s="8"/>
      <c r="LUI2" s="8"/>
      <c r="LUJ2" s="8"/>
      <c r="LUK2" s="8"/>
      <c r="LUL2" s="8"/>
      <c r="LUM2" s="8"/>
      <c r="LUN2" s="8"/>
      <c r="LUO2" s="8"/>
      <c r="LUP2" s="8"/>
      <c r="LUQ2" s="8"/>
      <c r="LUR2" s="8"/>
      <c r="LUS2" s="8"/>
      <c r="LUT2" s="8"/>
      <c r="LUU2" s="8"/>
      <c r="LUV2" s="8"/>
      <c r="LUW2" s="8"/>
      <c r="LUX2" s="8"/>
      <c r="LUY2" s="8"/>
      <c r="LUZ2" s="8"/>
      <c r="LVA2" s="8"/>
      <c r="LVB2" s="8"/>
      <c r="LVC2" s="8"/>
      <c r="LVD2" s="8"/>
      <c r="LVE2" s="8"/>
      <c r="LVF2" s="8"/>
      <c r="LVG2" s="8"/>
      <c r="LVH2" s="8"/>
      <c r="LVI2" s="8"/>
      <c r="LVJ2" s="8"/>
      <c r="LVK2" s="8"/>
      <c r="LVL2" s="8"/>
      <c r="LVM2" s="8"/>
      <c r="LVN2" s="8"/>
      <c r="LVO2" s="8"/>
      <c r="LVP2" s="8"/>
      <c r="LVQ2" s="8"/>
      <c r="LVR2" s="8"/>
      <c r="LVS2" s="8"/>
      <c r="LVT2" s="8"/>
      <c r="LVU2" s="8"/>
      <c r="LVV2" s="8"/>
      <c r="LVW2" s="8"/>
      <c r="LVX2" s="8"/>
      <c r="LVY2" s="8"/>
      <c r="LVZ2" s="8"/>
      <c r="LWA2" s="8"/>
      <c r="LWB2" s="8"/>
      <c r="LWC2" s="8"/>
      <c r="LWD2" s="8"/>
      <c r="LWE2" s="8"/>
      <c r="LWF2" s="8"/>
      <c r="LWG2" s="8"/>
      <c r="LWH2" s="8"/>
      <c r="LWI2" s="8"/>
      <c r="LWJ2" s="8"/>
      <c r="LWK2" s="8"/>
      <c r="LWL2" s="8"/>
      <c r="LWM2" s="8"/>
      <c r="LWN2" s="8"/>
      <c r="LWO2" s="8"/>
      <c r="LWP2" s="8"/>
      <c r="LWQ2" s="8"/>
      <c r="LWR2" s="8"/>
      <c r="LWS2" s="8"/>
      <c r="LWT2" s="8"/>
      <c r="LWU2" s="8"/>
      <c r="LWV2" s="8"/>
      <c r="LWW2" s="8"/>
      <c r="LWX2" s="8"/>
      <c r="LWY2" s="8"/>
      <c r="LWZ2" s="8"/>
      <c r="LXA2" s="8"/>
      <c r="LXB2" s="8"/>
      <c r="LXC2" s="8"/>
      <c r="LXD2" s="8"/>
      <c r="LXE2" s="8"/>
      <c r="LXF2" s="8"/>
      <c r="LXG2" s="8"/>
      <c r="LXH2" s="8"/>
      <c r="LXI2" s="8"/>
      <c r="LXJ2" s="8"/>
      <c r="LXK2" s="8"/>
      <c r="LXL2" s="8"/>
      <c r="LXM2" s="8"/>
      <c r="LXN2" s="8"/>
      <c r="LXO2" s="8"/>
      <c r="LXP2" s="8"/>
      <c r="LXQ2" s="8"/>
      <c r="LXR2" s="8"/>
      <c r="LXS2" s="8"/>
      <c r="LXT2" s="8"/>
      <c r="LXU2" s="8"/>
      <c r="LXV2" s="8"/>
      <c r="LXW2" s="8"/>
      <c r="LXX2" s="8"/>
      <c r="LXY2" s="8"/>
      <c r="LXZ2" s="8"/>
      <c r="LYA2" s="8"/>
      <c r="LYB2" s="8"/>
      <c r="LYC2" s="8"/>
      <c r="LYD2" s="8"/>
      <c r="LYE2" s="8"/>
      <c r="LYF2" s="8"/>
      <c r="LYG2" s="8"/>
      <c r="LYH2" s="8"/>
      <c r="LYI2" s="8"/>
      <c r="LYJ2" s="8"/>
      <c r="LYK2" s="8"/>
      <c r="LYL2" s="8"/>
      <c r="LYM2" s="8"/>
      <c r="LYN2" s="8"/>
      <c r="LYO2" s="8"/>
      <c r="LYP2" s="8"/>
      <c r="LYQ2" s="8"/>
      <c r="LYR2" s="8"/>
      <c r="LYS2" s="8"/>
      <c r="LYT2" s="8"/>
      <c r="LYU2" s="8"/>
      <c r="LYV2" s="8"/>
      <c r="LYW2" s="8"/>
      <c r="LYX2" s="8"/>
      <c r="LYY2" s="8"/>
      <c r="LYZ2" s="8"/>
      <c r="LZA2" s="8"/>
      <c r="LZB2" s="8"/>
      <c r="LZC2" s="8"/>
      <c r="LZD2" s="8"/>
      <c r="LZE2" s="8"/>
      <c r="LZF2" s="8"/>
      <c r="LZG2" s="8"/>
      <c r="LZH2" s="8"/>
      <c r="LZI2" s="8"/>
      <c r="LZJ2" s="8"/>
      <c r="LZK2" s="8"/>
      <c r="LZL2" s="8"/>
      <c r="LZM2" s="8"/>
      <c r="LZN2" s="8"/>
      <c r="LZO2" s="8"/>
      <c r="LZP2" s="8"/>
      <c r="LZQ2" s="8"/>
      <c r="LZR2" s="8"/>
      <c r="LZS2" s="8"/>
      <c r="LZT2" s="8"/>
      <c r="LZU2" s="8"/>
      <c r="LZV2" s="8"/>
      <c r="LZW2" s="8"/>
      <c r="LZX2" s="8"/>
      <c r="LZY2" s="8"/>
      <c r="LZZ2" s="8"/>
      <c r="MAA2" s="8"/>
      <c r="MAB2" s="8"/>
      <c r="MAC2" s="8"/>
      <c r="MAD2" s="8"/>
      <c r="MAE2" s="8"/>
      <c r="MAF2" s="8"/>
      <c r="MAG2" s="8"/>
      <c r="MAH2" s="8"/>
      <c r="MAI2" s="8"/>
      <c r="MAJ2" s="8"/>
      <c r="MAK2" s="8"/>
      <c r="MAL2" s="8"/>
      <c r="MAM2" s="8"/>
      <c r="MAN2" s="8"/>
      <c r="MAO2" s="8"/>
      <c r="MAP2" s="8"/>
      <c r="MAQ2" s="8"/>
      <c r="MAR2" s="8"/>
      <c r="MAS2" s="8"/>
      <c r="MAT2" s="8"/>
      <c r="MAU2" s="8"/>
      <c r="MAV2" s="8"/>
      <c r="MAW2" s="8"/>
      <c r="MAX2" s="8"/>
      <c r="MAY2" s="8"/>
      <c r="MAZ2" s="8"/>
      <c r="MBA2" s="8"/>
      <c r="MBB2" s="8"/>
      <c r="MBC2" s="8"/>
      <c r="MBD2" s="8"/>
      <c r="MBE2" s="8"/>
      <c r="MBF2" s="8"/>
      <c r="MBG2" s="8"/>
      <c r="MBH2" s="8"/>
      <c r="MBI2" s="8"/>
      <c r="MBJ2" s="8"/>
      <c r="MBK2" s="8"/>
      <c r="MBL2" s="8"/>
      <c r="MBM2" s="8"/>
      <c r="MBN2" s="8"/>
      <c r="MBO2" s="8"/>
      <c r="MBP2" s="8"/>
      <c r="MBQ2" s="8"/>
      <c r="MBR2" s="8"/>
      <c r="MBS2" s="8"/>
      <c r="MBT2" s="8"/>
      <c r="MBU2" s="8"/>
      <c r="MBV2" s="8"/>
      <c r="MBW2" s="8"/>
      <c r="MBX2" s="8"/>
      <c r="MBY2" s="8"/>
      <c r="MBZ2" s="8"/>
      <c r="MCA2" s="8"/>
      <c r="MCB2" s="8"/>
      <c r="MCC2" s="8"/>
      <c r="MCD2" s="8"/>
      <c r="MCE2" s="8"/>
      <c r="MCF2" s="8"/>
      <c r="MCG2" s="8"/>
      <c r="MCH2" s="8"/>
      <c r="MCI2" s="8"/>
      <c r="MCJ2" s="8"/>
      <c r="MCK2" s="8"/>
      <c r="MCL2" s="8"/>
      <c r="MCM2" s="8"/>
      <c r="MCN2" s="8"/>
      <c r="MCO2" s="8"/>
      <c r="MCP2" s="8"/>
      <c r="MCQ2" s="8"/>
      <c r="MCR2" s="8"/>
      <c r="MCS2" s="8"/>
      <c r="MCT2" s="8"/>
      <c r="MCU2" s="8"/>
      <c r="MCV2" s="8"/>
      <c r="MCW2" s="8"/>
      <c r="MCX2" s="8"/>
      <c r="MCY2" s="8"/>
      <c r="MCZ2" s="8"/>
      <c r="MDA2" s="8"/>
      <c r="MDB2" s="8"/>
      <c r="MDC2" s="8"/>
      <c r="MDD2" s="8"/>
      <c r="MDE2" s="8"/>
      <c r="MDF2" s="8"/>
      <c r="MDG2" s="8"/>
      <c r="MDH2" s="8"/>
      <c r="MDI2" s="8"/>
      <c r="MDJ2" s="8"/>
      <c r="MDK2" s="8"/>
      <c r="MDL2" s="8"/>
      <c r="MDM2" s="8"/>
      <c r="MDN2" s="8"/>
      <c r="MDO2" s="8"/>
      <c r="MDP2" s="8"/>
      <c r="MDQ2" s="8"/>
      <c r="MDR2" s="8"/>
      <c r="MDS2" s="8"/>
      <c r="MDT2" s="8"/>
      <c r="MDU2" s="8"/>
      <c r="MDV2" s="8"/>
      <c r="MDW2" s="8"/>
      <c r="MDX2" s="8"/>
      <c r="MDY2" s="8"/>
      <c r="MDZ2" s="8"/>
      <c r="MEA2" s="8"/>
      <c r="MEB2" s="8"/>
      <c r="MEC2" s="8"/>
      <c r="MED2" s="8"/>
      <c r="MEE2" s="8"/>
      <c r="MEF2" s="8"/>
      <c r="MEG2" s="8"/>
      <c r="MEH2" s="8"/>
      <c r="MEI2" s="8"/>
      <c r="MEJ2" s="8"/>
      <c r="MEK2" s="8"/>
      <c r="MEL2" s="8"/>
      <c r="MEM2" s="8"/>
      <c r="MEN2" s="8"/>
      <c r="MEO2" s="8"/>
      <c r="MEP2" s="8"/>
      <c r="MEQ2" s="8"/>
      <c r="MER2" s="8"/>
      <c r="MES2" s="8"/>
      <c r="MET2" s="8"/>
      <c r="MEU2" s="8"/>
      <c r="MEV2" s="8"/>
      <c r="MEW2" s="8"/>
      <c r="MEX2" s="8"/>
      <c r="MEY2" s="8"/>
      <c r="MEZ2" s="8"/>
      <c r="MFA2" s="8"/>
      <c r="MFB2" s="8"/>
      <c r="MFC2" s="8"/>
      <c r="MFD2" s="8"/>
      <c r="MFE2" s="8"/>
      <c r="MFF2" s="8"/>
      <c r="MFG2" s="8"/>
      <c r="MFH2" s="8"/>
      <c r="MFI2" s="8"/>
      <c r="MFJ2" s="8"/>
      <c r="MFK2" s="8"/>
      <c r="MFL2" s="8"/>
      <c r="MFM2" s="8"/>
      <c r="MFN2" s="8"/>
      <c r="MFO2" s="8"/>
      <c r="MFP2" s="8"/>
      <c r="MFQ2" s="8"/>
      <c r="MFR2" s="8"/>
      <c r="MFS2" s="8"/>
      <c r="MFT2" s="8"/>
      <c r="MFU2" s="8"/>
      <c r="MFV2" s="8"/>
      <c r="MFW2" s="8"/>
      <c r="MFX2" s="8"/>
      <c r="MFY2" s="8"/>
      <c r="MFZ2" s="8"/>
      <c r="MGA2" s="8"/>
      <c r="MGB2" s="8"/>
      <c r="MGC2" s="8"/>
      <c r="MGD2" s="8"/>
      <c r="MGE2" s="8"/>
      <c r="MGF2" s="8"/>
      <c r="MGG2" s="8"/>
      <c r="MGH2" s="8"/>
      <c r="MGI2" s="8"/>
      <c r="MGJ2" s="8"/>
      <c r="MGK2" s="8"/>
      <c r="MGL2" s="8"/>
      <c r="MGM2" s="8"/>
      <c r="MGN2" s="8"/>
      <c r="MGO2" s="8"/>
      <c r="MGP2" s="8"/>
      <c r="MGQ2" s="8"/>
      <c r="MGR2" s="8"/>
      <c r="MGS2" s="8"/>
      <c r="MGT2" s="8"/>
      <c r="MGU2" s="8"/>
      <c r="MGV2" s="8"/>
      <c r="MGW2" s="8"/>
      <c r="MGX2" s="8"/>
      <c r="MGY2" s="8"/>
      <c r="MGZ2" s="8"/>
      <c r="MHA2" s="8"/>
      <c r="MHB2" s="8"/>
      <c r="MHC2" s="8"/>
      <c r="MHD2" s="8"/>
      <c r="MHE2" s="8"/>
      <c r="MHF2" s="8"/>
      <c r="MHG2" s="8"/>
      <c r="MHH2" s="8"/>
      <c r="MHI2" s="8"/>
      <c r="MHJ2" s="8"/>
      <c r="MHK2" s="8"/>
      <c r="MHL2" s="8"/>
      <c r="MHM2" s="8"/>
      <c r="MHN2" s="8"/>
      <c r="MHO2" s="8"/>
      <c r="MHP2" s="8"/>
      <c r="MHQ2" s="8"/>
      <c r="MHR2" s="8"/>
      <c r="MHS2" s="8"/>
      <c r="MHT2" s="8"/>
      <c r="MHU2" s="8"/>
      <c r="MHV2" s="8"/>
      <c r="MHW2" s="8"/>
      <c r="MHX2" s="8"/>
      <c r="MHY2" s="8"/>
      <c r="MHZ2" s="8"/>
      <c r="MIA2" s="8"/>
      <c r="MIB2" s="8"/>
      <c r="MIC2" s="8"/>
      <c r="MID2" s="8"/>
      <c r="MIE2" s="8"/>
      <c r="MIF2" s="8"/>
      <c r="MIG2" s="8"/>
      <c r="MIH2" s="8"/>
      <c r="MII2" s="8"/>
      <c r="MIJ2" s="8"/>
      <c r="MIK2" s="8"/>
      <c r="MIL2" s="8"/>
      <c r="MIM2" s="8"/>
      <c r="MIN2" s="8"/>
      <c r="MIO2" s="8"/>
      <c r="MIP2" s="8"/>
      <c r="MIQ2" s="8"/>
      <c r="MIR2" s="8"/>
      <c r="MIS2" s="8"/>
      <c r="MIT2" s="8"/>
      <c r="MIU2" s="8"/>
      <c r="MIV2" s="8"/>
      <c r="MIW2" s="8"/>
      <c r="MIX2" s="8"/>
      <c r="MIY2" s="8"/>
      <c r="MIZ2" s="8"/>
      <c r="MJA2" s="8"/>
      <c r="MJB2" s="8"/>
      <c r="MJC2" s="8"/>
      <c r="MJD2" s="8"/>
      <c r="MJE2" s="8"/>
      <c r="MJF2" s="8"/>
      <c r="MJG2" s="8"/>
      <c r="MJH2" s="8"/>
      <c r="MJI2" s="8"/>
      <c r="MJJ2" s="8"/>
      <c r="MJK2" s="8"/>
      <c r="MJL2" s="8"/>
      <c r="MJM2" s="8"/>
      <c r="MJN2" s="8"/>
      <c r="MJO2" s="8"/>
      <c r="MJP2" s="8"/>
      <c r="MJQ2" s="8"/>
      <c r="MJR2" s="8"/>
      <c r="MJS2" s="8"/>
      <c r="MJT2" s="8"/>
      <c r="MJU2" s="8"/>
      <c r="MJV2" s="8"/>
      <c r="MJW2" s="8"/>
      <c r="MJX2" s="8"/>
      <c r="MJY2" s="8"/>
      <c r="MJZ2" s="8"/>
      <c r="MKA2" s="8"/>
      <c r="MKB2" s="8"/>
      <c r="MKC2" s="8"/>
      <c r="MKD2" s="8"/>
      <c r="MKE2" s="8"/>
      <c r="MKF2" s="8"/>
      <c r="MKG2" s="8"/>
      <c r="MKH2" s="8"/>
      <c r="MKI2" s="8"/>
      <c r="MKJ2" s="8"/>
      <c r="MKK2" s="8"/>
      <c r="MKL2" s="8"/>
      <c r="MKM2" s="8"/>
      <c r="MKN2" s="8"/>
      <c r="MKO2" s="8"/>
      <c r="MKP2" s="8"/>
      <c r="MKQ2" s="8"/>
      <c r="MKR2" s="8"/>
      <c r="MKS2" s="8"/>
      <c r="MKT2" s="8"/>
      <c r="MKU2" s="8"/>
      <c r="MKV2" s="8"/>
      <c r="MKW2" s="8"/>
      <c r="MKX2" s="8"/>
      <c r="MKY2" s="8"/>
      <c r="MKZ2" s="8"/>
      <c r="MLA2" s="8"/>
      <c r="MLB2" s="8"/>
      <c r="MLC2" s="8"/>
      <c r="MLD2" s="8"/>
      <c r="MLE2" s="8"/>
      <c r="MLF2" s="8"/>
      <c r="MLG2" s="8"/>
      <c r="MLH2" s="8"/>
      <c r="MLI2" s="8"/>
      <c r="MLJ2" s="8"/>
      <c r="MLK2" s="8"/>
      <c r="MLL2" s="8"/>
      <c r="MLM2" s="8"/>
      <c r="MLN2" s="8"/>
      <c r="MLO2" s="8"/>
      <c r="MLP2" s="8"/>
      <c r="MLQ2" s="8"/>
      <c r="MLR2" s="8"/>
      <c r="MLS2" s="8"/>
      <c r="MLT2" s="8"/>
      <c r="MLU2" s="8"/>
      <c r="MLV2" s="8"/>
      <c r="MLW2" s="8"/>
      <c r="MLX2" s="8"/>
      <c r="MLY2" s="8"/>
      <c r="MLZ2" s="8"/>
      <c r="MMA2" s="8"/>
      <c r="MMB2" s="8"/>
      <c r="MMC2" s="8"/>
      <c r="MMD2" s="8"/>
      <c r="MME2" s="8"/>
      <c r="MMF2" s="8"/>
      <c r="MMG2" s="8"/>
      <c r="MMH2" s="8"/>
      <c r="MMI2" s="8"/>
      <c r="MMJ2" s="8"/>
      <c r="MMK2" s="8"/>
      <c r="MML2" s="8"/>
      <c r="MMM2" s="8"/>
      <c r="MMN2" s="8"/>
      <c r="MMO2" s="8"/>
      <c r="MMP2" s="8"/>
      <c r="MMQ2" s="8"/>
      <c r="MMR2" s="8"/>
      <c r="MMS2" s="8"/>
      <c r="MMT2" s="8"/>
      <c r="MMU2" s="8"/>
      <c r="MMV2" s="8"/>
      <c r="MMW2" s="8"/>
      <c r="MMX2" s="8"/>
      <c r="MMY2" s="8"/>
      <c r="MMZ2" s="8"/>
      <c r="MNA2" s="8"/>
      <c r="MNB2" s="8"/>
      <c r="MNC2" s="8"/>
      <c r="MND2" s="8"/>
      <c r="MNE2" s="8"/>
      <c r="MNF2" s="8"/>
      <c r="MNG2" s="8"/>
      <c r="MNH2" s="8"/>
      <c r="MNI2" s="8"/>
      <c r="MNJ2" s="8"/>
      <c r="MNK2" s="8"/>
      <c r="MNL2" s="8"/>
      <c r="MNM2" s="8"/>
      <c r="MNN2" s="8"/>
      <c r="MNO2" s="8"/>
      <c r="MNP2" s="8"/>
      <c r="MNQ2" s="8"/>
      <c r="MNR2" s="8"/>
      <c r="MNS2" s="8"/>
      <c r="MNT2" s="8"/>
      <c r="MNU2" s="8"/>
      <c r="MNV2" s="8"/>
      <c r="MNW2" s="8"/>
      <c r="MNX2" s="8"/>
      <c r="MNY2" s="8"/>
      <c r="MNZ2" s="8"/>
      <c r="MOA2" s="8"/>
      <c r="MOB2" s="8"/>
      <c r="MOC2" s="8"/>
      <c r="MOD2" s="8"/>
      <c r="MOE2" s="8"/>
      <c r="MOF2" s="8"/>
      <c r="MOG2" s="8"/>
      <c r="MOH2" s="8"/>
      <c r="MOI2" s="8"/>
      <c r="MOJ2" s="8"/>
      <c r="MOK2" s="8"/>
      <c r="MOL2" s="8"/>
      <c r="MOM2" s="8"/>
      <c r="MON2" s="8"/>
      <c r="MOO2" s="8"/>
      <c r="MOP2" s="8"/>
      <c r="MOQ2" s="8"/>
      <c r="MOR2" s="8"/>
      <c r="MOS2" s="8"/>
      <c r="MOT2" s="8"/>
      <c r="MOU2" s="8"/>
      <c r="MOV2" s="8"/>
      <c r="MOW2" s="8"/>
      <c r="MOX2" s="8"/>
      <c r="MOY2" s="8"/>
      <c r="MOZ2" s="8"/>
      <c r="MPA2" s="8"/>
      <c r="MPB2" s="8"/>
      <c r="MPC2" s="8"/>
      <c r="MPD2" s="8"/>
      <c r="MPE2" s="8"/>
      <c r="MPF2" s="8"/>
      <c r="MPG2" s="8"/>
      <c r="MPH2" s="8"/>
      <c r="MPI2" s="8"/>
      <c r="MPJ2" s="8"/>
      <c r="MPK2" s="8"/>
      <c r="MPL2" s="8"/>
      <c r="MPM2" s="8"/>
      <c r="MPN2" s="8"/>
      <c r="MPO2" s="8"/>
      <c r="MPP2" s="8"/>
      <c r="MPQ2" s="8"/>
      <c r="MPR2" s="8"/>
      <c r="MPS2" s="8"/>
      <c r="MPT2" s="8"/>
      <c r="MPU2" s="8"/>
      <c r="MPV2" s="8"/>
      <c r="MPW2" s="8"/>
      <c r="MPX2" s="8"/>
      <c r="MPY2" s="8"/>
      <c r="MPZ2" s="8"/>
      <c r="MQA2" s="8"/>
      <c r="MQB2" s="8"/>
      <c r="MQC2" s="8"/>
      <c r="MQD2" s="8"/>
      <c r="MQE2" s="8"/>
      <c r="MQF2" s="8"/>
      <c r="MQG2" s="8"/>
      <c r="MQH2" s="8"/>
      <c r="MQI2" s="8"/>
      <c r="MQJ2" s="8"/>
      <c r="MQK2" s="8"/>
      <c r="MQL2" s="8"/>
      <c r="MQM2" s="8"/>
      <c r="MQN2" s="8"/>
      <c r="MQO2" s="8"/>
      <c r="MQP2" s="8"/>
      <c r="MQQ2" s="8"/>
      <c r="MQR2" s="8"/>
      <c r="MQS2" s="8"/>
      <c r="MQT2" s="8"/>
      <c r="MQU2" s="8"/>
      <c r="MQV2" s="8"/>
      <c r="MQW2" s="8"/>
      <c r="MQX2" s="8"/>
      <c r="MQY2" s="8"/>
      <c r="MQZ2" s="8"/>
      <c r="MRA2" s="8"/>
      <c r="MRB2" s="8"/>
      <c r="MRC2" s="8"/>
      <c r="MRD2" s="8"/>
      <c r="MRE2" s="8"/>
      <c r="MRF2" s="8"/>
      <c r="MRG2" s="8"/>
      <c r="MRH2" s="8"/>
      <c r="MRI2" s="8"/>
      <c r="MRJ2" s="8"/>
      <c r="MRK2" s="8"/>
      <c r="MRL2" s="8"/>
      <c r="MRM2" s="8"/>
      <c r="MRN2" s="8"/>
      <c r="MRO2" s="8"/>
      <c r="MRP2" s="8"/>
      <c r="MRQ2" s="8"/>
      <c r="MRR2" s="8"/>
      <c r="MRS2" s="8"/>
      <c r="MRT2" s="8"/>
      <c r="MRU2" s="8"/>
      <c r="MRV2" s="8"/>
      <c r="MRW2" s="8"/>
      <c r="MRX2" s="8"/>
      <c r="MRY2" s="8"/>
      <c r="MRZ2" s="8"/>
      <c r="MSA2" s="8"/>
      <c r="MSB2" s="8"/>
      <c r="MSC2" s="8"/>
      <c r="MSD2" s="8"/>
      <c r="MSE2" s="8"/>
      <c r="MSF2" s="8"/>
      <c r="MSG2" s="8"/>
      <c r="MSH2" s="8"/>
      <c r="MSI2" s="8"/>
      <c r="MSJ2" s="8"/>
      <c r="MSK2" s="8"/>
      <c r="MSL2" s="8"/>
      <c r="MSM2" s="8"/>
      <c r="MSN2" s="8"/>
      <c r="MSO2" s="8"/>
      <c r="MSP2" s="8"/>
      <c r="MSQ2" s="8"/>
      <c r="MSR2" s="8"/>
      <c r="MSS2" s="8"/>
      <c r="MST2" s="8"/>
      <c r="MSU2" s="8"/>
      <c r="MSV2" s="8"/>
      <c r="MSW2" s="8"/>
      <c r="MSX2" s="8"/>
      <c r="MSY2" s="8"/>
      <c r="MSZ2" s="8"/>
      <c r="MTA2" s="8"/>
      <c r="MTB2" s="8"/>
      <c r="MTC2" s="8"/>
      <c r="MTD2" s="8"/>
      <c r="MTE2" s="8"/>
      <c r="MTF2" s="8"/>
      <c r="MTG2" s="8"/>
      <c r="MTH2" s="8"/>
      <c r="MTI2" s="8"/>
      <c r="MTJ2" s="8"/>
      <c r="MTK2" s="8"/>
      <c r="MTL2" s="8"/>
      <c r="MTM2" s="8"/>
      <c r="MTN2" s="8"/>
      <c r="MTO2" s="8"/>
      <c r="MTP2" s="8"/>
      <c r="MTQ2" s="8"/>
      <c r="MTR2" s="8"/>
      <c r="MTS2" s="8"/>
      <c r="MTT2" s="8"/>
      <c r="MTU2" s="8"/>
      <c r="MTV2" s="8"/>
      <c r="MTW2" s="8"/>
      <c r="MTX2" s="8"/>
      <c r="MTY2" s="8"/>
      <c r="MTZ2" s="8"/>
      <c r="MUA2" s="8"/>
      <c r="MUB2" s="8"/>
      <c r="MUC2" s="8"/>
      <c r="MUD2" s="8"/>
      <c r="MUE2" s="8"/>
      <c r="MUF2" s="8"/>
      <c r="MUG2" s="8"/>
      <c r="MUH2" s="8"/>
      <c r="MUI2" s="8"/>
      <c r="MUJ2" s="8"/>
      <c r="MUK2" s="8"/>
      <c r="MUL2" s="8"/>
      <c r="MUM2" s="8"/>
      <c r="MUN2" s="8"/>
      <c r="MUO2" s="8"/>
      <c r="MUP2" s="8"/>
      <c r="MUQ2" s="8"/>
      <c r="MUR2" s="8"/>
      <c r="MUS2" s="8"/>
      <c r="MUT2" s="8"/>
      <c r="MUU2" s="8"/>
      <c r="MUV2" s="8"/>
      <c r="MUW2" s="8"/>
      <c r="MUX2" s="8"/>
      <c r="MUY2" s="8"/>
      <c r="MUZ2" s="8"/>
      <c r="MVA2" s="8"/>
      <c r="MVB2" s="8"/>
      <c r="MVC2" s="8"/>
      <c r="MVD2" s="8"/>
      <c r="MVE2" s="8"/>
      <c r="MVF2" s="8"/>
      <c r="MVG2" s="8"/>
      <c r="MVH2" s="8"/>
      <c r="MVI2" s="8"/>
      <c r="MVJ2" s="8"/>
      <c r="MVK2" s="8"/>
      <c r="MVL2" s="8"/>
      <c r="MVM2" s="8"/>
      <c r="MVN2" s="8"/>
      <c r="MVO2" s="8"/>
      <c r="MVP2" s="8"/>
      <c r="MVQ2" s="8"/>
      <c r="MVR2" s="8"/>
      <c r="MVS2" s="8"/>
      <c r="MVT2" s="8"/>
      <c r="MVU2" s="8"/>
      <c r="MVV2" s="8"/>
      <c r="MVW2" s="8"/>
      <c r="MVX2" s="8"/>
      <c r="MVY2" s="8"/>
      <c r="MVZ2" s="8"/>
      <c r="MWA2" s="8"/>
      <c r="MWB2" s="8"/>
      <c r="MWC2" s="8"/>
      <c r="MWD2" s="8"/>
      <c r="MWE2" s="8"/>
      <c r="MWF2" s="8"/>
      <c r="MWG2" s="8"/>
      <c r="MWH2" s="8"/>
      <c r="MWI2" s="8"/>
      <c r="MWJ2" s="8"/>
      <c r="MWK2" s="8"/>
      <c r="MWL2" s="8"/>
      <c r="MWM2" s="8"/>
      <c r="MWN2" s="8"/>
      <c r="MWO2" s="8"/>
      <c r="MWP2" s="8"/>
      <c r="MWQ2" s="8"/>
      <c r="MWR2" s="8"/>
      <c r="MWS2" s="8"/>
      <c r="MWT2" s="8"/>
      <c r="MWU2" s="8"/>
      <c r="MWV2" s="8"/>
      <c r="MWW2" s="8"/>
      <c r="MWX2" s="8"/>
      <c r="MWY2" s="8"/>
      <c r="MWZ2" s="8"/>
      <c r="MXA2" s="8"/>
      <c r="MXB2" s="8"/>
      <c r="MXC2" s="8"/>
      <c r="MXD2" s="8"/>
      <c r="MXE2" s="8"/>
      <c r="MXF2" s="8"/>
      <c r="MXG2" s="8"/>
      <c r="MXH2" s="8"/>
      <c r="MXI2" s="8"/>
      <c r="MXJ2" s="8"/>
      <c r="MXK2" s="8"/>
      <c r="MXL2" s="8"/>
      <c r="MXM2" s="8"/>
      <c r="MXN2" s="8"/>
      <c r="MXO2" s="8"/>
      <c r="MXP2" s="8"/>
      <c r="MXQ2" s="8"/>
      <c r="MXR2" s="8"/>
      <c r="MXS2" s="8"/>
      <c r="MXT2" s="8"/>
      <c r="MXU2" s="8"/>
      <c r="MXV2" s="8"/>
      <c r="MXW2" s="8"/>
      <c r="MXX2" s="8"/>
      <c r="MXY2" s="8"/>
      <c r="MXZ2" s="8"/>
      <c r="MYA2" s="8"/>
      <c r="MYB2" s="8"/>
      <c r="MYC2" s="8"/>
      <c r="MYD2" s="8"/>
      <c r="MYE2" s="8"/>
      <c r="MYF2" s="8"/>
      <c r="MYG2" s="8"/>
      <c r="MYH2" s="8"/>
      <c r="MYI2" s="8"/>
      <c r="MYJ2" s="8"/>
      <c r="MYK2" s="8"/>
      <c r="MYL2" s="8"/>
      <c r="MYM2" s="8"/>
      <c r="MYN2" s="8"/>
      <c r="MYO2" s="8"/>
      <c r="MYP2" s="8"/>
      <c r="MYQ2" s="8"/>
      <c r="MYR2" s="8"/>
      <c r="MYS2" s="8"/>
      <c r="MYT2" s="8"/>
      <c r="MYU2" s="8"/>
      <c r="MYV2" s="8"/>
      <c r="MYW2" s="8"/>
      <c r="MYX2" s="8"/>
      <c r="MYY2" s="8"/>
      <c r="MYZ2" s="8"/>
      <c r="MZA2" s="8"/>
      <c r="MZB2" s="8"/>
      <c r="MZC2" s="8"/>
      <c r="MZD2" s="8"/>
      <c r="MZE2" s="8"/>
      <c r="MZF2" s="8"/>
      <c r="MZG2" s="8"/>
      <c r="MZH2" s="8"/>
      <c r="MZI2" s="8"/>
      <c r="MZJ2" s="8"/>
      <c r="MZK2" s="8"/>
      <c r="MZL2" s="8"/>
      <c r="MZM2" s="8"/>
      <c r="MZN2" s="8"/>
      <c r="MZO2" s="8"/>
      <c r="MZP2" s="8"/>
      <c r="MZQ2" s="8"/>
      <c r="MZR2" s="8"/>
      <c r="MZS2" s="8"/>
      <c r="MZT2" s="8"/>
      <c r="MZU2" s="8"/>
      <c r="MZV2" s="8"/>
      <c r="MZW2" s="8"/>
      <c r="MZX2" s="8"/>
      <c r="MZY2" s="8"/>
      <c r="MZZ2" s="8"/>
      <c r="NAA2" s="8"/>
      <c r="NAB2" s="8"/>
      <c r="NAC2" s="8"/>
      <c r="NAD2" s="8"/>
      <c r="NAE2" s="8"/>
      <c r="NAF2" s="8"/>
      <c r="NAG2" s="8"/>
      <c r="NAH2" s="8"/>
      <c r="NAI2" s="8"/>
      <c r="NAJ2" s="8"/>
      <c r="NAK2" s="8"/>
      <c r="NAL2" s="8"/>
      <c r="NAM2" s="8"/>
      <c r="NAN2" s="8"/>
      <c r="NAO2" s="8"/>
      <c r="NAP2" s="8"/>
      <c r="NAQ2" s="8"/>
      <c r="NAR2" s="8"/>
      <c r="NAS2" s="8"/>
      <c r="NAT2" s="8"/>
      <c r="NAU2" s="8"/>
      <c r="NAV2" s="8"/>
      <c r="NAW2" s="8"/>
      <c r="NAX2" s="8"/>
      <c r="NAY2" s="8"/>
      <c r="NAZ2" s="8"/>
      <c r="NBA2" s="8"/>
      <c r="NBB2" s="8"/>
      <c r="NBC2" s="8"/>
      <c r="NBD2" s="8"/>
      <c r="NBE2" s="8"/>
      <c r="NBF2" s="8"/>
      <c r="NBG2" s="8"/>
      <c r="NBH2" s="8"/>
      <c r="NBI2" s="8"/>
      <c r="NBJ2" s="8"/>
      <c r="NBK2" s="8"/>
      <c r="NBL2" s="8"/>
      <c r="NBM2" s="8"/>
      <c r="NBN2" s="8"/>
      <c r="NBO2" s="8"/>
      <c r="NBP2" s="8"/>
      <c r="NBQ2" s="8"/>
      <c r="NBR2" s="8"/>
      <c r="NBS2" s="8"/>
      <c r="NBT2" s="8"/>
      <c r="NBU2" s="8"/>
      <c r="NBV2" s="8"/>
      <c r="NBW2" s="8"/>
      <c r="NBX2" s="8"/>
      <c r="NBY2" s="8"/>
      <c r="NBZ2" s="8"/>
      <c r="NCA2" s="8"/>
      <c r="NCB2" s="8"/>
      <c r="NCC2" s="8"/>
      <c r="NCD2" s="8"/>
      <c r="NCE2" s="8"/>
      <c r="NCF2" s="8"/>
      <c r="NCG2" s="8"/>
      <c r="NCH2" s="8"/>
      <c r="NCI2" s="8"/>
      <c r="NCJ2" s="8"/>
      <c r="NCK2" s="8"/>
      <c r="NCL2" s="8"/>
      <c r="NCM2" s="8"/>
      <c r="NCN2" s="8"/>
      <c r="NCO2" s="8"/>
      <c r="NCP2" s="8"/>
      <c r="NCQ2" s="8"/>
      <c r="NCR2" s="8"/>
      <c r="NCS2" s="8"/>
      <c r="NCT2" s="8"/>
      <c r="NCU2" s="8"/>
      <c r="NCV2" s="8"/>
      <c r="NCW2" s="8"/>
      <c r="NCX2" s="8"/>
      <c r="NCY2" s="8"/>
      <c r="NCZ2" s="8"/>
      <c r="NDA2" s="8"/>
      <c r="NDB2" s="8"/>
      <c r="NDC2" s="8"/>
      <c r="NDD2" s="8"/>
      <c r="NDE2" s="8"/>
      <c r="NDF2" s="8"/>
      <c r="NDG2" s="8"/>
      <c r="NDH2" s="8"/>
      <c r="NDI2" s="8"/>
      <c r="NDJ2" s="8"/>
      <c r="NDK2" s="8"/>
      <c r="NDL2" s="8"/>
      <c r="NDM2" s="8"/>
      <c r="NDN2" s="8"/>
      <c r="NDO2" s="8"/>
      <c r="NDP2" s="8"/>
      <c r="NDQ2" s="8"/>
      <c r="NDR2" s="8"/>
      <c r="NDS2" s="8"/>
      <c r="NDT2" s="8"/>
      <c r="NDU2" s="8"/>
      <c r="NDV2" s="8"/>
      <c r="NDW2" s="8"/>
      <c r="NDX2" s="8"/>
      <c r="NDY2" s="8"/>
      <c r="NDZ2" s="8"/>
      <c r="NEA2" s="8"/>
      <c r="NEB2" s="8"/>
      <c r="NEC2" s="8"/>
      <c r="NED2" s="8"/>
      <c r="NEE2" s="8"/>
      <c r="NEF2" s="8"/>
      <c r="NEG2" s="8"/>
      <c r="NEH2" s="8"/>
      <c r="NEI2" s="8"/>
      <c r="NEJ2" s="8"/>
      <c r="NEK2" s="8"/>
      <c r="NEL2" s="8"/>
      <c r="NEM2" s="8"/>
      <c r="NEN2" s="8"/>
      <c r="NEO2" s="8"/>
      <c r="NEP2" s="8"/>
      <c r="NEQ2" s="8"/>
      <c r="NER2" s="8"/>
      <c r="NES2" s="8"/>
      <c r="NET2" s="8"/>
      <c r="NEU2" s="8"/>
      <c r="NEV2" s="8"/>
      <c r="NEW2" s="8"/>
      <c r="NEX2" s="8"/>
      <c r="NEY2" s="8"/>
      <c r="NEZ2" s="8"/>
      <c r="NFA2" s="8"/>
      <c r="NFB2" s="8"/>
      <c r="NFC2" s="8"/>
      <c r="NFD2" s="8"/>
      <c r="NFE2" s="8"/>
      <c r="NFF2" s="8"/>
      <c r="NFG2" s="8"/>
      <c r="NFH2" s="8"/>
      <c r="NFI2" s="8"/>
      <c r="NFJ2" s="8"/>
      <c r="NFK2" s="8"/>
      <c r="NFL2" s="8"/>
      <c r="NFM2" s="8"/>
      <c r="NFN2" s="8"/>
      <c r="NFO2" s="8"/>
      <c r="NFP2" s="8"/>
      <c r="NFQ2" s="8"/>
      <c r="NFR2" s="8"/>
      <c r="NFS2" s="8"/>
      <c r="NFT2" s="8"/>
      <c r="NFU2" s="8"/>
      <c r="NFV2" s="8"/>
      <c r="NFW2" s="8"/>
      <c r="NFX2" s="8"/>
      <c r="NFY2" s="8"/>
      <c r="NFZ2" s="8"/>
      <c r="NGA2" s="8"/>
      <c r="NGB2" s="8"/>
      <c r="NGC2" s="8"/>
      <c r="NGD2" s="8"/>
      <c r="NGE2" s="8"/>
      <c r="NGF2" s="8"/>
      <c r="NGG2" s="8"/>
      <c r="NGH2" s="8"/>
      <c r="NGI2" s="8"/>
      <c r="NGJ2" s="8"/>
      <c r="NGK2" s="8"/>
      <c r="NGL2" s="8"/>
      <c r="NGM2" s="8"/>
      <c r="NGN2" s="8"/>
      <c r="NGO2" s="8"/>
      <c r="NGP2" s="8"/>
      <c r="NGQ2" s="8"/>
      <c r="NGR2" s="8"/>
      <c r="NGS2" s="8"/>
      <c r="NGT2" s="8"/>
      <c r="NGU2" s="8"/>
      <c r="NGV2" s="8"/>
      <c r="NGW2" s="8"/>
      <c r="NGX2" s="8"/>
      <c r="NGY2" s="8"/>
      <c r="NGZ2" s="8"/>
      <c r="NHA2" s="8"/>
      <c r="NHB2" s="8"/>
      <c r="NHC2" s="8"/>
      <c r="NHD2" s="8"/>
      <c r="NHE2" s="8"/>
      <c r="NHF2" s="8"/>
      <c r="NHG2" s="8"/>
      <c r="NHH2" s="8"/>
      <c r="NHI2" s="8"/>
      <c r="NHJ2" s="8"/>
      <c r="NHK2" s="8"/>
      <c r="NHL2" s="8"/>
      <c r="NHM2" s="8"/>
      <c r="NHN2" s="8"/>
      <c r="NHO2" s="8"/>
      <c r="NHP2" s="8"/>
      <c r="NHQ2" s="8"/>
      <c r="NHR2" s="8"/>
      <c r="NHS2" s="8"/>
      <c r="NHT2" s="8"/>
      <c r="NHU2" s="8"/>
      <c r="NHV2" s="8"/>
      <c r="NHW2" s="8"/>
      <c r="NHX2" s="8"/>
      <c r="NHY2" s="8"/>
      <c r="NHZ2" s="8"/>
      <c r="NIA2" s="8"/>
      <c r="NIB2" s="8"/>
      <c r="NIC2" s="8"/>
      <c r="NID2" s="8"/>
      <c r="NIE2" s="8"/>
      <c r="NIF2" s="8"/>
      <c r="NIG2" s="8"/>
      <c r="NIH2" s="8"/>
      <c r="NII2" s="8"/>
      <c r="NIJ2" s="8"/>
      <c r="NIK2" s="8"/>
      <c r="NIL2" s="8"/>
      <c r="NIM2" s="8"/>
      <c r="NIN2" s="8"/>
      <c r="NIO2" s="8"/>
      <c r="NIP2" s="8"/>
      <c r="NIQ2" s="8"/>
      <c r="NIR2" s="8"/>
      <c r="NIS2" s="8"/>
      <c r="NIT2" s="8"/>
      <c r="NIU2" s="8"/>
      <c r="NIV2" s="8"/>
      <c r="NIW2" s="8"/>
      <c r="NIX2" s="8"/>
      <c r="NIY2" s="8"/>
      <c r="NIZ2" s="8"/>
      <c r="NJA2" s="8"/>
      <c r="NJB2" s="8"/>
      <c r="NJC2" s="8"/>
      <c r="NJD2" s="8"/>
      <c r="NJE2" s="8"/>
      <c r="NJF2" s="8"/>
      <c r="NJG2" s="8"/>
      <c r="NJH2" s="8"/>
      <c r="NJI2" s="8"/>
      <c r="NJJ2" s="8"/>
      <c r="NJK2" s="8"/>
      <c r="NJL2" s="8"/>
      <c r="NJM2" s="8"/>
      <c r="NJN2" s="8"/>
      <c r="NJO2" s="8"/>
      <c r="NJP2" s="8"/>
      <c r="NJQ2" s="8"/>
      <c r="NJR2" s="8"/>
      <c r="NJS2" s="8"/>
      <c r="NJT2" s="8"/>
      <c r="NJU2" s="8"/>
      <c r="NJV2" s="8"/>
      <c r="NJW2" s="8"/>
      <c r="NJX2" s="8"/>
      <c r="NJY2" s="8"/>
      <c r="NJZ2" s="8"/>
      <c r="NKA2" s="8"/>
      <c r="NKB2" s="8"/>
      <c r="NKC2" s="8"/>
      <c r="NKD2" s="8"/>
      <c r="NKE2" s="8"/>
      <c r="NKF2" s="8"/>
      <c r="NKG2" s="8"/>
      <c r="NKH2" s="8"/>
      <c r="NKI2" s="8"/>
      <c r="NKJ2" s="8"/>
      <c r="NKK2" s="8"/>
      <c r="NKL2" s="8"/>
      <c r="NKM2" s="8"/>
      <c r="NKN2" s="8"/>
      <c r="NKO2" s="8"/>
      <c r="NKP2" s="8"/>
      <c r="NKQ2" s="8"/>
      <c r="NKR2" s="8"/>
      <c r="NKS2" s="8"/>
      <c r="NKT2" s="8"/>
      <c r="NKU2" s="8"/>
      <c r="NKV2" s="8"/>
      <c r="NKW2" s="8"/>
      <c r="NKX2" s="8"/>
      <c r="NKY2" s="8"/>
      <c r="NKZ2" s="8"/>
      <c r="NLA2" s="8"/>
      <c r="NLB2" s="8"/>
      <c r="NLC2" s="8"/>
      <c r="NLD2" s="8"/>
      <c r="NLE2" s="8"/>
      <c r="NLF2" s="8"/>
      <c r="NLG2" s="8"/>
      <c r="NLH2" s="8"/>
      <c r="NLI2" s="8"/>
      <c r="NLJ2" s="8"/>
      <c r="NLK2" s="8"/>
      <c r="NLL2" s="8"/>
      <c r="NLM2" s="8"/>
      <c r="NLN2" s="8"/>
      <c r="NLO2" s="8"/>
      <c r="NLP2" s="8"/>
      <c r="NLQ2" s="8"/>
      <c r="NLR2" s="8"/>
      <c r="NLS2" s="8"/>
      <c r="NLT2" s="8"/>
      <c r="NLU2" s="8"/>
      <c r="NLV2" s="8"/>
      <c r="NLW2" s="8"/>
      <c r="NLX2" s="8"/>
      <c r="NLY2" s="8"/>
      <c r="NLZ2" s="8"/>
      <c r="NMA2" s="8"/>
      <c r="NMB2" s="8"/>
      <c r="NMC2" s="8"/>
      <c r="NMD2" s="8"/>
      <c r="NME2" s="8"/>
      <c r="NMF2" s="8"/>
      <c r="NMG2" s="8"/>
      <c r="NMH2" s="8"/>
      <c r="NMI2" s="8"/>
      <c r="NMJ2" s="8"/>
      <c r="NMK2" s="8"/>
      <c r="NML2" s="8"/>
      <c r="NMM2" s="8"/>
      <c r="NMN2" s="8"/>
      <c r="NMO2" s="8"/>
      <c r="NMP2" s="8"/>
      <c r="NMQ2" s="8"/>
      <c r="NMR2" s="8"/>
      <c r="NMS2" s="8"/>
      <c r="NMT2" s="8"/>
      <c r="NMU2" s="8"/>
      <c r="NMV2" s="8"/>
      <c r="NMW2" s="8"/>
      <c r="NMX2" s="8"/>
      <c r="NMY2" s="8"/>
      <c r="NMZ2" s="8"/>
      <c r="NNA2" s="8"/>
      <c r="NNB2" s="8"/>
      <c r="NNC2" s="8"/>
      <c r="NND2" s="8"/>
      <c r="NNE2" s="8"/>
      <c r="NNF2" s="8"/>
      <c r="NNG2" s="8"/>
      <c r="NNH2" s="8"/>
      <c r="NNI2" s="8"/>
      <c r="NNJ2" s="8"/>
      <c r="NNK2" s="8"/>
      <c r="NNL2" s="8"/>
      <c r="NNM2" s="8"/>
      <c r="NNN2" s="8"/>
      <c r="NNO2" s="8"/>
      <c r="NNP2" s="8"/>
      <c r="NNQ2" s="8"/>
      <c r="NNR2" s="8"/>
      <c r="NNS2" s="8"/>
      <c r="NNT2" s="8"/>
      <c r="NNU2" s="8"/>
      <c r="NNV2" s="8"/>
      <c r="NNW2" s="8"/>
      <c r="NNX2" s="8"/>
      <c r="NNY2" s="8"/>
      <c r="NNZ2" s="8"/>
      <c r="NOA2" s="8"/>
      <c r="NOB2" s="8"/>
      <c r="NOC2" s="8"/>
      <c r="NOD2" s="8"/>
      <c r="NOE2" s="8"/>
      <c r="NOF2" s="8"/>
      <c r="NOG2" s="8"/>
      <c r="NOH2" s="8"/>
      <c r="NOI2" s="8"/>
      <c r="NOJ2" s="8"/>
      <c r="NOK2" s="8"/>
      <c r="NOL2" s="8"/>
      <c r="NOM2" s="8"/>
      <c r="NON2" s="8"/>
      <c r="NOO2" s="8"/>
      <c r="NOP2" s="8"/>
      <c r="NOQ2" s="8"/>
      <c r="NOR2" s="8"/>
      <c r="NOS2" s="8"/>
      <c r="NOT2" s="8"/>
      <c r="NOU2" s="8"/>
      <c r="NOV2" s="8"/>
      <c r="NOW2" s="8"/>
      <c r="NOX2" s="8"/>
      <c r="NOY2" s="8"/>
      <c r="NOZ2" s="8"/>
      <c r="NPA2" s="8"/>
      <c r="NPB2" s="8"/>
      <c r="NPC2" s="8"/>
      <c r="NPD2" s="8"/>
      <c r="NPE2" s="8"/>
      <c r="NPF2" s="8"/>
      <c r="NPG2" s="8"/>
      <c r="NPH2" s="8"/>
      <c r="NPI2" s="8"/>
      <c r="NPJ2" s="8"/>
      <c r="NPK2" s="8"/>
      <c r="NPL2" s="8"/>
      <c r="NPM2" s="8"/>
      <c r="NPN2" s="8"/>
      <c r="NPO2" s="8"/>
      <c r="NPP2" s="8"/>
      <c r="NPQ2" s="8"/>
      <c r="NPR2" s="8"/>
      <c r="NPS2" s="8"/>
      <c r="NPT2" s="8"/>
      <c r="NPU2" s="8"/>
      <c r="NPV2" s="8"/>
      <c r="NPW2" s="8"/>
      <c r="NPX2" s="8"/>
      <c r="NPY2" s="8"/>
      <c r="NPZ2" s="8"/>
      <c r="NQA2" s="8"/>
      <c r="NQB2" s="8"/>
      <c r="NQC2" s="8"/>
      <c r="NQD2" s="8"/>
      <c r="NQE2" s="8"/>
      <c r="NQF2" s="8"/>
      <c r="NQG2" s="8"/>
      <c r="NQH2" s="8"/>
      <c r="NQI2" s="8"/>
      <c r="NQJ2" s="8"/>
      <c r="NQK2" s="8"/>
      <c r="NQL2" s="8"/>
      <c r="NQM2" s="8"/>
      <c r="NQN2" s="8"/>
      <c r="NQO2" s="8"/>
      <c r="NQP2" s="8"/>
      <c r="NQQ2" s="8"/>
      <c r="NQR2" s="8"/>
      <c r="NQS2" s="8"/>
      <c r="NQT2" s="8"/>
      <c r="NQU2" s="8"/>
      <c r="NQV2" s="8"/>
      <c r="NQW2" s="8"/>
      <c r="NQX2" s="8"/>
      <c r="NQY2" s="8"/>
      <c r="NQZ2" s="8"/>
      <c r="NRA2" s="8"/>
      <c r="NRB2" s="8"/>
      <c r="NRC2" s="8"/>
      <c r="NRD2" s="8"/>
      <c r="NRE2" s="8"/>
      <c r="NRF2" s="8"/>
      <c r="NRG2" s="8"/>
      <c r="NRH2" s="8"/>
      <c r="NRI2" s="8"/>
      <c r="NRJ2" s="8"/>
      <c r="NRK2" s="8"/>
      <c r="NRL2" s="8"/>
      <c r="NRM2" s="8"/>
      <c r="NRN2" s="8"/>
      <c r="NRO2" s="8"/>
      <c r="NRP2" s="8"/>
      <c r="NRQ2" s="8"/>
      <c r="NRR2" s="8"/>
      <c r="NRS2" s="8"/>
      <c r="NRT2" s="8"/>
      <c r="NRU2" s="8"/>
      <c r="NRV2" s="8"/>
      <c r="NRW2" s="8"/>
      <c r="NRX2" s="8"/>
      <c r="NRY2" s="8"/>
      <c r="NRZ2" s="8"/>
      <c r="NSA2" s="8"/>
      <c r="NSB2" s="8"/>
      <c r="NSC2" s="8"/>
      <c r="NSD2" s="8"/>
      <c r="NSE2" s="8"/>
      <c r="NSF2" s="8"/>
      <c r="NSG2" s="8"/>
      <c r="NSH2" s="8"/>
      <c r="NSI2" s="8"/>
      <c r="NSJ2" s="8"/>
      <c r="NSK2" s="8"/>
      <c r="NSL2" s="8"/>
      <c r="NSM2" s="8"/>
      <c r="NSN2" s="8"/>
      <c r="NSO2" s="8"/>
      <c r="NSP2" s="8"/>
      <c r="NSQ2" s="8"/>
      <c r="NSR2" s="8"/>
      <c r="NSS2" s="8"/>
      <c r="NST2" s="8"/>
      <c r="NSU2" s="8"/>
      <c r="NSV2" s="8"/>
      <c r="NSW2" s="8"/>
      <c r="NSX2" s="8"/>
      <c r="NSY2" s="8"/>
      <c r="NSZ2" s="8"/>
      <c r="NTA2" s="8"/>
      <c r="NTB2" s="8"/>
      <c r="NTC2" s="8"/>
      <c r="NTD2" s="8"/>
      <c r="NTE2" s="8"/>
      <c r="NTF2" s="8"/>
      <c r="NTG2" s="8"/>
      <c r="NTH2" s="8"/>
      <c r="NTI2" s="8"/>
      <c r="NTJ2" s="8"/>
      <c r="NTK2" s="8"/>
      <c r="NTL2" s="8"/>
      <c r="NTM2" s="8"/>
      <c r="NTN2" s="8"/>
      <c r="NTO2" s="8"/>
      <c r="NTP2" s="8"/>
      <c r="NTQ2" s="8"/>
      <c r="NTR2" s="8"/>
      <c r="NTS2" s="8"/>
      <c r="NTT2" s="8"/>
      <c r="NTU2" s="8"/>
      <c r="NTV2" s="8"/>
      <c r="NTW2" s="8"/>
      <c r="NTX2" s="8"/>
      <c r="NTY2" s="8"/>
      <c r="NTZ2" s="8"/>
      <c r="NUA2" s="8"/>
      <c r="NUB2" s="8"/>
      <c r="NUC2" s="8"/>
      <c r="NUD2" s="8"/>
      <c r="NUE2" s="8"/>
      <c r="NUF2" s="8"/>
      <c r="NUG2" s="8"/>
      <c r="NUH2" s="8"/>
      <c r="NUI2" s="8"/>
      <c r="NUJ2" s="8"/>
      <c r="NUK2" s="8"/>
      <c r="NUL2" s="8"/>
      <c r="NUM2" s="8"/>
      <c r="NUN2" s="8"/>
      <c r="NUO2" s="8"/>
      <c r="NUP2" s="8"/>
      <c r="NUQ2" s="8"/>
      <c r="NUR2" s="8"/>
      <c r="NUS2" s="8"/>
      <c r="NUT2" s="8"/>
      <c r="NUU2" s="8"/>
      <c r="NUV2" s="8"/>
      <c r="NUW2" s="8"/>
      <c r="NUX2" s="8"/>
      <c r="NUY2" s="8"/>
      <c r="NUZ2" s="8"/>
      <c r="NVA2" s="8"/>
      <c r="NVB2" s="8"/>
      <c r="NVC2" s="8"/>
      <c r="NVD2" s="8"/>
      <c r="NVE2" s="8"/>
      <c r="NVF2" s="8"/>
      <c r="NVG2" s="8"/>
      <c r="NVH2" s="8"/>
      <c r="NVI2" s="8"/>
      <c r="NVJ2" s="8"/>
      <c r="NVK2" s="8"/>
      <c r="NVL2" s="8"/>
      <c r="NVM2" s="8"/>
      <c r="NVN2" s="8"/>
      <c r="NVO2" s="8"/>
      <c r="NVP2" s="8"/>
      <c r="NVQ2" s="8"/>
      <c r="NVR2" s="8"/>
      <c r="NVS2" s="8"/>
      <c r="NVT2" s="8"/>
      <c r="NVU2" s="8"/>
      <c r="NVV2" s="8"/>
      <c r="NVW2" s="8"/>
      <c r="NVX2" s="8"/>
      <c r="NVY2" s="8"/>
      <c r="NVZ2" s="8"/>
      <c r="NWA2" s="8"/>
      <c r="NWB2" s="8"/>
      <c r="NWC2" s="8"/>
      <c r="NWD2" s="8"/>
      <c r="NWE2" s="8"/>
      <c r="NWF2" s="8"/>
      <c r="NWG2" s="8"/>
      <c r="NWH2" s="8"/>
      <c r="NWI2" s="8"/>
      <c r="NWJ2" s="8"/>
      <c r="NWK2" s="8"/>
      <c r="NWL2" s="8"/>
      <c r="NWM2" s="8"/>
      <c r="NWN2" s="8"/>
      <c r="NWO2" s="8"/>
      <c r="NWP2" s="8"/>
      <c r="NWQ2" s="8"/>
      <c r="NWR2" s="8"/>
      <c r="NWS2" s="8"/>
      <c r="NWT2" s="8"/>
      <c r="NWU2" s="8"/>
      <c r="NWV2" s="8"/>
      <c r="NWW2" s="8"/>
      <c r="NWX2" s="8"/>
      <c r="NWY2" s="8"/>
      <c r="NWZ2" s="8"/>
      <c r="NXA2" s="8"/>
      <c r="NXB2" s="8"/>
      <c r="NXC2" s="8"/>
      <c r="NXD2" s="8"/>
      <c r="NXE2" s="8"/>
      <c r="NXF2" s="8"/>
      <c r="NXG2" s="8"/>
      <c r="NXH2" s="8"/>
      <c r="NXI2" s="8"/>
      <c r="NXJ2" s="8"/>
      <c r="NXK2" s="8"/>
      <c r="NXL2" s="8"/>
      <c r="NXM2" s="8"/>
      <c r="NXN2" s="8"/>
      <c r="NXO2" s="8"/>
      <c r="NXP2" s="8"/>
      <c r="NXQ2" s="8"/>
      <c r="NXR2" s="8"/>
      <c r="NXS2" s="8"/>
      <c r="NXT2" s="8"/>
      <c r="NXU2" s="8"/>
      <c r="NXV2" s="8"/>
      <c r="NXW2" s="8"/>
      <c r="NXX2" s="8"/>
      <c r="NXY2" s="8"/>
      <c r="NXZ2" s="8"/>
      <c r="NYA2" s="8"/>
      <c r="NYB2" s="8"/>
      <c r="NYC2" s="8"/>
      <c r="NYD2" s="8"/>
      <c r="NYE2" s="8"/>
      <c r="NYF2" s="8"/>
      <c r="NYG2" s="8"/>
      <c r="NYH2" s="8"/>
      <c r="NYI2" s="8"/>
      <c r="NYJ2" s="8"/>
      <c r="NYK2" s="8"/>
      <c r="NYL2" s="8"/>
      <c r="NYM2" s="8"/>
      <c r="NYN2" s="8"/>
      <c r="NYO2" s="8"/>
      <c r="NYP2" s="8"/>
      <c r="NYQ2" s="8"/>
      <c r="NYR2" s="8"/>
      <c r="NYS2" s="8"/>
      <c r="NYT2" s="8"/>
      <c r="NYU2" s="8"/>
      <c r="NYV2" s="8"/>
      <c r="NYW2" s="8"/>
      <c r="NYX2" s="8"/>
      <c r="NYY2" s="8"/>
      <c r="NYZ2" s="8"/>
      <c r="NZA2" s="8"/>
      <c r="NZB2" s="8"/>
      <c r="NZC2" s="8"/>
      <c r="NZD2" s="8"/>
      <c r="NZE2" s="8"/>
      <c r="NZF2" s="8"/>
      <c r="NZG2" s="8"/>
      <c r="NZH2" s="8"/>
      <c r="NZI2" s="8"/>
      <c r="NZJ2" s="8"/>
      <c r="NZK2" s="8"/>
      <c r="NZL2" s="8"/>
      <c r="NZM2" s="8"/>
      <c r="NZN2" s="8"/>
      <c r="NZO2" s="8"/>
      <c r="NZP2" s="8"/>
      <c r="NZQ2" s="8"/>
      <c r="NZR2" s="8"/>
      <c r="NZS2" s="8"/>
      <c r="NZT2" s="8"/>
      <c r="NZU2" s="8"/>
      <c r="NZV2" s="8"/>
      <c r="NZW2" s="8"/>
      <c r="NZX2" s="8"/>
      <c r="NZY2" s="8"/>
      <c r="NZZ2" s="8"/>
      <c r="OAA2" s="8"/>
      <c r="OAB2" s="8"/>
      <c r="OAC2" s="8"/>
      <c r="OAD2" s="8"/>
      <c r="OAE2" s="8"/>
      <c r="OAF2" s="8"/>
      <c r="OAG2" s="8"/>
      <c r="OAH2" s="8"/>
      <c r="OAI2" s="8"/>
      <c r="OAJ2" s="8"/>
      <c r="OAK2" s="8"/>
      <c r="OAL2" s="8"/>
      <c r="OAM2" s="8"/>
      <c r="OAN2" s="8"/>
      <c r="OAO2" s="8"/>
      <c r="OAP2" s="8"/>
      <c r="OAQ2" s="8"/>
      <c r="OAR2" s="8"/>
      <c r="OAS2" s="8"/>
      <c r="OAT2" s="8"/>
      <c r="OAU2" s="8"/>
      <c r="OAV2" s="8"/>
      <c r="OAW2" s="8"/>
      <c r="OAX2" s="8"/>
      <c r="OAY2" s="8"/>
      <c r="OAZ2" s="8"/>
      <c r="OBA2" s="8"/>
      <c r="OBB2" s="8"/>
      <c r="OBC2" s="8"/>
      <c r="OBD2" s="8"/>
      <c r="OBE2" s="8"/>
      <c r="OBF2" s="8"/>
      <c r="OBG2" s="8"/>
      <c r="OBH2" s="8"/>
      <c r="OBI2" s="8"/>
      <c r="OBJ2" s="8"/>
      <c r="OBK2" s="8"/>
      <c r="OBL2" s="8"/>
      <c r="OBM2" s="8"/>
      <c r="OBN2" s="8"/>
      <c r="OBO2" s="8"/>
      <c r="OBP2" s="8"/>
      <c r="OBQ2" s="8"/>
      <c r="OBR2" s="8"/>
      <c r="OBS2" s="8"/>
      <c r="OBT2" s="8"/>
      <c r="OBU2" s="8"/>
      <c r="OBV2" s="8"/>
      <c r="OBW2" s="8"/>
      <c r="OBX2" s="8"/>
      <c r="OBY2" s="8"/>
      <c r="OBZ2" s="8"/>
      <c r="OCA2" s="8"/>
      <c r="OCB2" s="8"/>
      <c r="OCC2" s="8"/>
      <c r="OCD2" s="8"/>
      <c r="OCE2" s="8"/>
      <c r="OCF2" s="8"/>
      <c r="OCG2" s="8"/>
      <c r="OCH2" s="8"/>
      <c r="OCI2" s="8"/>
      <c r="OCJ2" s="8"/>
      <c r="OCK2" s="8"/>
      <c r="OCL2" s="8"/>
      <c r="OCM2" s="8"/>
      <c r="OCN2" s="8"/>
      <c r="OCO2" s="8"/>
      <c r="OCP2" s="8"/>
      <c r="OCQ2" s="8"/>
      <c r="OCR2" s="8"/>
      <c r="OCS2" s="8"/>
      <c r="OCT2" s="8"/>
      <c r="OCU2" s="8"/>
      <c r="OCV2" s="8"/>
      <c r="OCW2" s="8"/>
      <c r="OCX2" s="8"/>
      <c r="OCY2" s="8"/>
      <c r="OCZ2" s="8"/>
      <c r="ODA2" s="8"/>
      <c r="ODB2" s="8"/>
      <c r="ODC2" s="8"/>
      <c r="ODD2" s="8"/>
      <c r="ODE2" s="8"/>
      <c r="ODF2" s="8"/>
      <c r="ODG2" s="8"/>
      <c r="ODH2" s="8"/>
      <c r="ODI2" s="8"/>
      <c r="ODJ2" s="8"/>
      <c r="ODK2" s="8"/>
      <c r="ODL2" s="8"/>
      <c r="ODM2" s="8"/>
      <c r="ODN2" s="8"/>
      <c r="ODO2" s="8"/>
      <c r="ODP2" s="8"/>
      <c r="ODQ2" s="8"/>
      <c r="ODR2" s="8"/>
      <c r="ODS2" s="8"/>
      <c r="ODT2" s="8"/>
      <c r="ODU2" s="8"/>
      <c r="ODV2" s="8"/>
      <c r="ODW2" s="8"/>
      <c r="ODX2" s="8"/>
      <c r="ODY2" s="8"/>
      <c r="ODZ2" s="8"/>
      <c r="OEA2" s="8"/>
      <c r="OEB2" s="8"/>
      <c r="OEC2" s="8"/>
      <c r="OED2" s="8"/>
      <c r="OEE2" s="8"/>
      <c r="OEF2" s="8"/>
      <c r="OEG2" s="8"/>
      <c r="OEH2" s="8"/>
      <c r="OEI2" s="8"/>
      <c r="OEJ2" s="8"/>
      <c r="OEK2" s="8"/>
      <c r="OEL2" s="8"/>
      <c r="OEM2" s="8"/>
      <c r="OEN2" s="8"/>
      <c r="OEO2" s="8"/>
      <c r="OEP2" s="8"/>
      <c r="OEQ2" s="8"/>
      <c r="OER2" s="8"/>
      <c r="OES2" s="8"/>
      <c r="OET2" s="8"/>
      <c r="OEU2" s="8"/>
      <c r="OEV2" s="8"/>
      <c r="OEW2" s="8"/>
      <c r="OEX2" s="8"/>
      <c r="OEY2" s="8"/>
      <c r="OEZ2" s="8"/>
      <c r="OFA2" s="8"/>
      <c r="OFB2" s="8"/>
      <c r="OFC2" s="8"/>
      <c r="OFD2" s="8"/>
      <c r="OFE2" s="8"/>
      <c r="OFF2" s="8"/>
      <c r="OFG2" s="8"/>
      <c r="OFH2" s="8"/>
      <c r="OFI2" s="8"/>
      <c r="OFJ2" s="8"/>
      <c r="OFK2" s="8"/>
      <c r="OFL2" s="8"/>
      <c r="OFM2" s="8"/>
      <c r="OFN2" s="8"/>
      <c r="OFO2" s="8"/>
      <c r="OFP2" s="8"/>
      <c r="OFQ2" s="8"/>
      <c r="OFR2" s="8"/>
      <c r="OFS2" s="8"/>
      <c r="OFT2" s="8"/>
      <c r="OFU2" s="8"/>
      <c r="OFV2" s="8"/>
      <c r="OFW2" s="8"/>
      <c r="OFX2" s="8"/>
      <c r="OFY2" s="8"/>
      <c r="OFZ2" s="8"/>
      <c r="OGA2" s="8"/>
      <c r="OGB2" s="8"/>
      <c r="OGC2" s="8"/>
      <c r="OGD2" s="8"/>
      <c r="OGE2" s="8"/>
      <c r="OGF2" s="8"/>
      <c r="OGG2" s="8"/>
      <c r="OGH2" s="8"/>
      <c r="OGI2" s="8"/>
      <c r="OGJ2" s="8"/>
      <c r="OGK2" s="8"/>
      <c r="OGL2" s="8"/>
      <c r="OGM2" s="8"/>
      <c r="OGN2" s="8"/>
      <c r="OGO2" s="8"/>
      <c r="OGP2" s="8"/>
      <c r="OGQ2" s="8"/>
      <c r="OGR2" s="8"/>
      <c r="OGS2" s="8"/>
      <c r="OGT2" s="8"/>
      <c r="OGU2" s="8"/>
      <c r="OGV2" s="8"/>
      <c r="OGW2" s="8"/>
      <c r="OGX2" s="8"/>
      <c r="OGY2" s="8"/>
      <c r="OGZ2" s="8"/>
      <c r="OHA2" s="8"/>
      <c r="OHB2" s="8"/>
      <c r="OHC2" s="8"/>
      <c r="OHD2" s="8"/>
      <c r="OHE2" s="8"/>
      <c r="OHF2" s="8"/>
      <c r="OHG2" s="8"/>
      <c r="OHH2" s="8"/>
      <c r="OHI2" s="8"/>
      <c r="OHJ2" s="8"/>
      <c r="OHK2" s="8"/>
      <c r="OHL2" s="8"/>
      <c r="OHM2" s="8"/>
      <c r="OHN2" s="8"/>
      <c r="OHO2" s="8"/>
      <c r="OHP2" s="8"/>
      <c r="OHQ2" s="8"/>
      <c r="OHR2" s="8"/>
      <c r="OHS2" s="8"/>
      <c r="OHT2" s="8"/>
      <c r="OHU2" s="8"/>
      <c r="OHV2" s="8"/>
      <c r="OHW2" s="8"/>
      <c r="OHX2" s="8"/>
      <c r="OHY2" s="8"/>
      <c r="OHZ2" s="8"/>
      <c r="OIA2" s="8"/>
      <c r="OIB2" s="8"/>
      <c r="OIC2" s="8"/>
      <c r="OID2" s="8"/>
      <c r="OIE2" s="8"/>
      <c r="OIF2" s="8"/>
      <c r="OIG2" s="8"/>
      <c r="OIH2" s="8"/>
      <c r="OII2" s="8"/>
      <c r="OIJ2" s="8"/>
      <c r="OIK2" s="8"/>
      <c r="OIL2" s="8"/>
      <c r="OIM2" s="8"/>
      <c r="OIN2" s="8"/>
      <c r="OIO2" s="8"/>
      <c r="OIP2" s="8"/>
      <c r="OIQ2" s="8"/>
      <c r="OIR2" s="8"/>
      <c r="OIS2" s="8"/>
      <c r="OIT2" s="8"/>
      <c r="OIU2" s="8"/>
      <c r="OIV2" s="8"/>
      <c r="OIW2" s="8"/>
      <c r="OIX2" s="8"/>
      <c r="OIY2" s="8"/>
      <c r="OIZ2" s="8"/>
      <c r="OJA2" s="8"/>
      <c r="OJB2" s="8"/>
      <c r="OJC2" s="8"/>
      <c r="OJD2" s="8"/>
      <c r="OJE2" s="8"/>
      <c r="OJF2" s="8"/>
      <c r="OJG2" s="8"/>
      <c r="OJH2" s="8"/>
      <c r="OJI2" s="8"/>
      <c r="OJJ2" s="8"/>
      <c r="OJK2" s="8"/>
      <c r="OJL2" s="8"/>
      <c r="OJM2" s="8"/>
      <c r="OJN2" s="8"/>
      <c r="OJO2" s="8"/>
      <c r="OJP2" s="8"/>
      <c r="OJQ2" s="8"/>
      <c r="OJR2" s="8"/>
      <c r="OJS2" s="8"/>
      <c r="OJT2" s="8"/>
      <c r="OJU2" s="8"/>
      <c r="OJV2" s="8"/>
      <c r="OJW2" s="8"/>
      <c r="OJX2" s="8"/>
      <c r="OJY2" s="8"/>
      <c r="OJZ2" s="8"/>
      <c r="OKA2" s="8"/>
      <c r="OKB2" s="8"/>
      <c r="OKC2" s="8"/>
      <c r="OKD2" s="8"/>
      <c r="OKE2" s="8"/>
      <c r="OKF2" s="8"/>
      <c r="OKG2" s="8"/>
      <c r="OKH2" s="8"/>
      <c r="OKI2" s="8"/>
      <c r="OKJ2" s="8"/>
      <c r="OKK2" s="8"/>
      <c r="OKL2" s="8"/>
      <c r="OKM2" s="8"/>
      <c r="OKN2" s="8"/>
      <c r="OKO2" s="8"/>
      <c r="OKP2" s="8"/>
      <c r="OKQ2" s="8"/>
      <c r="OKR2" s="8"/>
      <c r="OKS2" s="8"/>
      <c r="OKT2" s="8"/>
      <c r="OKU2" s="8"/>
      <c r="OKV2" s="8"/>
      <c r="OKW2" s="8"/>
      <c r="OKX2" s="8"/>
      <c r="OKY2" s="8"/>
      <c r="OKZ2" s="8"/>
      <c r="OLA2" s="8"/>
      <c r="OLB2" s="8"/>
      <c r="OLC2" s="8"/>
      <c r="OLD2" s="8"/>
      <c r="OLE2" s="8"/>
      <c r="OLF2" s="8"/>
      <c r="OLG2" s="8"/>
      <c r="OLH2" s="8"/>
      <c r="OLI2" s="8"/>
      <c r="OLJ2" s="8"/>
      <c r="OLK2" s="8"/>
      <c r="OLL2" s="8"/>
      <c r="OLM2" s="8"/>
      <c r="OLN2" s="8"/>
      <c r="OLO2" s="8"/>
      <c r="OLP2" s="8"/>
      <c r="OLQ2" s="8"/>
      <c r="OLR2" s="8"/>
      <c r="OLS2" s="8"/>
      <c r="OLT2" s="8"/>
      <c r="OLU2" s="8"/>
      <c r="OLV2" s="8"/>
      <c r="OLW2" s="8"/>
      <c r="OLX2" s="8"/>
      <c r="OLY2" s="8"/>
      <c r="OLZ2" s="8"/>
      <c r="OMA2" s="8"/>
      <c r="OMB2" s="8"/>
      <c r="OMC2" s="8"/>
      <c r="OMD2" s="8"/>
      <c r="OME2" s="8"/>
      <c r="OMF2" s="8"/>
      <c r="OMG2" s="8"/>
      <c r="OMH2" s="8"/>
      <c r="OMI2" s="8"/>
      <c r="OMJ2" s="8"/>
      <c r="OMK2" s="8"/>
      <c r="OML2" s="8"/>
      <c r="OMM2" s="8"/>
      <c r="OMN2" s="8"/>
      <c r="OMO2" s="8"/>
      <c r="OMP2" s="8"/>
      <c r="OMQ2" s="8"/>
      <c r="OMR2" s="8"/>
      <c r="OMS2" s="8"/>
      <c r="OMT2" s="8"/>
      <c r="OMU2" s="8"/>
      <c r="OMV2" s="8"/>
      <c r="OMW2" s="8"/>
      <c r="OMX2" s="8"/>
      <c r="OMY2" s="8"/>
      <c r="OMZ2" s="8"/>
      <c r="ONA2" s="8"/>
      <c r="ONB2" s="8"/>
      <c r="ONC2" s="8"/>
      <c r="OND2" s="8"/>
      <c r="ONE2" s="8"/>
      <c r="ONF2" s="8"/>
      <c r="ONG2" s="8"/>
      <c r="ONH2" s="8"/>
      <c r="ONI2" s="8"/>
      <c r="ONJ2" s="8"/>
      <c r="ONK2" s="8"/>
      <c r="ONL2" s="8"/>
      <c r="ONM2" s="8"/>
      <c r="ONN2" s="8"/>
      <c r="ONO2" s="8"/>
      <c r="ONP2" s="8"/>
      <c r="ONQ2" s="8"/>
      <c r="ONR2" s="8"/>
      <c r="ONS2" s="8"/>
      <c r="ONT2" s="8"/>
      <c r="ONU2" s="8"/>
      <c r="ONV2" s="8"/>
      <c r="ONW2" s="8"/>
      <c r="ONX2" s="8"/>
      <c r="ONY2" s="8"/>
      <c r="ONZ2" s="8"/>
      <c r="OOA2" s="8"/>
      <c r="OOB2" s="8"/>
      <c r="OOC2" s="8"/>
      <c r="OOD2" s="8"/>
      <c r="OOE2" s="8"/>
      <c r="OOF2" s="8"/>
      <c r="OOG2" s="8"/>
      <c r="OOH2" s="8"/>
      <c r="OOI2" s="8"/>
      <c r="OOJ2" s="8"/>
      <c r="OOK2" s="8"/>
      <c r="OOL2" s="8"/>
      <c r="OOM2" s="8"/>
      <c r="OON2" s="8"/>
      <c r="OOO2" s="8"/>
      <c r="OOP2" s="8"/>
      <c r="OOQ2" s="8"/>
      <c r="OOR2" s="8"/>
      <c r="OOS2" s="8"/>
      <c r="OOT2" s="8"/>
      <c r="OOU2" s="8"/>
      <c r="OOV2" s="8"/>
      <c r="OOW2" s="8"/>
      <c r="OOX2" s="8"/>
      <c r="OOY2" s="8"/>
      <c r="OOZ2" s="8"/>
      <c r="OPA2" s="8"/>
      <c r="OPB2" s="8"/>
      <c r="OPC2" s="8"/>
      <c r="OPD2" s="8"/>
      <c r="OPE2" s="8"/>
      <c r="OPF2" s="8"/>
      <c r="OPG2" s="8"/>
      <c r="OPH2" s="8"/>
      <c r="OPI2" s="8"/>
      <c r="OPJ2" s="8"/>
      <c r="OPK2" s="8"/>
      <c r="OPL2" s="8"/>
      <c r="OPM2" s="8"/>
      <c r="OPN2" s="8"/>
      <c r="OPO2" s="8"/>
      <c r="OPP2" s="8"/>
      <c r="OPQ2" s="8"/>
      <c r="OPR2" s="8"/>
      <c r="OPS2" s="8"/>
      <c r="OPT2" s="8"/>
      <c r="OPU2" s="8"/>
      <c r="OPV2" s="8"/>
      <c r="OPW2" s="8"/>
      <c r="OPX2" s="8"/>
      <c r="OPY2" s="8"/>
      <c r="OPZ2" s="8"/>
      <c r="OQA2" s="8"/>
      <c r="OQB2" s="8"/>
      <c r="OQC2" s="8"/>
      <c r="OQD2" s="8"/>
      <c r="OQE2" s="8"/>
      <c r="OQF2" s="8"/>
      <c r="OQG2" s="8"/>
      <c r="OQH2" s="8"/>
      <c r="OQI2" s="8"/>
      <c r="OQJ2" s="8"/>
      <c r="OQK2" s="8"/>
      <c r="OQL2" s="8"/>
      <c r="OQM2" s="8"/>
      <c r="OQN2" s="8"/>
      <c r="OQO2" s="8"/>
      <c r="OQP2" s="8"/>
      <c r="OQQ2" s="8"/>
      <c r="OQR2" s="8"/>
      <c r="OQS2" s="8"/>
      <c r="OQT2" s="8"/>
      <c r="OQU2" s="8"/>
      <c r="OQV2" s="8"/>
      <c r="OQW2" s="8"/>
      <c r="OQX2" s="8"/>
      <c r="OQY2" s="8"/>
      <c r="OQZ2" s="8"/>
      <c r="ORA2" s="8"/>
      <c r="ORB2" s="8"/>
      <c r="ORC2" s="8"/>
      <c r="ORD2" s="8"/>
      <c r="ORE2" s="8"/>
      <c r="ORF2" s="8"/>
      <c r="ORG2" s="8"/>
      <c r="ORH2" s="8"/>
      <c r="ORI2" s="8"/>
      <c r="ORJ2" s="8"/>
      <c r="ORK2" s="8"/>
      <c r="ORL2" s="8"/>
      <c r="ORM2" s="8"/>
      <c r="ORN2" s="8"/>
      <c r="ORO2" s="8"/>
      <c r="ORP2" s="8"/>
      <c r="ORQ2" s="8"/>
      <c r="ORR2" s="8"/>
      <c r="ORS2" s="8"/>
      <c r="ORT2" s="8"/>
      <c r="ORU2" s="8"/>
      <c r="ORV2" s="8"/>
      <c r="ORW2" s="8"/>
      <c r="ORX2" s="8"/>
      <c r="ORY2" s="8"/>
      <c r="ORZ2" s="8"/>
      <c r="OSA2" s="8"/>
      <c r="OSB2" s="8"/>
      <c r="OSC2" s="8"/>
      <c r="OSD2" s="8"/>
      <c r="OSE2" s="8"/>
      <c r="OSF2" s="8"/>
      <c r="OSG2" s="8"/>
      <c r="OSH2" s="8"/>
      <c r="OSI2" s="8"/>
      <c r="OSJ2" s="8"/>
      <c r="OSK2" s="8"/>
      <c r="OSL2" s="8"/>
      <c r="OSM2" s="8"/>
      <c r="OSN2" s="8"/>
      <c r="OSO2" s="8"/>
      <c r="OSP2" s="8"/>
      <c r="OSQ2" s="8"/>
      <c r="OSR2" s="8"/>
      <c r="OSS2" s="8"/>
      <c r="OST2" s="8"/>
      <c r="OSU2" s="8"/>
      <c r="OSV2" s="8"/>
      <c r="OSW2" s="8"/>
      <c r="OSX2" s="8"/>
      <c r="OSY2" s="8"/>
      <c r="OSZ2" s="8"/>
      <c r="OTA2" s="8"/>
      <c r="OTB2" s="8"/>
      <c r="OTC2" s="8"/>
      <c r="OTD2" s="8"/>
      <c r="OTE2" s="8"/>
      <c r="OTF2" s="8"/>
      <c r="OTG2" s="8"/>
      <c r="OTH2" s="8"/>
      <c r="OTI2" s="8"/>
      <c r="OTJ2" s="8"/>
      <c r="OTK2" s="8"/>
      <c r="OTL2" s="8"/>
      <c r="OTM2" s="8"/>
      <c r="OTN2" s="8"/>
      <c r="OTO2" s="8"/>
      <c r="OTP2" s="8"/>
      <c r="OTQ2" s="8"/>
      <c r="OTR2" s="8"/>
      <c r="OTS2" s="8"/>
      <c r="OTT2" s="8"/>
      <c r="OTU2" s="8"/>
      <c r="OTV2" s="8"/>
      <c r="OTW2" s="8"/>
      <c r="OTX2" s="8"/>
      <c r="OTY2" s="8"/>
      <c r="OTZ2" s="8"/>
      <c r="OUA2" s="8"/>
      <c r="OUB2" s="8"/>
      <c r="OUC2" s="8"/>
      <c r="OUD2" s="8"/>
      <c r="OUE2" s="8"/>
      <c r="OUF2" s="8"/>
      <c r="OUG2" s="8"/>
      <c r="OUH2" s="8"/>
      <c r="OUI2" s="8"/>
      <c r="OUJ2" s="8"/>
      <c r="OUK2" s="8"/>
      <c r="OUL2" s="8"/>
      <c r="OUM2" s="8"/>
      <c r="OUN2" s="8"/>
      <c r="OUO2" s="8"/>
      <c r="OUP2" s="8"/>
      <c r="OUQ2" s="8"/>
      <c r="OUR2" s="8"/>
      <c r="OUS2" s="8"/>
      <c r="OUT2" s="8"/>
      <c r="OUU2" s="8"/>
      <c r="OUV2" s="8"/>
      <c r="OUW2" s="8"/>
      <c r="OUX2" s="8"/>
      <c r="OUY2" s="8"/>
      <c r="OUZ2" s="8"/>
      <c r="OVA2" s="8"/>
      <c r="OVB2" s="8"/>
      <c r="OVC2" s="8"/>
      <c r="OVD2" s="8"/>
      <c r="OVE2" s="8"/>
      <c r="OVF2" s="8"/>
      <c r="OVG2" s="8"/>
      <c r="OVH2" s="8"/>
      <c r="OVI2" s="8"/>
      <c r="OVJ2" s="8"/>
      <c r="OVK2" s="8"/>
      <c r="OVL2" s="8"/>
      <c r="OVM2" s="8"/>
      <c r="OVN2" s="8"/>
      <c r="OVO2" s="8"/>
      <c r="OVP2" s="8"/>
      <c r="OVQ2" s="8"/>
      <c r="OVR2" s="8"/>
      <c r="OVS2" s="8"/>
      <c r="OVT2" s="8"/>
      <c r="OVU2" s="8"/>
      <c r="OVV2" s="8"/>
      <c r="OVW2" s="8"/>
      <c r="OVX2" s="8"/>
      <c r="OVY2" s="8"/>
      <c r="OVZ2" s="8"/>
      <c r="OWA2" s="8"/>
      <c r="OWB2" s="8"/>
      <c r="OWC2" s="8"/>
      <c r="OWD2" s="8"/>
      <c r="OWE2" s="8"/>
      <c r="OWF2" s="8"/>
      <c r="OWG2" s="8"/>
      <c r="OWH2" s="8"/>
      <c r="OWI2" s="8"/>
      <c r="OWJ2" s="8"/>
      <c r="OWK2" s="8"/>
      <c r="OWL2" s="8"/>
      <c r="OWM2" s="8"/>
      <c r="OWN2" s="8"/>
      <c r="OWO2" s="8"/>
      <c r="OWP2" s="8"/>
      <c r="OWQ2" s="8"/>
      <c r="OWR2" s="8"/>
      <c r="OWS2" s="8"/>
      <c r="OWT2" s="8"/>
      <c r="OWU2" s="8"/>
      <c r="OWV2" s="8"/>
      <c r="OWW2" s="8"/>
      <c r="OWX2" s="8"/>
      <c r="OWY2" s="8"/>
      <c r="OWZ2" s="8"/>
      <c r="OXA2" s="8"/>
      <c r="OXB2" s="8"/>
      <c r="OXC2" s="8"/>
      <c r="OXD2" s="8"/>
      <c r="OXE2" s="8"/>
      <c r="OXF2" s="8"/>
      <c r="OXG2" s="8"/>
      <c r="OXH2" s="8"/>
      <c r="OXI2" s="8"/>
      <c r="OXJ2" s="8"/>
      <c r="OXK2" s="8"/>
      <c r="OXL2" s="8"/>
      <c r="OXM2" s="8"/>
      <c r="OXN2" s="8"/>
      <c r="OXO2" s="8"/>
      <c r="OXP2" s="8"/>
      <c r="OXQ2" s="8"/>
      <c r="OXR2" s="8"/>
      <c r="OXS2" s="8"/>
      <c r="OXT2" s="8"/>
      <c r="OXU2" s="8"/>
      <c r="OXV2" s="8"/>
      <c r="OXW2" s="8"/>
      <c r="OXX2" s="8"/>
      <c r="OXY2" s="8"/>
      <c r="OXZ2" s="8"/>
      <c r="OYA2" s="8"/>
      <c r="OYB2" s="8"/>
      <c r="OYC2" s="8"/>
      <c r="OYD2" s="8"/>
      <c r="OYE2" s="8"/>
      <c r="OYF2" s="8"/>
      <c r="OYG2" s="8"/>
      <c r="OYH2" s="8"/>
      <c r="OYI2" s="8"/>
      <c r="OYJ2" s="8"/>
      <c r="OYK2" s="8"/>
      <c r="OYL2" s="8"/>
      <c r="OYM2" s="8"/>
      <c r="OYN2" s="8"/>
      <c r="OYO2" s="8"/>
      <c r="OYP2" s="8"/>
      <c r="OYQ2" s="8"/>
      <c r="OYR2" s="8"/>
      <c r="OYS2" s="8"/>
      <c r="OYT2" s="8"/>
      <c r="OYU2" s="8"/>
      <c r="OYV2" s="8"/>
      <c r="OYW2" s="8"/>
      <c r="OYX2" s="8"/>
      <c r="OYY2" s="8"/>
      <c r="OYZ2" s="8"/>
      <c r="OZA2" s="8"/>
      <c r="OZB2" s="8"/>
      <c r="OZC2" s="8"/>
      <c r="OZD2" s="8"/>
      <c r="OZE2" s="8"/>
      <c r="OZF2" s="8"/>
      <c r="OZG2" s="8"/>
      <c r="OZH2" s="8"/>
      <c r="OZI2" s="8"/>
      <c r="OZJ2" s="8"/>
      <c r="OZK2" s="8"/>
      <c r="OZL2" s="8"/>
      <c r="OZM2" s="8"/>
      <c r="OZN2" s="8"/>
      <c r="OZO2" s="8"/>
      <c r="OZP2" s="8"/>
      <c r="OZQ2" s="8"/>
      <c r="OZR2" s="8"/>
      <c r="OZS2" s="8"/>
      <c r="OZT2" s="8"/>
      <c r="OZU2" s="8"/>
      <c r="OZV2" s="8"/>
      <c r="OZW2" s="8"/>
      <c r="OZX2" s="8"/>
      <c r="OZY2" s="8"/>
      <c r="OZZ2" s="8"/>
      <c r="PAA2" s="8"/>
      <c r="PAB2" s="8"/>
      <c r="PAC2" s="8"/>
      <c r="PAD2" s="8"/>
      <c r="PAE2" s="8"/>
      <c r="PAF2" s="8"/>
      <c r="PAG2" s="8"/>
      <c r="PAH2" s="8"/>
      <c r="PAI2" s="8"/>
      <c r="PAJ2" s="8"/>
      <c r="PAK2" s="8"/>
      <c r="PAL2" s="8"/>
      <c r="PAM2" s="8"/>
      <c r="PAN2" s="8"/>
      <c r="PAO2" s="8"/>
      <c r="PAP2" s="8"/>
      <c r="PAQ2" s="8"/>
      <c r="PAR2" s="8"/>
      <c r="PAS2" s="8"/>
      <c r="PAT2" s="8"/>
      <c r="PAU2" s="8"/>
      <c r="PAV2" s="8"/>
      <c r="PAW2" s="8"/>
      <c r="PAX2" s="8"/>
      <c r="PAY2" s="8"/>
      <c r="PAZ2" s="8"/>
      <c r="PBA2" s="8"/>
      <c r="PBB2" s="8"/>
      <c r="PBC2" s="8"/>
      <c r="PBD2" s="8"/>
      <c r="PBE2" s="8"/>
      <c r="PBF2" s="8"/>
      <c r="PBG2" s="8"/>
      <c r="PBH2" s="8"/>
      <c r="PBI2" s="8"/>
      <c r="PBJ2" s="8"/>
      <c r="PBK2" s="8"/>
      <c r="PBL2" s="8"/>
      <c r="PBM2" s="8"/>
      <c r="PBN2" s="8"/>
      <c r="PBO2" s="8"/>
      <c r="PBP2" s="8"/>
      <c r="PBQ2" s="8"/>
      <c r="PBR2" s="8"/>
      <c r="PBS2" s="8"/>
      <c r="PBT2" s="8"/>
      <c r="PBU2" s="8"/>
      <c r="PBV2" s="8"/>
      <c r="PBW2" s="8"/>
      <c r="PBX2" s="8"/>
      <c r="PBY2" s="8"/>
      <c r="PBZ2" s="8"/>
      <c r="PCA2" s="8"/>
      <c r="PCB2" s="8"/>
      <c r="PCC2" s="8"/>
      <c r="PCD2" s="8"/>
      <c r="PCE2" s="8"/>
      <c r="PCF2" s="8"/>
      <c r="PCG2" s="8"/>
      <c r="PCH2" s="8"/>
      <c r="PCI2" s="8"/>
      <c r="PCJ2" s="8"/>
      <c r="PCK2" s="8"/>
      <c r="PCL2" s="8"/>
      <c r="PCM2" s="8"/>
      <c r="PCN2" s="8"/>
      <c r="PCO2" s="8"/>
      <c r="PCP2" s="8"/>
      <c r="PCQ2" s="8"/>
      <c r="PCR2" s="8"/>
      <c r="PCS2" s="8"/>
      <c r="PCT2" s="8"/>
      <c r="PCU2" s="8"/>
      <c r="PCV2" s="8"/>
      <c r="PCW2" s="8"/>
      <c r="PCX2" s="8"/>
      <c r="PCY2" s="8"/>
      <c r="PCZ2" s="8"/>
      <c r="PDA2" s="8"/>
      <c r="PDB2" s="8"/>
      <c r="PDC2" s="8"/>
      <c r="PDD2" s="8"/>
      <c r="PDE2" s="8"/>
      <c r="PDF2" s="8"/>
      <c r="PDG2" s="8"/>
      <c r="PDH2" s="8"/>
      <c r="PDI2" s="8"/>
      <c r="PDJ2" s="8"/>
      <c r="PDK2" s="8"/>
      <c r="PDL2" s="8"/>
      <c r="PDM2" s="8"/>
      <c r="PDN2" s="8"/>
      <c r="PDO2" s="8"/>
      <c r="PDP2" s="8"/>
      <c r="PDQ2" s="8"/>
      <c r="PDR2" s="8"/>
      <c r="PDS2" s="8"/>
      <c r="PDT2" s="8"/>
      <c r="PDU2" s="8"/>
      <c r="PDV2" s="8"/>
      <c r="PDW2" s="8"/>
      <c r="PDX2" s="8"/>
      <c r="PDY2" s="8"/>
      <c r="PDZ2" s="8"/>
      <c r="PEA2" s="8"/>
      <c r="PEB2" s="8"/>
      <c r="PEC2" s="8"/>
      <c r="PED2" s="8"/>
      <c r="PEE2" s="8"/>
      <c r="PEF2" s="8"/>
      <c r="PEG2" s="8"/>
      <c r="PEH2" s="8"/>
      <c r="PEI2" s="8"/>
      <c r="PEJ2" s="8"/>
      <c r="PEK2" s="8"/>
      <c r="PEL2" s="8"/>
      <c r="PEM2" s="8"/>
      <c r="PEN2" s="8"/>
      <c r="PEO2" s="8"/>
      <c r="PEP2" s="8"/>
      <c r="PEQ2" s="8"/>
      <c r="PER2" s="8"/>
      <c r="PES2" s="8"/>
      <c r="PET2" s="8"/>
      <c r="PEU2" s="8"/>
      <c r="PEV2" s="8"/>
      <c r="PEW2" s="8"/>
      <c r="PEX2" s="8"/>
      <c r="PEY2" s="8"/>
      <c r="PEZ2" s="8"/>
      <c r="PFA2" s="8"/>
      <c r="PFB2" s="8"/>
      <c r="PFC2" s="8"/>
      <c r="PFD2" s="8"/>
      <c r="PFE2" s="8"/>
      <c r="PFF2" s="8"/>
      <c r="PFG2" s="8"/>
      <c r="PFH2" s="8"/>
      <c r="PFI2" s="8"/>
      <c r="PFJ2" s="8"/>
      <c r="PFK2" s="8"/>
      <c r="PFL2" s="8"/>
      <c r="PFM2" s="8"/>
      <c r="PFN2" s="8"/>
      <c r="PFO2" s="8"/>
      <c r="PFP2" s="8"/>
      <c r="PFQ2" s="8"/>
      <c r="PFR2" s="8"/>
      <c r="PFS2" s="8"/>
      <c r="PFT2" s="8"/>
      <c r="PFU2" s="8"/>
      <c r="PFV2" s="8"/>
      <c r="PFW2" s="8"/>
      <c r="PFX2" s="8"/>
      <c r="PFY2" s="8"/>
      <c r="PFZ2" s="8"/>
      <c r="PGA2" s="8"/>
      <c r="PGB2" s="8"/>
      <c r="PGC2" s="8"/>
      <c r="PGD2" s="8"/>
      <c r="PGE2" s="8"/>
      <c r="PGF2" s="8"/>
      <c r="PGG2" s="8"/>
      <c r="PGH2" s="8"/>
      <c r="PGI2" s="8"/>
      <c r="PGJ2" s="8"/>
      <c r="PGK2" s="8"/>
      <c r="PGL2" s="8"/>
      <c r="PGM2" s="8"/>
      <c r="PGN2" s="8"/>
      <c r="PGO2" s="8"/>
      <c r="PGP2" s="8"/>
      <c r="PGQ2" s="8"/>
      <c r="PGR2" s="8"/>
      <c r="PGS2" s="8"/>
      <c r="PGT2" s="8"/>
      <c r="PGU2" s="8"/>
      <c r="PGV2" s="8"/>
      <c r="PGW2" s="8"/>
      <c r="PGX2" s="8"/>
      <c r="PGY2" s="8"/>
      <c r="PGZ2" s="8"/>
      <c r="PHA2" s="8"/>
      <c r="PHB2" s="8"/>
      <c r="PHC2" s="8"/>
      <c r="PHD2" s="8"/>
      <c r="PHE2" s="8"/>
      <c r="PHF2" s="8"/>
      <c r="PHG2" s="8"/>
      <c r="PHH2" s="8"/>
      <c r="PHI2" s="8"/>
      <c r="PHJ2" s="8"/>
      <c r="PHK2" s="8"/>
      <c r="PHL2" s="8"/>
      <c r="PHM2" s="8"/>
      <c r="PHN2" s="8"/>
      <c r="PHO2" s="8"/>
      <c r="PHP2" s="8"/>
      <c r="PHQ2" s="8"/>
      <c r="PHR2" s="8"/>
      <c r="PHS2" s="8"/>
      <c r="PHT2" s="8"/>
      <c r="PHU2" s="8"/>
      <c r="PHV2" s="8"/>
      <c r="PHW2" s="8"/>
      <c r="PHX2" s="8"/>
      <c r="PHY2" s="8"/>
      <c r="PHZ2" s="8"/>
      <c r="PIA2" s="8"/>
      <c r="PIB2" s="8"/>
      <c r="PIC2" s="8"/>
      <c r="PID2" s="8"/>
      <c r="PIE2" s="8"/>
      <c r="PIF2" s="8"/>
      <c r="PIG2" s="8"/>
      <c r="PIH2" s="8"/>
      <c r="PII2" s="8"/>
      <c r="PIJ2" s="8"/>
      <c r="PIK2" s="8"/>
      <c r="PIL2" s="8"/>
      <c r="PIM2" s="8"/>
      <c r="PIN2" s="8"/>
      <c r="PIO2" s="8"/>
      <c r="PIP2" s="8"/>
      <c r="PIQ2" s="8"/>
      <c r="PIR2" s="8"/>
      <c r="PIS2" s="8"/>
      <c r="PIT2" s="8"/>
      <c r="PIU2" s="8"/>
      <c r="PIV2" s="8"/>
      <c r="PIW2" s="8"/>
      <c r="PIX2" s="8"/>
      <c r="PIY2" s="8"/>
      <c r="PIZ2" s="8"/>
      <c r="PJA2" s="8"/>
      <c r="PJB2" s="8"/>
      <c r="PJC2" s="8"/>
      <c r="PJD2" s="8"/>
      <c r="PJE2" s="8"/>
      <c r="PJF2" s="8"/>
      <c r="PJG2" s="8"/>
      <c r="PJH2" s="8"/>
      <c r="PJI2" s="8"/>
      <c r="PJJ2" s="8"/>
      <c r="PJK2" s="8"/>
      <c r="PJL2" s="8"/>
      <c r="PJM2" s="8"/>
      <c r="PJN2" s="8"/>
      <c r="PJO2" s="8"/>
      <c r="PJP2" s="8"/>
      <c r="PJQ2" s="8"/>
      <c r="PJR2" s="8"/>
      <c r="PJS2" s="8"/>
      <c r="PJT2" s="8"/>
      <c r="PJU2" s="8"/>
      <c r="PJV2" s="8"/>
      <c r="PJW2" s="8"/>
      <c r="PJX2" s="8"/>
      <c r="PJY2" s="8"/>
      <c r="PJZ2" s="8"/>
      <c r="PKA2" s="8"/>
      <c r="PKB2" s="8"/>
      <c r="PKC2" s="8"/>
      <c r="PKD2" s="8"/>
      <c r="PKE2" s="8"/>
      <c r="PKF2" s="8"/>
      <c r="PKG2" s="8"/>
      <c r="PKH2" s="8"/>
      <c r="PKI2" s="8"/>
      <c r="PKJ2" s="8"/>
      <c r="PKK2" s="8"/>
      <c r="PKL2" s="8"/>
      <c r="PKM2" s="8"/>
      <c r="PKN2" s="8"/>
      <c r="PKO2" s="8"/>
      <c r="PKP2" s="8"/>
      <c r="PKQ2" s="8"/>
      <c r="PKR2" s="8"/>
      <c r="PKS2" s="8"/>
      <c r="PKT2" s="8"/>
      <c r="PKU2" s="8"/>
      <c r="PKV2" s="8"/>
      <c r="PKW2" s="8"/>
      <c r="PKX2" s="8"/>
      <c r="PKY2" s="8"/>
      <c r="PKZ2" s="8"/>
      <c r="PLA2" s="8"/>
      <c r="PLB2" s="8"/>
      <c r="PLC2" s="8"/>
      <c r="PLD2" s="8"/>
      <c r="PLE2" s="8"/>
      <c r="PLF2" s="8"/>
      <c r="PLG2" s="8"/>
      <c r="PLH2" s="8"/>
      <c r="PLI2" s="8"/>
      <c r="PLJ2" s="8"/>
      <c r="PLK2" s="8"/>
      <c r="PLL2" s="8"/>
      <c r="PLM2" s="8"/>
      <c r="PLN2" s="8"/>
      <c r="PLO2" s="8"/>
      <c r="PLP2" s="8"/>
      <c r="PLQ2" s="8"/>
      <c r="PLR2" s="8"/>
      <c r="PLS2" s="8"/>
      <c r="PLT2" s="8"/>
      <c r="PLU2" s="8"/>
      <c r="PLV2" s="8"/>
      <c r="PLW2" s="8"/>
      <c r="PLX2" s="8"/>
      <c r="PLY2" s="8"/>
      <c r="PLZ2" s="8"/>
      <c r="PMA2" s="8"/>
      <c r="PMB2" s="8"/>
      <c r="PMC2" s="8"/>
      <c r="PMD2" s="8"/>
      <c r="PME2" s="8"/>
      <c r="PMF2" s="8"/>
      <c r="PMG2" s="8"/>
      <c r="PMH2" s="8"/>
      <c r="PMI2" s="8"/>
      <c r="PMJ2" s="8"/>
      <c r="PMK2" s="8"/>
      <c r="PML2" s="8"/>
      <c r="PMM2" s="8"/>
      <c r="PMN2" s="8"/>
      <c r="PMO2" s="8"/>
      <c r="PMP2" s="8"/>
      <c r="PMQ2" s="8"/>
      <c r="PMR2" s="8"/>
      <c r="PMS2" s="8"/>
      <c r="PMT2" s="8"/>
      <c r="PMU2" s="8"/>
      <c r="PMV2" s="8"/>
      <c r="PMW2" s="8"/>
      <c r="PMX2" s="8"/>
      <c r="PMY2" s="8"/>
      <c r="PMZ2" s="8"/>
      <c r="PNA2" s="8"/>
      <c r="PNB2" s="8"/>
      <c r="PNC2" s="8"/>
      <c r="PND2" s="8"/>
      <c r="PNE2" s="8"/>
      <c r="PNF2" s="8"/>
      <c r="PNG2" s="8"/>
      <c r="PNH2" s="8"/>
      <c r="PNI2" s="8"/>
      <c r="PNJ2" s="8"/>
      <c r="PNK2" s="8"/>
      <c r="PNL2" s="8"/>
      <c r="PNM2" s="8"/>
      <c r="PNN2" s="8"/>
      <c r="PNO2" s="8"/>
      <c r="PNP2" s="8"/>
      <c r="PNQ2" s="8"/>
      <c r="PNR2" s="8"/>
      <c r="PNS2" s="8"/>
      <c r="PNT2" s="8"/>
      <c r="PNU2" s="8"/>
      <c r="PNV2" s="8"/>
      <c r="PNW2" s="8"/>
      <c r="PNX2" s="8"/>
      <c r="PNY2" s="8"/>
      <c r="PNZ2" s="8"/>
      <c r="POA2" s="8"/>
      <c r="POB2" s="8"/>
      <c r="POC2" s="8"/>
      <c r="POD2" s="8"/>
      <c r="POE2" s="8"/>
      <c r="POF2" s="8"/>
      <c r="POG2" s="8"/>
      <c r="POH2" s="8"/>
      <c r="POI2" s="8"/>
      <c r="POJ2" s="8"/>
      <c r="POK2" s="8"/>
      <c r="POL2" s="8"/>
      <c r="POM2" s="8"/>
      <c r="PON2" s="8"/>
      <c r="POO2" s="8"/>
      <c r="POP2" s="8"/>
      <c r="POQ2" s="8"/>
      <c r="POR2" s="8"/>
      <c r="POS2" s="8"/>
      <c r="POT2" s="8"/>
      <c r="POU2" s="8"/>
      <c r="POV2" s="8"/>
      <c r="POW2" s="8"/>
      <c r="POX2" s="8"/>
      <c r="POY2" s="8"/>
      <c r="POZ2" s="8"/>
      <c r="PPA2" s="8"/>
      <c r="PPB2" s="8"/>
      <c r="PPC2" s="8"/>
      <c r="PPD2" s="8"/>
      <c r="PPE2" s="8"/>
      <c r="PPF2" s="8"/>
      <c r="PPG2" s="8"/>
      <c r="PPH2" s="8"/>
      <c r="PPI2" s="8"/>
      <c r="PPJ2" s="8"/>
      <c r="PPK2" s="8"/>
      <c r="PPL2" s="8"/>
      <c r="PPM2" s="8"/>
      <c r="PPN2" s="8"/>
      <c r="PPO2" s="8"/>
      <c r="PPP2" s="8"/>
      <c r="PPQ2" s="8"/>
      <c r="PPR2" s="8"/>
      <c r="PPS2" s="8"/>
      <c r="PPT2" s="8"/>
      <c r="PPU2" s="8"/>
      <c r="PPV2" s="8"/>
      <c r="PPW2" s="8"/>
      <c r="PPX2" s="8"/>
      <c r="PPY2" s="8"/>
      <c r="PPZ2" s="8"/>
      <c r="PQA2" s="8"/>
      <c r="PQB2" s="8"/>
      <c r="PQC2" s="8"/>
      <c r="PQD2" s="8"/>
      <c r="PQE2" s="8"/>
      <c r="PQF2" s="8"/>
      <c r="PQG2" s="8"/>
      <c r="PQH2" s="8"/>
      <c r="PQI2" s="8"/>
      <c r="PQJ2" s="8"/>
      <c r="PQK2" s="8"/>
      <c r="PQL2" s="8"/>
      <c r="PQM2" s="8"/>
      <c r="PQN2" s="8"/>
      <c r="PQO2" s="8"/>
      <c r="PQP2" s="8"/>
      <c r="PQQ2" s="8"/>
      <c r="PQR2" s="8"/>
      <c r="PQS2" s="8"/>
      <c r="PQT2" s="8"/>
      <c r="PQU2" s="8"/>
      <c r="PQV2" s="8"/>
      <c r="PQW2" s="8"/>
      <c r="PQX2" s="8"/>
      <c r="PQY2" s="8"/>
      <c r="PQZ2" s="8"/>
      <c r="PRA2" s="8"/>
      <c r="PRB2" s="8"/>
      <c r="PRC2" s="8"/>
      <c r="PRD2" s="8"/>
      <c r="PRE2" s="8"/>
      <c r="PRF2" s="8"/>
      <c r="PRG2" s="8"/>
      <c r="PRH2" s="8"/>
      <c r="PRI2" s="8"/>
      <c r="PRJ2" s="8"/>
      <c r="PRK2" s="8"/>
      <c r="PRL2" s="8"/>
      <c r="PRM2" s="8"/>
      <c r="PRN2" s="8"/>
      <c r="PRO2" s="8"/>
      <c r="PRP2" s="8"/>
      <c r="PRQ2" s="8"/>
      <c r="PRR2" s="8"/>
      <c r="PRS2" s="8"/>
      <c r="PRT2" s="8"/>
      <c r="PRU2" s="8"/>
      <c r="PRV2" s="8"/>
      <c r="PRW2" s="8"/>
      <c r="PRX2" s="8"/>
      <c r="PRY2" s="8"/>
      <c r="PRZ2" s="8"/>
      <c r="PSA2" s="8"/>
      <c r="PSB2" s="8"/>
      <c r="PSC2" s="8"/>
      <c r="PSD2" s="8"/>
      <c r="PSE2" s="8"/>
      <c r="PSF2" s="8"/>
      <c r="PSG2" s="8"/>
      <c r="PSH2" s="8"/>
      <c r="PSI2" s="8"/>
      <c r="PSJ2" s="8"/>
      <c r="PSK2" s="8"/>
      <c r="PSL2" s="8"/>
      <c r="PSM2" s="8"/>
      <c r="PSN2" s="8"/>
      <c r="PSO2" s="8"/>
      <c r="PSP2" s="8"/>
      <c r="PSQ2" s="8"/>
      <c r="PSR2" s="8"/>
      <c r="PSS2" s="8"/>
      <c r="PST2" s="8"/>
      <c r="PSU2" s="8"/>
      <c r="PSV2" s="8"/>
      <c r="PSW2" s="8"/>
      <c r="PSX2" s="8"/>
      <c r="PSY2" s="8"/>
      <c r="PSZ2" s="8"/>
      <c r="PTA2" s="8"/>
      <c r="PTB2" s="8"/>
      <c r="PTC2" s="8"/>
      <c r="PTD2" s="8"/>
      <c r="PTE2" s="8"/>
      <c r="PTF2" s="8"/>
      <c r="PTG2" s="8"/>
      <c r="PTH2" s="8"/>
      <c r="PTI2" s="8"/>
      <c r="PTJ2" s="8"/>
      <c r="PTK2" s="8"/>
      <c r="PTL2" s="8"/>
      <c r="PTM2" s="8"/>
      <c r="PTN2" s="8"/>
      <c r="PTO2" s="8"/>
      <c r="PTP2" s="8"/>
      <c r="PTQ2" s="8"/>
      <c r="PTR2" s="8"/>
      <c r="PTS2" s="8"/>
      <c r="PTT2" s="8"/>
      <c r="PTU2" s="8"/>
      <c r="PTV2" s="8"/>
      <c r="PTW2" s="8"/>
      <c r="PTX2" s="8"/>
      <c r="PTY2" s="8"/>
      <c r="PTZ2" s="8"/>
      <c r="PUA2" s="8"/>
      <c r="PUB2" s="8"/>
      <c r="PUC2" s="8"/>
      <c r="PUD2" s="8"/>
      <c r="PUE2" s="8"/>
      <c r="PUF2" s="8"/>
      <c r="PUG2" s="8"/>
      <c r="PUH2" s="8"/>
      <c r="PUI2" s="8"/>
      <c r="PUJ2" s="8"/>
      <c r="PUK2" s="8"/>
      <c r="PUL2" s="8"/>
      <c r="PUM2" s="8"/>
      <c r="PUN2" s="8"/>
      <c r="PUO2" s="8"/>
      <c r="PUP2" s="8"/>
      <c r="PUQ2" s="8"/>
      <c r="PUR2" s="8"/>
      <c r="PUS2" s="8"/>
      <c r="PUT2" s="8"/>
      <c r="PUU2" s="8"/>
      <c r="PUV2" s="8"/>
      <c r="PUW2" s="8"/>
      <c r="PUX2" s="8"/>
      <c r="PUY2" s="8"/>
      <c r="PUZ2" s="8"/>
      <c r="PVA2" s="8"/>
      <c r="PVB2" s="8"/>
      <c r="PVC2" s="8"/>
      <c r="PVD2" s="8"/>
      <c r="PVE2" s="8"/>
      <c r="PVF2" s="8"/>
      <c r="PVG2" s="8"/>
      <c r="PVH2" s="8"/>
      <c r="PVI2" s="8"/>
      <c r="PVJ2" s="8"/>
      <c r="PVK2" s="8"/>
      <c r="PVL2" s="8"/>
      <c r="PVM2" s="8"/>
      <c r="PVN2" s="8"/>
      <c r="PVO2" s="8"/>
      <c r="PVP2" s="8"/>
      <c r="PVQ2" s="8"/>
      <c r="PVR2" s="8"/>
      <c r="PVS2" s="8"/>
      <c r="PVT2" s="8"/>
      <c r="PVU2" s="8"/>
      <c r="PVV2" s="8"/>
      <c r="PVW2" s="8"/>
      <c r="PVX2" s="8"/>
      <c r="PVY2" s="8"/>
      <c r="PVZ2" s="8"/>
      <c r="PWA2" s="8"/>
      <c r="PWB2" s="8"/>
      <c r="PWC2" s="8"/>
      <c r="PWD2" s="8"/>
      <c r="PWE2" s="8"/>
      <c r="PWF2" s="8"/>
      <c r="PWG2" s="8"/>
      <c r="PWH2" s="8"/>
      <c r="PWI2" s="8"/>
      <c r="PWJ2" s="8"/>
      <c r="PWK2" s="8"/>
      <c r="PWL2" s="8"/>
      <c r="PWM2" s="8"/>
      <c r="PWN2" s="8"/>
      <c r="PWO2" s="8"/>
      <c r="PWP2" s="8"/>
      <c r="PWQ2" s="8"/>
      <c r="PWR2" s="8"/>
      <c r="PWS2" s="8"/>
      <c r="PWT2" s="8"/>
      <c r="PWU2" s="8"/>
      <c r="PWV2" s="8"/>
      <c r="PWW2" s="8"/>
      <c r="PWX2" s="8"/>
      <c r="PWY2" s="8"/>
      <c r="PWZ2" s="8"/>
      <c r="PXA2" s="8"/>
      <c r="PXB2" s="8"/>
      <c r="PXC2" s="8"/>
      <c r="PXD2" s="8"/>
      <c r="PXE2" s="8"/>
      <c r="PXF2" s="8"/>
      <c r="PXG2" s="8"/>
      <c r="PXH2" s="8"/>
      <c r="PXI2" s="8"/>
      <c r="PXJ2" s="8"/>
      <c r="PXK2" s="8"/>
      <c r="PXL2" s="8"/>
      <c r="PXM2" s="8"/>
      <c r="PXN2" s="8"/>
      <c r="PXO2" s="8"/>
      <c r="PXP2" s="8"/>
      <c r="PXQ2" s="8"/>
      <c r="PXR2" s="8"/>
      <c r="PXS2" s="8"/>
      <c r="PXT2" s="8"/>
      <c r="PXU2" s="8"/>
      <c r="PXV2" s="8"/>
      <c r="PXW2" s="8"/>
      <c r="PXX2" s="8"/>
      <c r="PXY2" s="8"/>
      <c r="PXZ2" s="8"/>
      <c r="PYA2" s="8"/>
      <c r="PYB2" s="8"/>
      <c r="PYC2" s="8"/>
      <c r="PYD2" s="8"/>
      <c r="PYE2" s="8"/>
      <c r="PYF2" s="8"/>
      <c r="PYG2" s="8"/>
      <c r="PYH2" s="8"/>
      <c r="PYI2" s="8"/>
      <c r="PYJ2" s="8"/>
      <c r="PYK2" s="8"/>
      <c r="PYL2" s="8"/>
      <c r="PYM2" s="8"/>
      <c r="PYN2" s="8"/>
      <c r="PYO2" s="8"/>
      <c r="PYP2" s="8"/>
      <c r="PYQ2" s="8"/>
      <c r="PYR2" s="8"/>
      <c r="PYS2" s="8"/>
      <c r="PYT2" s="8"/>
      <c r="PYU2" s="8"/>
      <c r="PYV2" s="8"/>
      <c r="PYW2" s="8"/>
      <c r="PYX2" s="8"/>
      <c r="PYY2" s="8"/>
      <c r="PYZ2" s="8"/>
      <c r="PZA2" s="8"/>
      <c r="PZB2" s="8"/>
      <c r="PZC2" s="8"/>
      <c r="PZD2" s="8"/>
      <c r="PZE2" s="8"/>
      <c r="PZF2" s="8"/>
      <c r="PZG2" s="8"/>
      <c r="PZH2" s="8"/>
      <c r="PZI2" s="8"/>
      <c r="PZJ2" s="8"/>
      <c r="PZK2" s="8"/>
      <c r="PZL2" s="8"/>
      <c r="PZM2" s="8"/>
      <c r="PZN2" s="8"/>
      <c r="PZO2" s="8"/>
      <c r="PZP2" s="8"/>
      <c r="PZQ2" s="8"/>
      <c r="PZR2" s="8"/>
      <c r="PZS2" s="8"/>
      <c r="PZT2" s="8"/>
      <c r="PZU2" s="8"/>
      <c r="PZV2" s="8"/>
      <c r="PZW2" s="8"/>
      <c r="PZX2" s="8"/>
      <c r="PZY2" s="8"/>
      <c r="PZZ2" s="8"/>
      <c r="QAA2" s="8"/>
      <c r="QAB2" s="8"/>
      <c r="QAC2" s="8"/>
      <c r="QAD2" s="8"/>
      <c r="QAE2" s="8"/>
      <c r="QAF2" s="8"/>
      <c r="QAG2" s="8"/>
      <c r="QAH2" s="8"/>
      <c r="QAI2" s="8"/>
      <c r="QAJ2" s="8"/>
      <c r="QAK2" s="8"/>
      <c r="QAL2" s="8"/>
      <c r="QAM2" s="8"/>
      <c r="QAN2" s="8"/>
      <c r="QAO2" s="8"/>
      <c r="QAP2" s="8"/>
      <c r="QAQ2" s="8"/>
      <c r="QAR2" s="8"/>
      <c r="QAS2" s="8"/>
      <c r="QAT2" s="8"/>
      <c r="QAU2" s="8"/>
      <c r="QAV2" s="8"/>
      <c r="QAW2" s="8"/>
      <c r="QAX2" s="8"/>
      <c r="QAY2" s="8"/>
      <c r="QAZ2" s="8"/>
      <c r="QBA2" s="8"/>
      <c r="QBB2" s="8"/>
      <c r="QBC2" s="8"/>
      <c r="QBD2" s="8"/>
      <c r="QBE2" s="8"/>
      <c r="QBF2" s="8"/>
      <c r="QBG2" s="8"/>
      <c r="QBH2" s="8"/>
      <c r="QBI2" s="8"/>
      <c r="QBJ2" s="8"/>
      <c r="QBK2" s="8"/>
      <c r="QBL2" s="8"/>
      <c r="QBM2" s="8"/>
      <c r="QBN2" s="8"/>
      <c r="QBO2" s="8"/>
      <c r="QBP2" s="8"/>
      <c r="QBQ2" s="8"/>
      <c r="QBR2" s="8"/>
      <c r="QBS2" s="8"/>
      <c r="QBT2" s="8"/>
      <c r="QBU2" s="8"/>
      <c r="QBV2" s="8"/>
      <c r="QBW2" s="8"/>
      <c r="QBX2" s="8"/>
      <c r="QBY2" s="8"/>
      <c r="QBZ2" s="8"/>
      <c r="QCA2" s="8"/>
      <c r="QCB2" s="8"/>
      <c r="QCC2" s="8"/>
      <c r="QCD2" s="8"/>
      <c r="QCE2" s="8"/>
      <c r="QCF2" s="8"/>
      <c r="QCG2" s="8"/>
      <c r="QCH2" s="8"/>
      <c r="QCI2" s="8"/>
      <c r="QCJ2" s="8"/>
      <c r="QCK2" s="8"/>
      <c r="QCL2" s="8"/>
      <c r="QCM2" s="8"/>
      <c r="QCN2" s="8"/>
      <c r="QCO2" s="8"/>
      <c r="QCP2" s="8"/>
      <c r="QCQ2" s="8"/>
      <c r="QCR2" s="8"/>
      <c r="QCS2" s="8"/>
      <c r="QCT2" s="8"/>
      <c r="QCU2" s="8"/>
      <c r="QCV2" s="8"/>
      <c r="QCW2" s="8"/>
      <c r="QCX2" s="8"/>
      <c r="QCY2" s="8"/>
      <c r="QCZ2" s="8"/>
      <c r="QDA2" s="8"/>
      <c r="QDB2" s="8"/>
      <c r="QDC2" s="8"/>
      <c r="QDD2" s="8"/>
      <c r="QDE2" s="8"/>
      <c r="QDF2" s="8"/>
      <c r="QDG2" s="8"/>
      <c r="QDH2" s="8"/>
      <c r="QDI2" s="8"/>
      <c r="QDJ2" s="8"/>
      <c r="QDK2" s="8"/>
      <c r="QDL2" s="8"/>
      <c r="QDM2" s="8"/>
      <c r="QDN2" s="8"/>
      <c r="QDO2" s="8"/>
      <c r="QDP2" s="8"/>
      <c r="QDQ2" s="8"/>
      <c r="QDR2" s="8"/>
      <c r="QDS2" s="8"/>
      <c r="QDT2" s="8"/>
      <c r="QDU2" s="8"/>
      <c r="QDV2" s="8"/>
      <c r="QDW2" s="8"/>
      <c r="QDX2" s="8"/>
      <c r="QDY2" s="8"/>
      <c r="QDZ2" s="8"/>
      <c r="QEA2" s="8"/>
      <c r="QEB2" s="8"/>
      <c r="QEC2" s="8"/>
      <c r="QED2" s="8"/>
      <c r="QEE2" s="8"/>
      <c r="QEF2" s="8"/>
      <c r="QEG2" s="8"/>
      <c r="QEH2" s="8"/>
      <c r="QEI2" s="8"/>
      <c r="QEJ2" s="8"/>
      <c r="QEK2" s="8"/>
      <c r="QEL2" s="8"/>
      <c r="QEM2" s="8"/>
      <c r="QEN2" s="8"/>
      <c r="QEO2" s="8"/>
      <c r="QEP2" s="8"/>
      <c r="QEQ2" s="8"/>
      <c r="QER2" s="8"/>
      <c r="QES2" s="8"/>
      <c r="QET2" s="8"/>
      <c r="QEU2" s="8"/>
      <c r="QEV2" s="8"/>
      <c r="QEW2" s="8"/>
      <c r="QEX2" s="8"/>
      <c r="QEY2" s="8"/>
      <c r="QEZ2" s="8"/>
      <c r="QFA2" s="8"/>
      <c r="QFB2" s="8"/>
      <c r="QFC2" s="8"/>
      <c r="QFD2" s="8"/>
      <c r="QFE2" s="8"/>
      <c r="QFF2" s="8"/>
      <c r="QFG2" s="8"/>
      <c r="QFH2" s="8"/>
      <c r="QFI2" s="8"/>
      <c r="QFJ2" s="8"/>
      <c r="QFK2" s="8"/>
      <c r="QFL2" s="8"/>
      <c r="QFM2" s="8"/>
      <c r="QFN2" s="8"/>
      <c r="QFO2" s="8"/>
      <c r="QFP2" s="8"/>
      <c r="QFQ2" s="8"/>
      <c r="QFR2" s="8"/>
      <c r="QFS2" s="8"/>
      <c r="QFT2" s="8"/>
      <c r="QFU2" s="8"/>
      <c r="QFV2" s="8"/>
      <c r="QFW2" s="8"/>
      <c r="QFX2" s="8"/>
      <c r="QFY2" s="8"/>
      <c r="QFZ2" s="8"/>
      <c r="QGA2" s="8"/>
      <c r="QGB2" s="8"/>
      <c r="QGC2" s="8"/>
      <c r="QGD2" s="8"/>
      <c r="QGE2" s="8"/>
      <c r="QGF2" s="8"/>
      <c r="QGG2" s="8"/>
      <c r="QGH2" s="8"/>
      <c r="QGI2" s="8"/>
      <c r="QGJ2" s="8"/>
      <c r="QGK2" s="8"/>
      <c r="QGL2" s="8"/>
      <c r="QGM2" s="8"/>
      <c r="QGN2" s="8"/>
      <c r="QGO2" s="8"/>
      <c r="QGP2" s="8"/>
      <c r="QGQ2" s="8"/>
      <c r="QGR2" s="8"/>
      <c r="QGS2" s="8"/>
      <c r="QGT2" s="8"/>
      <c r="QGU2" s="8"/>
      <c r="QGV2" s="8"/>
      <c r="QGW2" s="8"/>
      <c r="QGX2" s="8"/>
      <c r="QGY2" s="8"/>
      <c r="QGZ2" s="8"/>
      <c r="QHA2" s="8"/>
      <c r="QHB2" s="8"/>
      <c r="QHC2" s="8"/>
      <c r="QHD2" s="8"/>
      <c r="QHE2" s="8"/>
      <c r="QHF2" s="8"/>
      <c r="QHG2" s="8"/>
      <c r="QHH2" s="8"/>
      <c r="QHI2" s="8"/>
      <c r="QHJ2" s="8"/>
      <c r="QHK2" s="8"/>
      <c r="QHL2" s="8"/>
      <c r="QHM2" s="8"/>
      <c r="QHN2" s="8"/>
      <c r="QHO2" s="8"/>
      <c r="QHP2" s="8"/>
      <c r="QHQ2" s="8"/>
      <c r="QHR2" s="8"/>
      <c r="QHS2" s="8"/>
      <c r="QHT2" s="8"/>
      <c r="QHU2" s="8"/>
      <c r="QHV2" s="8"/>
      <c r="QHW2" s="8"/>
      <c r="QHX2" s="8"/>
      <c r="QHY2" s="8"/>
      <c r="QHZ2" s="8"/>
      <c r="QIA2" s="8"/>
      <c r="QIB2" s="8"/>
      <c r="QIC2" s="8"/>
      <c r="QID2" s="8"/>
      <c r="QIE2" s="8"/>
      <c r="QIF2" s="8"/>
      <c r="QIG2" s="8"/>
      <c r="QIH2" s="8"/>
      <c r="QII2" s="8"/>
      <c r="QIJ2" s="8"/>
      <c r="QIK2" s="8"/>
      <c r="QIL2" s="8"/>
      <c r="QIM2" s="8"/>
      <c r="QIN2" s="8"/>
      <c r="QIO2" s="8"/>
      <c r="QIP2" s="8"/>
      <c r="QIQ2" s="8"/>
      <c r="QIR2" s="8"/>
      <c r="QIS2" s="8"/>
      <c r="QIT2" s="8"/>
      <c r="QIU2" s="8"/>
      <c r="QIV2" s="8"/>
      <c r="QIW2" s="8"/>
      <c r="QIX2" s="8"/>
      <c r="QIY2" s="8"/>
      <c r="QIZ2" s="8"/>
      <c r="QJA2" s="8"/>
      <c r="QJB2" s="8"/>
      <c r="QJC2" s="8"/>
      <c r="QJD2" s="8"/>
      <c r="QJE2" s="8"/>
      <c r="QJF2" s="8"/>
      <c r="QJG2" s="8"/>
      <c r="QJH2" s="8"/>
      <c r="QJI2" s="8"/>
      <c r="QJJ2" s="8"/>
      <c r="QJK2" s="8"/>
      <c r="QJL2" s="8"/>
      <c r="QJM2" s="8"/>
      <c r="QJN2" s="8"/>
      <c r="QJO2" s="8"/>
      <c r="QJP2" s="8"/>
      <c r="QJQ2" s="8"/>
      <c r="QJR2" s="8"/>
      <c r="QJS2" s="8"/>
      <c r="QJT2" s="8"/>
      <c r="QJU2" s="8"/>
      <c r="QJV2" s="8"/>
      <c r="QJW2" s="8"/>
      <c r="QJX2" s="8"/>
      <c r="QJY2" s="8"/>
      <c r="QJZ2" s="8"/>
      <c r="QKA2" s="8"/>
      <c r="QKB2" s="8"/>
      <c r="QKC2" s="8"/>
      <c r="QKD2" s="8"/>
      <c r="QKE2" s="8"/>
      <c r="QKF2" s="8"/>
      <c r="QKG2" s="8"/>
      <c r="QKH2" s="8"/>
      <c r="QKI2" s="8"/>
      <c r="QKJ2" s="8"/>
      <c r="QKK2" s="8"/>
      <c r="QKL2" s="8"/>
      <c r="QKM2" s="8"/>
      <c r="QKN2" s="8"/>
      <c r="QKO2" s="8"/>
      <c r="QKP2" s="8"/>
      <c r="QKQ2" s="8"/>
      <c r="QKR2" s="8"/>
      <c r="QKS2" s="8"/>
      <c r="QKT2" s="8"/>
      <c r="QKU2" s="8"/>
      <c r="QKV2" s="8"/>
      <c r="QKW2" s="8"/>
      <c r="QKX2" s="8"/>
      <c r="QKY2" s="8"/>
      <c r="QKZ2" s="8"/>
      <c r="QLA2" s="8"/>
      <c r="QLB2" s="8"/>
      <c r="QLC2" s="8"/>
      <c r="QLD2" s="8"/>
      <c r="QLE2" s="8"/>
      <c r="QLF2" s="8"/>
      <c r="QLG2" s="8"/>
      <c r="QLH2" s="8"/>
      <c r="QLI2" s="8"/>
      <c r="QLJ2" s="8"/>
      <c r="QLK2" s="8"/>
      <c r="QLL2" s="8"/>
      <c r="QLM2" s="8"/>
      <c r="QLN2" s="8"/>
      <c r="QLO2" s="8"/>
      <c r="QLP2" s="8"/>
      <c r="QLQ2" s="8"/>
      <c r="QLR2" s="8"/>
      <c r="QLS2" s="8"/>
      <c r="QLT2" s="8"/>
      <c r="QLU2" s="8"/>
      <c r="QLV2" s="8"/>
      <c r="QLW2" s="8"/>
      <c r="QLX2" s="8"/>
      <c r="QLY2" s="8"/>
      <c r="QLZ2" s="8"/>
      <c r="QMA2" s="8"/>
      <c r="QMB2" s="8"/>
      <c r="QMC2" s="8"/>
      <c r="QMD2" s="8"/>
      <c r="QME2" s="8"/>
      <c r="QMF2" s="8"/>
      <c r="QMG2" s="8"/>
      <c r="QMH2" s="8"/>
      <c r="QMI2" s="8"/>
      <c r="QMJ2" s="8"/>
      <c r="QMK2" s="8"/>
      <c r="QML2" s="8"/>
      <c r="QMM2" s="8"/>
      <c r="QMN2" s="8"/>
      <c r="QMO2" s="8"/>
      <c r="QMP2" s="8"/>
      <c r="QMQ2" s="8"/>
      <c r="QMR2" s="8"/>
      <c r="QMS2" s="8"/>
      <c r="QMT2" s="8"/>
      <c r="QMU2" s="8"/>
      <c r="QMV2" s="8"/>
      <c r="QMW2" s="8"/>
      <c r="QMX2" s="8"/>
      <c r="QMY2" s="8"/>
      <c r="QMZ2" s="8"/>
      <c r="QNA2" s="8"/>
      <c r="QNB2" s="8"/>
      <c r="QNC2" s="8"/>
      <c r="QND2" s="8"/>
      <c r="QNE2" s="8"/>
      <c r="QNF2" s="8"/>
      <c r="QNG2" s="8"/>
      <c r="QNH2" s="8"/>
      <c r="QNI2" s="8"/>
      <c r="QNJ2" s="8"/>
      <c r="QNK2" s="8"/>
      <c r="QNL2" s="8"/>
      <c r="QNM2" s="8"/>
      <c r="QNN2" s="8"/>
      <c r="QNO2" s="8"/>
      <c r="QNP2" s="8"/>
      <c r="QNQ2" s="8"/>
      <c r="QNR2" s="8"/>
      <c r="QNS2" s="8"/>
      <c r="QNT2" s="8"/>
      <c r="QNU2" s="8"/>
      <c r="QNV2" s="8"/>
      <c r="QNW2" s="8"/>
      <c r="QNX2" s="8"/>
      <c r="QNY2" s="8"/>
      <c r="QNZ2" s="8"/>
      <c r="QOA2" s="8"/>
      <c r="QOB2" s="8"/>
      <c r="QOC2" s="8"/>
      <c r="QOD2" s="8"/>
      <c r="QOE2" s="8"/>
      <c r="QOF2" s="8"/>
      <c r="QOG2" s="8"/>
      <c r="QOH2" s="8"/>
      <c r="QOI2" s="8"/>
      <c r="QOJ2" s="8"/>
      <c r="QOK2" s="8"/>
      <c r="QOL2" s="8"/>
      <c r="QOM2" s="8"/>
      <c r="QON2" s="8"/>
      <c r="QOO2" s="8"/>
      <c r="QOP2" s="8"/>
      <c r="QOQ2" s="8"/>
      <c r="QOR2" s="8"/>
      <c r="QOS2" s="8"/>
      <c r="QOT2" s="8"/>
      <c r="QOU2" s="8"/>
      <c r="QOV2" s="8"/>
      <c r="QOW2" s="8"/>
      <c r="QOX2" s="8"/>
      <c r="QOY2" s="8"/>
      <c r="QOZ2" s="8"/>
      <c r="QPA2" s="8"/>
      <c r="QPB2" s="8"/>
      <c r="QPC2" s="8"/>
      <c r="QPD2" s="8"/>
      <c r="QPE2" s="8"/>
      <c r="QPF2" s="8"/>
      <c r="QPG2" s="8"/>
      <c r="QPH2" s="8"/>
      <c r="QPI2" s="8"/>
      <c r="QPJ2" s="8"/>
      <c r="QPK2" s="8"/>
      <c r="QPL2" s="8"/>
      <c r="QPM2" s="8"/>
      <c r="QPN2" s="8"/>
      <c r="QPO2" s="8"/>
      <c r="QPP2" s="8"/>
      <c r="QPQ2" s="8"/>
      <c r="QPR2" s="8"/>
      <c r="QPS2" s="8"/>
      <c r="QPT2" s="8"/>
      <c r="QPU2" s="8"/>
      <c r="QPV2" s="8"/>
      <c r="QPW2" s="8"/>
      <c r="QPX2" s="8"/>
      <c r="QPY2" s="8"/>
      <c r="QPZ2" s="8"/>
      <c r="QQA2" s="8"/>
      <c r="QQB2" s="8"/>
      <c r="QQC2" s="8"/>
      <c r="QQD2" s="8"/>
      <c r="QQE2" s="8"/>
      <c r="QQF2" s="8"/>
      <c r="QQG2" s="8"/>
      <c r="QQH2" s="8"/>
      <c r="QQI2" s="8"/>
      <c r="QQJ2" s="8"/>
      <c r="QQK2" s="8"/>
      <c r="QQL2" s="8"/>
      <c r="QQM2" s="8"/>
      <c r="QQN2" s="8"/>
      <c r="QQO2" s="8"/>
      <c r="QQP2" s="8"/>
      <c r="QQQ2" s="8"/>
      <c r="QQR2" s="8"/>
      <c r="QQS2" s="8"/>
      <c r="QQT2" s="8"/>
      <c r="QQU2" s="8"/>
      <c r="QQV2" s="8"/>
      <c r="QQW2" s="8"/>
      <c r="QQX2" s="8"/>
      <c r="QQY2" s="8"/>
      <c r="QQZ2" s="8"/>
      <c r="QRA2" s="8"/>
      <c r="QRB2" s="8"/>
      <c r="QRC2" s="8"/>
      <c r="QRD2" s="8"/>
      <c r="QRE2" s="8"/>
      <c r="QRF2" s="8"/>
      <c r="QRG2" s="8"/>
      <c r="QRH2" s="8"/>
      <c r="QRI2" s="8"/>
      <c r="QRJ2" s="8"/>
      <c r="QRK2" s="8"/>
      <c r="QRL2" s="8"/>
      <c r="QRM2" s="8"/>
      <c r="QRN2" s="8"/>
      <c r="QRO2" s="8"/>
      <c r="QRP2" s="8"/>
      <c r="QRQ2" s="8"/>
      <c r="QRR2" s="8"/>
      <c r="QRS2" s="8"/>
      <c r="QRT2" s="8"/>
      <c r="QRU2" s="8"/>
      <c r="QRV2" s="8"/>
      <c r="QRW2" s="8"/>
      <c r="QRX2" s="8"/>
      <c r="QRY2" s="8"/>
      <c r="QRZ2" s="8"/>
      <c r="QSA2" s="8"/>
      <c r="QSB2" s="8"/>
      <c r="QSC2" s="8"/>
      <c r="QSD2" s="8"/>
      <c r="QSE2" s="8"/>
      <c r="QSF2" s="8"/>
      <c r="QSG2" s="8"/>
      <c r="QSH2" s="8"/>
      <c r="QSI2" s="8"/>
      <c r="QSJ2" s="8"/>
      <c r="QSK2" s="8"/>
      <c r="QSL2" s="8"/>
      <c r="QSM2" s="8"/>
      <c r="QSN2" s="8"/>
      <c r="QSO2" s="8"/>
      <c r="QSP2" s="8"/>
      <c r="QSQ2" s="8"/>
      <c r="QSR2" s="8"/>
      <c r="QSS2" s="8"/>
      <c r="QST2" s="8"/>
      <c r="QSU2" s="8"/>
      <c r="QSV2" s="8"/>
      <c r="QSW2" s="8"/>
      <c r="QSX2" s="8"/>
      <c r="QSY2" s="8"/>
      <c r="QSZ2" s="8"/>
      <c r="QTA2" s="8"/>
      <c r="QTB2" s="8"/>
      <c r="QTC2" s="8"/>
      <c r="QTD2" s="8"/>
      <c r="QTE2" s="8"/>
      <c r="QTF2" s="8"/>
      <c r="QTG2" s="8"/>
      <c r="QTH2" s="8"/>
      <c r="QTI2" s="8"/>
      <c r="QTJ2" s="8"/>
      <c r="QTK2" s="8"/>
      <c r="QTL2" s="8"/>
      <c r="QTM2" s="8"/>
      <c r="QTN2" s="8"/>
      <c r="QTO2" s="8"/>
      <c r="QTP2" s="8"/>
      <c r="QTQ2" s="8"/>
      <c r="QTR2" s="8"/>
      <c r="QTS2" s="8"/>
      <c r="QTT2" s="8"/>
      <c r="QTU2" s="8"/>
      <c r="QTV2" s="8"/>
      <c r="QTW2" s="8"/>
      <c r="QTX2" s="8"/>
      <c r="QTY2" s="8"/>
      <c r="QTZ2" s="8"/>
      <c r="QUA2" s="8"/>
      <c r="QUB2" s="8"/>
      <c r="QUC2" s="8"/>
      <c r="QUD2" s="8"/>
      <c r="QUE2" s="8"/>
      <c r="QUF2" s="8"/>
      <c r="QUG2" s="8"/>
      <c r="QUH2" s="8"/>
      <c r="QUI2" s="8"/>
      <c r="QUJ2" s="8"/>
      <c r="QUK2" s="8"/>
      <c r="QUL2" s="8"/>
      <c r="QUM2" s="8"/>
      <c r="QUN2" s="8"/>
      <c r="QUO2" s="8"/>
      <c r="QUP2" s="8"/>
      <c r="QUQ2" s="8"/>
      <c r="QUR2" s="8"/>
      <c r="QUS2" s="8"/>
      <c r="QUT2" s="8"/>
      <c r="QUU2" s="8"/>
      <c r="QUV2" s="8"/>
      <c r="QUW2" s="8"/>
      <c r="QUX2" s="8"/>
      <c r="QUY2" s="8"/>
      <c r="QUZ2" s="8"/>
      <c r="QVA2" s="8"/>
      <c r="QVB2" s="8"/>
      <c r="QVC2" s="8"/>
      <c r="QVD2" s="8"/>
      <c r="QVE2" s="8"/>
      <c r="QVF2" s="8"/>
      <c r="QVG2" s="8"/>
      <c r="QVH2" s="8"/>
      <c r="QVI2" s="8"/>
      <c r="QVJ2" s="8"/>
      <c r="QVK2" s="8"/>
      <c r="QVL2" s="8"/>
      <c r="QVM2" s="8"/>
      <c r="QVN2" s="8"/>
      <c r="QVO2" s="8"/>
      <c r="QVP2" s="8"/>
      <c r="QVQ2" s="8"/>
      <c r="QVR2" s="8"/>
      <c r="QVS2" s="8"/>
      <c r="QVT2" s="8"/>
      <c r="QVU2" s="8"/>
      <c r="QVV2" s="8"/>
      <c r="QVW2" s="8"/>
      <c r="QVX2" s="8"/>
      <c r="QVY2" s="8"/>
      <c r="QVZ2" s="8"/>
      <c r="QWA2" s="8"/>
      <c r="QWB2" s="8"/>
      <c r="QWC2" s="8"/>
      <c r="QWD2" s="8"/>
      <c r="QWE2" s="8"/>
      <c r="QWF2" s="8"/>
      <c r="QWG2" s="8"/>
      <c r="QWH2" s="8"/>
      <c r="QWI2" s="8"/>
      <c r="QWJ2" s="8"/>
      <c r="QWK2" s="8"/>
      <c r="QWL2" s="8"/>
      <c r="QWM2" s="8"/>
      <c r="QWN2" s="8"/>
      <c r="QWO2" s="8"/>
      <c r="QWP2" s="8"/>
      <c r="QWQ2" s="8"/>
      <c r="QWR2" s="8"/>
      <c r="QWS2" s="8"/>
      <c r="QWT2" s="8"/>
      <c r="QWU2" s="8"/>
      <c r="QWV2" s="8"/>
      <c r="QWW2" s="8"/>
      <c r="QWX2" s="8"/>
      <c r="QWY2" s="8"/>
      <c r="QWZ2" s="8"/>
      <c r="QXA2" s="8"/>
      <c r="QXB2" s="8"/>
      <c r="QXC2" s="8"/>
      <c r="QXD2" s="8"/>
      <c r="QXE2" s="8"/>
      <c r="QXF2" s="8"/>
      <c r="QXG2" s="8"/>
      <c r="QXH2" s="8"/>
      <c r="QXI2" s="8"/>
      <c r="QXJ2" s="8"/>
      <c r="QXK2" s="8"/>
      <c r="QXL2" s="8"/>
      <c r="QXM2" s="8"/>
      <c r="QXN2" s="8"/>
      <c r="QXO2" s="8"/>
      <c r="QXP2" s="8"/>
      <c r="QXQ2" s="8"/>
      <c r="QXR2" s="8"/>
      <c r="QXS2" s="8"/>
      <c r="QXT2" s="8"/>
      <c r="QXU2" s="8"/>
      <c r="QXV2" s="8"/>
      <c r="QXW2" s="8"/>
      <c r="QXX2" s="8"/>
      <c r="QXY2" s="8"/>
      <c r="QXZ2" s="8"/>
      <c r="QYA2" s="8"/>
      <c r="QYB2" s="8"/>
      <c r="QYC2" s="8"/>
      <c r="QYD2" s="8"/>
      <c r="QYE2" s="8"/>
      <c r="QYF2" s="8"/>
      <c r="QYG2" s="8"/>
      <c r="QYH2" s="8"/>
      <c r="QYI2" s="8"/>
      <c r="QYJ2" s="8"/>
      <c r="QYK2" s="8"/>
      <c r="QYL2" s="8"/>
      <c r="QYM2" s="8"/>
      <c r="QYN2" s="8"/>
      <c r="QYO2" s="8"/>
      <c r="QYP2" s="8"/>
      <c r="QYQ2" s="8"/>
      <c r="QYR2" s="8"/>
      <c r="QYS2" s="8"/>
      <c r="QYT2" s="8"/>
      <c r="QYU2" s="8"/>
      <c r="QYV2" s="8"/>
      <c r="QYW2" s="8"/>
      <c r="QYX2" s="8"/>
      <c r="QYY2" s="8"/>
      <c r="QYZ2" s="8"/>
      <c r="QZA2" s="8"/>
      <c r="QZB2" s="8"/>
      <c r="QZC2" s="8"/>
      <c r="QZD2" s="8"/>
      <c r="QZE2" s="8"/>
      <c r="QZF2" s="8"/>
      <c r="QZG2" s="8"/>
      <c r="QZH2" s="8"/>
      <c r="QZI2" s="8"/>
      <c r="QZJ2" s="8"/>
      <c r="QZK2" s="8"/>
      <c r="QZL2" s="8"/>
      <c r="QZM2" s="8"/>
      <c r="QZN2" s="8"/>
      <c r="QZO2" s="8"/>
      <c r="QZP2" s="8"/>
      <c r="QZQ2" s="8"/>
      <c r="QZR2" s="8"/>
      <c r="QZS2" s="8"/>
      <c r="QZT2" s="8"/>
      <c r="QZU2" s="8"/>
      <c r="QZV2" s="8"/>
      <c r="QZW2" s="8"/>
      <c r="QZX2" s="8"/>
      <c r="QZY2" s="8"/>
      <c r="QZZ2" s="8"/>
      <c r="RAA2" s="8"/>
      <c r="RAB2" s="8"/>
      <c r="RAC2" s="8"/>
      <c r="RAD2" s="8"/>
      <c r="RAE2" s="8"/>
      <c r="RAF2" s="8"/>
      <c r="RAG2" s="8"/>
      <c r="RAH2" s="8"/>
      <c r="RAI2" s="8"/>
      <c r="RAJ2" s="8"/>
      <c r="RAK2" s="8"/>
      <c r="RAL2" s="8"/>
      <c r="RAM2" s="8"/>
      <c r="RAN2" s="8"/>
      <c r="RAO2" s="8"/>
      <c r="RAP2" s="8"/>
      <c r="RAQ2" s="8"/>
      <c r="RAR2" s="8"/>
      <c r="RAS2" s="8"/>
      <c r="RAT2" s="8"/>
      <c r="RAU2" s="8"/>
      <c r="RAV2" s="8"/>
      <c r="RAW2" s="8"/>
      <c r="RAX2" s="8"/>
      <c r="RAY2" s="8"/>
      <c r="RAZ2" s="8"/>
      <c r="RBA2" s="8"/>
      <c r="RBB2" s="8"/>
      <c r="RBC2" s="8"/>
      <c r="RBD2" s="8"/>
      <c r="RBE2" s="8"/>
      <c r="RBF2" s="8"/>
      <c r="RBG2" s="8"/>
      <c r="RBH2" s="8"/>
      <c r="RBI2" s="8"/>
      <c r="RBJ2" s="8"/>
      <c r="RBK2" s="8"/>
      <c r="RBL2" s="8"/>
      <c r="RBM2" s="8"/>
      <c r="RBN2" s="8"/>
      <c r="RBO2" s="8"/>
      <c r="RBP2" s="8"/>
      <c r="RBQ2" s="8"/>
      <c r="RBR2" s="8"/>
      <c r="RBS2" s="8"/>
      <c r="RBT2" s="8"/>
      <c r="RBU2" s="8"/>
      <c r="RBV2" s="8"/>
      <c r="RBW2" s="8"/>
      <c r="RBX2" s="8"/>
      <c r="RBY2" s="8"/>
      <c r="RBZ2" s="8"/>
      <c r="RCA2" s="8"/>
      <c r="RCB2" s="8"/>
      <c r="RCC2" s="8"/>
      <c r="RCD2" s="8"/>
      <c r="RCE2" s="8"/>
      <c r="RCF2" s="8"/>
      <c r="RCG2" s="8"/>
      <c r="RCH2" s="8"/>
      <c r="RCI2" s="8"/>
      <c r="RCJ2" s="8"/>
      <c r="RCK2" s="8"/>
      <c r="RCL2" s="8"/>
      <c r="RCM2" s="8"/>
      <c r="RCN2" s="8"/>
      <c r="RCO2" s="8"/>
      <c r="RCP2" s="8"/>
      <c r="RCQ2" s="8"/>
      <c r="RCR2" s="8"/>
      <c r="RCS2" s="8"/>
      <c r="RCT2" s="8"/>
      <c r="RCU2" s="8"/>
      <c r="RCV2" s="8"/>
      <c r="RCW2" s="8"/>
      <c r="RCX2" s="8"/>
      <c r="RCY2" s="8"/>
      <c r="RCZ2" s="8"/>
      <c r="RDA2" s="8"/>
      <c r="RDB2" s="8"/>
      <c r="RDC2" s="8"/>
      <c r="RDD2" s="8"/>
      <c r="RDE2" s="8"/>
      <c r="RDF2" s="8"/>
      <c r="RDG2" s="8"/>
      <c r="RDH2" s="8"/>
      <c r="RDI2" s="8"/>
      <c r="RDJ2" s="8"/>
      <c r="RDK2" s="8"/>
      <c r="RDL2" s="8"/>
      <c r="RDM2" s="8"/>
      <c r="RDN2" s="8"/>
      <c r="RDO2" s="8"/>
      <c r="RDP2" s="8"/>
      <c r="RDQ2" s="8"/>
      <c r="RDR2" s="8"/>
      <c r="RDS2" s="8"/>
      <c r="RDT2" s="8"/>
      <c r="RDU2" s="8"/>
      <c r="RDV2" s="8"/>
      <c r="RDW2" s="8"/>
      <c r="RDX2" s="8"/>
      <c r="RDY2" s="8"/>
      <c r="RDZ2" s="8"/>
      <c r="REA2" s="8"/>
      <c r="REB2" s="8"/>
      <c r="REC2" s="8"/>
      <c r="RED2" s="8"/>
      <c r="REE2" s="8"/>
      <c r="REF2" s="8"/>
      <c r="REG2" s="8"/>
      <c r="REH2" s="8"/>
      <c r="REI2" s="8"/>
      <c r="REJ2" s="8"/>
      <c r="REK2" s="8"/>
      <c r="REL2" s="8"/>
      <c r="REM2" s="8"/>
      <c r="REN2" s="8"/>
      <c r="REO2" s="8"/>
      <c r="REP2" s="8"/>
      <c r="REQ2" s="8"/>
      <c r="RER2" s="8"/>
      <c r="RES2" s="8"/>
      <c r="RET2" s="8"/>
      <c r="REU2" s="8"/>
      <c r="REV2" s="8"/>
      <c r="REW2" s="8"/>
      <c r="REX2" s="8"/>
      <c r="REY2" s="8"/>
      <c r="REZ2" s="8"/>
      <c r="RFA2" s="8"/>
      <c r="RFB2" s="8"/>
      <c r="RFC2" s="8"/>
      <c r="RFD2" s="8"/>
      <c r="RFE2" s="8"/>
      <c r="RFF2" s="8"/>
      <c r="RFG2" s="8"/>
      <c r="RFH2" s="8"/>
      <c r="RFI2" s="8"/>
      <c r="RFJ2" s="8"/>
      <c r="RFK2" s="8"/>
      <c r="RFL2" s="8"/>
      <c r="RFM2" s="8"/>
      <c r="RFN2" s="8"/>
      <c r="RFO2" s="8"/>
      <c r="RFP2" s="8"/>
      <c r="RFQ2" s="8"/>
      <c r="RFR2" s="8"/>
      <c r="RFS2" s="8"/>
      <c r="RFT2" s="8"/>
      <c r="RFU2" s="8"/>
      <c r="RFV2" s="8"/>
      <c r="RFW2" s="8"/>
      <c r="RFX2" s="8"/>
      <c r="RFY2" s="8"/>
      <c r="RFZ2" s="8"/>
      <c r="RGA2" s="8"/>
      <c r="RGB2" s="8"/>
      <c r="RGC2" s="8"/>
      <c r="RGD2" s="8"/>
      <c r="RGE2" s="8"/>
      <c r="RGF2" s="8"/>
      <c r="RGG2" s="8"/>
      <c r="RGH2" s="8"/>
      <c r="RGI2" s="8"/>
      <c r="RGJ2" s="8"/>
      <c r="RGK2" s="8"/>
      <c r="RGL2" s="8"/>
      <c r="RGM2" s="8"/>
      <c r="RGN2" s="8"/>
      <c r="RGO2" s="8"/>
      <c r="RGP2" s="8"/>
      <c r="RGQ2" s="8"/>
      <c r="RGR2" s="8"/>
      <c r="RGS2" s="8"/>
      <c r="RGT2" s="8"/>
      <c r="RGU2" s="8"/>
      <c r="RGV2" s="8"/>
      <c r="RGW2" s="8"/>
      <c r="RGX2" s="8"/>
      <c r="RGY2" s="8"/>
      <c r="RGZ2" s="8"/>
      <c r="RHA2" s="8"/>
      <c r="RHB2" s="8"/>
      <c r="RHC2" s="8"/>
      <c r="RHD2" s="8"/>
      <c r="RHE2" s="8"/>
      <c r="RHF2" s="8"/>
      <c r="RHG2" s="8"/>
      <c r="RHH2" s="8"/>
      <c r="RHI2" s="8"/>
      <c r="RHJ2" s="8"/>
      <c r="RHK2" s="8"/>
      <c r="RHL2" s="8"/>
      <c r="RHM2" s="8"/>
      <c r="RHN2" s="8"/>
      <c r="RHO2" s="8"/>
      <c r="RHP2" s="8"/>
      <c r="RHQ2" s="8"/>
      <c r="RHR2" s="8"/>
      <c r="RHS2" s="8"/>
      <c r="RHT2" s="8"/>
      <c r="RHU2" s="8"/>
      <c r="RHV2" s="8"/>
      <c r="RHW2" s="8"/>
      <c r="RHX2" s="8"/>
      <c r="RHY2" s="8"/>
      <c r="RHZ2" s="8"/>
      <c r="RIA2" s="8"/>
      <c r="RIB2" s="8"/>
      <c r="RIC2" s="8"/>
      <c r="RID2" s="8"/>
      <c r="RIE2" s="8"/>
      <c r="RIF2" s="8"/>
      <c r="RIG2" s="8"/>
      <c r="RIH2" s="8"/>
      <c r="RII2" s="8"/>
      <c r="RIJ2" s="8"/>
      <c r="RIK2" s="8"/>
      <c r="RIL2" s="8"/>
      <c r="RIM2" s="8"/>
      <c r="RIN2" s="8"/>
      <c r="RIO2" s="8"/>
      <c r="RIP2" s="8"/>
      <c r="RIQ2" s="8"/>
      <c r="RIR2" s="8"/>
      <c r="RIS2" s="8"/>
      <c r="RIT2" s="8"/>
      <c r="RIU2" s="8"/>
      <c r="RIV2" s="8"/>
      <c r="RIW2" s="8"/>
      <c r="RIX2" s="8"/>
      <c r="RIY2" s="8"/>
      <c r="RIZ2" s="8"/>
      <c r="RJA2" s="8"/>
      <c r="RJB2" s="8"/>
      <c r="RJC2" s="8"/>
      <c r="RJD2" s="8"/>
      <c r="RJE2" s="8"/>
      <c r="RJF2" s="8"/>
      <c r="RJG2" s="8"/>
      <c r="RJH2" s="8"/>
      <c r="RJI2" s="8"/>
      <c r="RJJ2" s="8"/>
      <c r="RJK2" s="8"/>
      <c r="RJL2" s="8"/>
      <c r="RJM2" s="8"/>
      <c r="RJN2" s="8"/>
      <c r="RJO2" s="8"/>
      <c r="RJP2" s="8"/>
      <c r="RJQ2" s="8"/>
      <c r="RJR2" s="8"/>
      <c r="RJS2" s="8"/>
      <c r="RJT2" s="8"/>
      <c r="RJU2" s="8"/>
      <c r="RJV2" s="8"/>
      <c r="RJW2" s="8"/>
      <c r="RJX2" s="8"/>
      <c r="RJY2" s="8"/>
      <c r="RJZ2" s="8"/>
      <c r="RKA2" s="8"/>
      <c r="RKB2" s="8"/>
      <c r="RKC2" s="8"/>
      <c r="RKD2" s="8"/>
      <c r="RKE2" s="8"/>
      <c r="RKF2" s="8"/>
      <c r="RKG2" s="8"/>
      <c r="RKH2" s="8"/>
      <c r="RKI2" s="8"/>
      <c r="RKJ2" s="8"/>
      <c r="RKK2" s="8"/>
      <c r="RKL2" s="8"/>
      <c r="RKM2" s="8"/>
      <c r="RKN2" s="8"/>
      <c r="RKO2" s="8"/>
      <c r="RKP2" s="8"/>
      <c r="RKQ2" s="8"/>
      <c r="RKR2" s="8"/>
      <c r="RKS2" s="8"/>
      <c r="RKT2" s="8"/>
      <c r="RKU2" s="8"/>
      <c r="RKV2" s="8"/>
      <c r="RKW2" s="8"/>
      <c r="RKX2" s="8"/>
      <c r="RKY2" s="8"/>
      <c r="RKZ2" s="8"/>
      <c r="RLA2" s="8"/>
      <c r="RLB2" s="8"/>
      <c r="RLC2" s="8"/>
      <c r="RLD2" s="8"/>
      <c r="RLE2" s="8"/>
      <c r="RLF2" s="8"/>
      <c r="RLG2" s="8"/>
      <c r="RLH2" s="8"/>
      <c r="RLI2" s="8"/>
      <c r="RLJ2" s="8"/>
      <c r="RLK2" s="8"/>
      <c r="RLL2" s="8"/>
      <c r="RLM2" s="8"/>
      <c r="RLN2" s="8"/>
      <c r="RLO2" s="8"/>
      <c r="RLP2" s="8"/>
      <c r="RLQ2" s="8"/>
      <c r="RLR2" s="8"/>
      <c r="RLS2" s="8"/>
      <c r="RLT2" s="8"/>
      <c r="RLU2" s="8"/>
      <c r="RLV2" s="8"/>
      <c r="RLW2" s="8"/>
      <c r="RLX2" s="8"/>
      <c r="RLY2" s="8"/>
      <c r="RLZ2" s="8"/>
      <c r="RMA2" s="8"/>
      <c r="RMB2" s="8"/>
      <c r="RMC2" s="8"/>
      <c r="RMD2" s="8"/>
      <c r="RME2" s="8"/>
      <c r="RMF2" s="8"/>
      <c r="RMG2" s="8"/>
      <c r="RMH2" s="8"/>
      <c r="RMI2" s="8"/>
      <c r="RMJ2" s="8"/>
      <c r="RMK2" s="8"/>
      <c r="RML2" s="8"/>
      <c r="RMM2" s="8"/>
      <c r="RMN2" s="8"/>
      <c r="RMO2" s="8"/>
      <c r="RMP2" s="8"/>
      <c r="RMQ2" s="8"/>
      <c r="RMR2" s="8"/>
      <c r="RMS2" s="8"/>
      <c r="RMT2" s="8"/>
      <c r="RMU2" s="8"/>
      <c r="RMV2" s="8"/>
      <c r="RMW2" s="8"/>
      <c r="RMX2" s="8"/>
      <c r="RMY2" s="8"/>
      <c r="RMZ2" s="8"/>
      <c r="RNA2" s="8"/>
      <c r="RNB2" s="8"/>
      <c r="RNC2" s="8"/>
      <c r="RND2" s="8"/>
      <c r="RNE2" s="8"/>
      <c r="RNF2" s="8"/>
      <c r="RNG2" s="8"/>
      <c r="RNH2" s="8"/>
      <c r="RNI2" s="8"/>
      <c r="RNJ2" s="8"/>
      <c r="RNK2" s="8"/>
      <c r="RNL2" s="8"/>
      <c r="RNM2" s="8"/>
      <c r="RNN2" s="8"/>
      <c r="RNO2" s="8"/>
      <c r="RNP2" s="8"/>
      <c r="RNQ2" s="8"/>
      <c r="RNR2" s="8"/>
      <c r="RNS2" s="8"/>
      <c r="RNT2" s="8"/>
      <c r="RNU2" s="8"/>
      <c r="RNV2" s="8"/>
      <c r="RNW2" s="8"/>
      <c r="RNX2" s="8"/>
      <c r="RNY2" s="8"/>
      <c r="RNZ2" s="8"/>
      <c r="ROA2" s="8"/>
      <c r="ROB2" s="8"/>
      <c r="ROC2" s="8"/>
      <c r="ROD2" s="8"/>
      <c r="ROE2" s="8"/>
      <c r="ROF2" s="8"/>
      <c r="ROG2" s="8"/>
      <c r="ROH2" s="8"/>
      <c r="ROI2" s="8"/>
      <c r="ROJ2" s="8"/>
      <c r="ROK2" s="8"/>
      <c r="ROL2" s="8"/>
      <c r="ROM2" s="8"/>
      <c r="RON2" s="8"/>
      <c r="ROO2" s="8"/>
      <c r="ROP2" s="8"/>
      <c r="ROQ2" s="8"/>
      <c r="ROR2" s="8"/>
      <c r="ROS2" s="8"/>
      <c r="ROT2" s="8"/>
      <c r="ROU2" s="8"/>
      <c r="ROV2" s="8"/>
      <c r="ROW2" s="8"/>
      <c r="ROX2" s="8"/>
      <c r="ROY2" s="8"/>
      <c r="ROZ2" s="8"/>
      <c r="RPA2" s="8"/>
      <c r="RPB2" s="8"/>
      <c r="RPC2" s="8"/>
      <c r="RPD2" s="8"/>
      <c r="RPE2" s="8"/>
      <c r="RPF2" s="8"/>
      <c r="RPG2" s="8"/>
      <c r="RPH2" s="8"/>
      <c r="RPI2" s="8"/>
      <c r="RPJ2" s="8"/>
      <c r="RPK2" s="8"/>
      <c r="RPL2" s="8"/>
      <c r="RPM2" s="8"/>
      <c r="RPN2" s="8"/>
      <c r="RPO2" s="8"/>
      <c r="RPP2" s="8"/>
      <c r="RPQ2" s="8"/>
      <c r="RPR2" s="8"/>
      <c r="RPS2" s="8"/>
      <c r="RPT2" s="8"/>
      <c r="RPU2" s="8"/>
      <c r="RPV2" s="8"/>
      <c r="RPW2" s="8"/>
      <c r="RPX2" s="8"/>
      <c r="RPY2" s="8"/>
      <c r="RPZ2" s="8"/>
      <c r="RQA2" s="8"/>
      <c r="RQB2" s="8"/>
      <c r="RQC2" s="8"/>
      <c r="RQD2" s="8"/>
      <c r="RQE2" s="8"/>
      <c r="RQF2" s="8"/>
      <c r="RQG2" s="8"/>
      <c r="RQH2" s="8"/>
      <c r="RQI2" s="8"/>
      <c r="RQJ2" s="8"/>
      <c r="RQK2" s="8"/>
      <c r="RQL2" s="8"/>
      <c r="RQM2" s="8"/>
      <c r="RQN2" s="8"/>
      <c r="RQO2" s="8"/>
      <c r="RQP2" s="8"/>
      <c r="RQQ2" s="8"/>
      <c r="RQR2" s="8"/>
      <c r="RQS2" s="8"/>
      <c r="RQT2" s="8"/>
      <c r="RQU2" s="8"/>
      <c r="RQV2" s="8"/>
      <c r="RQW2" s="8"/>
      <c r="RQX2" s="8"/>
      <c r="RQY2" s="8"/>
      <c r="RQZ2" s="8"/>
      <c r="RRA2" s="8"/>
      <c r="RRB2" s="8"/>
      <c r="RRC2" s="8"/>
      <c r="RRD2" s="8"/>
      <c r="RRE2" s="8"/>
      <c r="RRF2" s="8"/>
      <c r="RRG2" s="8"/>
      <c r="RRH2" s="8"/>
      <c r="RRI2" s="8"/>
      <c r="RRJ2" s="8"/>
      <c r="RRK2" s="8"/>
      <c r="RRL2" s="8"/>
      <c r="RRM2" s="8"/>
      <c r="RRN2" s="8"/>
      <c r="RRO2" s="8"/>
      <c r="RRP2" s="8"/>
      <c r="RRQ2" s="8"/>
      <c r="RRR2" s="8"/>
      <c r="RRS2" s="8"/>
      <c r="RRT2" s="8"/>
      <c r="RRU2" s="8"/>
      <c r="RRV2" s="8"/>
      <c r="RRW2" s="8"/>
      <c r="RRX2" s="8"/>
      <c r="RRY2" s="8"/>
      <c r="RRZ2" s="8"/>
      <c r="RSA2" s="8"/>
      <c r="RSB2" s="8"/>
      <c r="RSC2" s="8"/>
      <c r="RSD2" s="8"/>
      <c r="RSE2" s="8"/>
      <c r="RSF2" s="8"/>
      <c r="RSG2" s="8"/>
      <c r="RSH2" s="8"/>
      <c r="RSI2" s="8"/>
      <c r="RSJ2" s="8"/>
      <c r="RSK2" s="8"/>
      <c r="RSL2" s="8"/>
      <c r="RSM2" s="8"/>
      <c r="RSN2" s="8"/>
      <c r="RSO2" s="8"/>
      <c r="RSP2" s="8"/>
      <c r="RSQ2" s="8"/>
      <c r="RSR2" s="8"/>
      <c r="RSS2" s="8"/>
      <c r="RST2" s="8"/>
      <c r="RSU2" s="8"/>
      <c r="RSV2" s="8"/>
      <c r="RSW2" s="8"/>
      <c r="RSX2" s="8"/>
      <c r="RSY2" s="8"/>
      <c r="RSZ2" s="8"/>
      <c r="RTA2" s="8"/>
      <c r="RTB2" s="8"/>
      <c r="RTC2" s="8"/>
      <c r="RTD2" s="8"/>
      <c r="RTE2" s="8"/>
      <c r="RTF2" s="8"/>
      <c r="RTG2" s="8"/>
      <c r="RTH2" s="8"/>
      <c r="RTI2" s="8"/>
      <c r="RTJ2" s="8"/>
      <c r="RTK2" s="8"/>
      <c r="RTL2" s="8"/>
      <c r="RTM2" s="8"/>
      <c r="RTN2" s="8"/>
      <c r="RTO2" s="8"/>
      <c r="RTP2" s="8"/>
      <c r="RTQ2" s="8"/>
      <c r="RTR2" s="8"/>
      <c r="RTS2" s="8"/>
      <c r="RTT2" s="8"/>
      <c r="RTU2" s="8"/>
      <c r="RTV2" s="8"/>
      <c r="RTW2" s="8"/>
      <c r="RTX2" s="8"/>
      <c r="RTY2" s="8"/>
      <c r="RTZ2" s="8"/>
      <c r="RUA2" s="8"/>
      <c r="RUB2" s="8"/>
      <c r="RUC2" s="8"/>
      <c r="RUD2" s="8"/>
      <c r="RUE2" s="8"/>
      <c r="RUF2" s="8"/>
      <c r="RUG2" s="8"/>
      <c r="RUH2" s="8"/>
      <c r="RUI2" s="8"/>
      <c r="RUJ2" s="8"/>
      <c r="RUK2" s="8"/>
      <c r="RUL2" s="8"/>
      <c r="RUM2" s="8"/>
      <c r="RUN2" s="8"/>
      <c r="RUO2" s="8"/>
      <c r="RUP2" s="8"/>
      <c r="RUQ2" s="8"/>
      <c r="RUR2" s="8"/>
      <c r="RUS2" s="8"/>
      <c r="RUT2" s="8"/>
      <c r="RUU2" s="8"/>
      <c r="RUV2" s="8"/>
      <c r="RUW2" s="8"/>
      <c r="RUX2" s="8"/>
      <c r="RUY2" s="8"/>
      <c r="RUZ2" s="8"/>
      <c r="RVA2" s="8"/>
      <c r="RVB2" s="8"/>
      <c r="RVC2" s="8"/>
      <c r="RVD2" s="8"/>
      <c r="RVE2" s="8"/>
      <c r="RVF2" s="8"/>
      <c r="RVG2" s="8"/>
      <c r="RVH2" s="8"/>
      <c r="RVI2" s="8"/>
      <c r="RVJ2" s="8"/>
      <c r="RVK2" s="8"/>
      <c r="RVL2" s="8"/>
      <c r="RVM2" s="8"/>
      <c r="RVN2" s="8"/>
      <c r="RVO2" s="8"/>
      <c r="RVP2" s="8"/>
      <c r="RVQ2" s="8"/>
      <c r="RVR2" s="8"/>
      <c r="RVS2" s="8"/>
      <c r="RVT2" s="8"/>
      <c r="RVU2" s="8"/>
      <c r="RVV2" s="8"/>
      <c r="RVW2" s="8"/>
      <c r="RVX2" s="8"/>
      <c r="RVY2" s="8"/>
      <c r="RVZ2" s="8"/>
      <c r="RWA2" s="8"/>
      <c r="RWB2" s="8"/>
      <c r="RWC2" s="8"/>
      <c r="RWD2" s="8"/>
      <c r="RWE2" s="8"/>
      <c r="RWF2" s="8"/>
      <c r="RWG2" s="8"/>
      <c r="RWH2" s="8"/>
      <c r="RWI2" s="8"/>
      <c r="RWJ2" s="8"/>
      <c r="RWK2" s="8"/>
      <c r="RWL2" s="8"/>
      <c r="RWM2" s="8"/>
      <c r="RWN2" s="8"/>
      <c r="RWO2" s="8"/>
      <c r="RWP2" s="8"/>
      <c r="RWQ2" s="8"/>
      <c r="RWR2" s="8"/>
      <c r="RWS2" s="8"/>
      <c r="RWT2" s="8"/>
      <c r="RWU2" s="8"/>
      <c r="RWV2" s="8"/>
      <c r="RWW2" s="8"/>
      <c r="RWX2" s="8"/>
      <c r="RWY2" s="8"/>
      <c r="RWZ2" s="8"/>
      <c r="RXA2" s="8"/>
      <c r="RXB2" s="8"/>
      <c r="RXC2" s="8"/>
      <c r="RXD2" s="8"/>
      <c r="RXE2" s="8"/>
      <c r="RXF2" s="8"/>
      <c r="RXG2" s="8"/>
      <c r="RXH2" s="8"/>
      <c r="RXI2" s="8"/>
      <c r="RXJ2" s="8"/>
      <c r="RXK2" s="8"/>
      <c r="RXL2" s="8"/>
      <c r="RXM2" s="8"/>
      <c r="RXN2" s="8"/>
      <c r="RXO2" s="8"/>
      <c r="RXP2" s="8"/>
      <c r="RXQ2" s="8"/>
      <c r="RXR2" s="8"/>
      <c r="RXS2" s="8"/>
      <c r="RXT2" s="8"/>
      <c r="RXU2" s="8"/>
      <c r="RXV2" s="8"/>
      <c r="RXW2" s="8"/>
      <c r="RXX2" s="8"/>
      <c r="RXY2" s="8"/>
      <c r="RXZ2" s="8"/>
      <c r="RYA2" s="8"/>
      <c r="RYB2" s="8"/>
      <c r="RYC2" s="8"/>
      <c r="RYD2" s="8"/>
      <c r="RYE2" s="8"/>
      <c r="RYF2" s="8"/>
      <c r="RYG2" s="8"/>
      <c r="RYH2" s="8"/>
      <c r="RYI2" s="8"/>
      <c r="RYJ2" s="8"/>
      <c r="RYK2" s="8"/>
      <c r="RYL2" s="8"/>
      <c r="RYM2" s="8"/>
      <c r="RYN2" s="8"/>
      <c r="RYO2" s="8"/>
      <c r="RYP2" s="8"/>
      <c r="RYQ2" s="8"/>
      <c r="RYR2" s="8"/>
      <c r="RYS2" s="8"/>
      <c r="RYT2" s="8"/>
      <c r="RYU2" s="8"/>
      <c r="RYV2" s="8"/>
      <c r="RYW2" s="8"/>
      <c r="RYX2" s="8"/>
      <c r="RYY2" s="8"/>
      <c r="RYZ2" s="8"/>
      <c r="RZA2" s="8"/>
      <c r="RZB2" s="8"/>
      <c r="RZC2" s="8"/>
      <c r="RZD2" s="8"/>
      <c r="RZE2" s="8"/>
      <c r="RZF2" s="8"/>
      <c r="RZG2" s="8"/>
      <c r="RZH2" s="8"/>
      <c r="RZI2" s="8"/>
      <c r="RZJ2" s="8"/>
      <c r="RZK2" s="8"/>
      <c r="RZL2" s="8"/>
      <c r="RZM2" s="8"/>
      <c r="RZN2" s="8"/>
      <c r="RZO2" s="8"/>
      <c r="RZP2" s="8"/>
      <c r="RZQ2" s="8"/>
      <c r="RZR2" s="8"/>
      <c r="RZS2" s="8"/>
      <c r="RZT2" s="8"/>
      <c r="RZU2" s="8"/>
      <c r="RZV2" s="8"/>
      <c r="RZW2" s="8"/>
      <c r="RZX2" s="8"/>
      <c r="RZY2" s="8"/>
      <c r="RZZ2" s="8"/>
      <c r="SAA2" s="8"/>
      <c r="SAB2" s="8"/>
      <c r="SAC2" s="8"/>
      <c r="SAD2" s="8"/>
      <c r="SAE2" s="8"/>
      <c r="SAF2" s="8"/>
      <c r="SAG2" s="8"/>
      <c r="SAH2" s="8"/>
      <c r="SAI2" s="8"/>
      <c r="SAJ2" s="8"/>
      <c r="SAK2" s="8"/>
      <c r="SAL2" s="8"/>
      <c r="SAM2" s="8"/>
      <c r="SAN2" s="8"/>
      <c r="SAO2" s="8"/>
      <c r="SAP2" s="8"/>
      <c r="SAQ2" s="8"/>
      <c r="SAR2" s="8"/>
      <c r="SAS2" s="8"/>
      <c r="SAT2" s="8"/>
      <c r="SAU2" s="8"/>
      <c r="SAV2" s="8"/>
      <c r="SAW2" s="8"/>
      <c r="SAX2" s="8"/>
      <c r="SAY2" s="8"/>
      <c r="SAZ2" s="8"/>
      <c r="SBA2" s="8"/>
      <c r="SBB2" s="8"/>
      <c r="SBC2" s="8"/>
      <c r="SBD2" s="8"/>
      <c r="SBE2" s="8"/>
      <c r="SBF2" s="8"/>
      <c r="SBG2" s="8"/>
      <c r="SBH2" s="8"/>
      <c r="SBI2" s="8"/>
      <c r="SBJ2" s="8"/>
      <c r="SBK2" s="8"/>
      <c r="SBL2" s="8"/>
      <c r="SBM2" s="8"/>
      <c r="SBN2" s="8"/>
      <c r="SBO2" s="8"/>
      <c r="SBP2" s="8"/>
      <c r="SBQ2" s="8"/>
      <c r="SBR2" s="8"/>
      <c r="SBS2" s="8"/>
      <c r="SBT2" s="8"/>
      <c r="SBU2" s="8"/>
      <c r="SBV2" s="8"/>
      <c r="SBW2" s="8"/>
      <c r="SBX2" s="8"/>
      <c r="SBY2" s="8"/>
      <c r="SBZ2" s="8"/>
      <c r="SCA2" s="8"/>
      <c r="SCB2" s="8"/>
      <c r="SCC2" s="8"/>
      <c r="SCD2" s="8"/>
      <c r="SCE2" s="8"/>
      <c r="SCF2" s="8"/>
      <c r="SCG2" s="8"/>
      <c r="SCH2" s="8"/>
      <c r="SCI2" s="8"/>
      <c r="SCJ2" s="8"/>
      <c r="SCK2" s="8"/>
      <c r="SCL2" s="8"/>
      <c r="SCM2" s="8"/>
      <c r="SCN2" s="8"/>
      <c r="SCO2" s="8"/>
      <c r="SCP2" s="8"/>
      <c r="SCQ2" s="8"/>
      <c r="SCR2" s="8"/>
      <c r="SCS2" s="8"/>
      <c r="SCT2" s="8"/>
      <c r="SCU2" s="8"/>
      <c r="SCV2" s="8"/>
      <c r="SCW2" s="8"/>
      <c r="SCX2" s="8"/>
      <c r="SCY2" s="8"/>
      <c r="SCZ2" s="8"/>
      <c r="SDA2" s="8"/>
      <c r="SDB2" s="8"/>
      <c r="SDC2" s="8"/>
      <c r="SDD2" s="8"/>
      <c r="SDE2" s="8"/>
      <c r="SDF2" s="8"/>
      <c r="SDG2" s="8"/>
      <c r="SDH2" s="8"/>
      <c r="SDI2" s="8"/>
      <c r="SDJ2" s="8"/>
      <c r="SDK2" s="8"/>
      <c r="SDL2" s="8"/>
      <c r="SDM2" s="8"/>
      <c r="SDN2" s="8"/>
      <c r="SDO2" s="8"/>
      <c r="SDP2" s="8"/>
      <c r="SDQ2" s="8"/>
      <c r="SDR2" s="8"/>
      <c r="SDS2" s="8"/>
      <c r="SDT2" s="8"/>
      <c r="SDU2" s="8"/>
      <c r="SDV2" s="8"/>
      <c r="SDW2" s="8"/>
      <c r="SDX2" s="8"/>
      <c r="SDY2" s="8"/>
      <c r="SDZ2" s="8"/>
      <c r="SEA2" s="8"/>
      <c r="SEB2" s="8"/>
      <c r="SEC2" s="8"/>
      <c r="SED2" s="8"/>
      <c r="SEE2" s="8"/>
      <c r="SEF2" s="8"/>
      <c r="SEG2" s="8"/>
      <c r="SEH2" s="8"/>
      <c r="SEI2" s="8"/>
      <c r="SEJ2" s="8"/>
      <c r="SEK2" s="8"/>
      <c r="SEL2" s="8"/>
      <c r="SEM2" s="8"/>
      <c r="SEN2" s="8"/>
      <c r="SEO2" s="8"/>
      <c r="SEP2" s="8"/>
      <c r="SEQ2" s="8"/>
      <c r="SER2" s="8"/>
      <c r="SES2" s="8"/>
      <c r="SET2" s="8"/>
      <c r="SEU2" s="8"/>
      <c r="SEV2" s="8"/>
      <c r="SEW2" s="8"/>
      <c r="SEX2" s="8"/>
      <c r="SEY2" s="8"/>
      <c r="SEZ2" s="8"/>
      <c r="SFA2" s="8"/>
      <c r="SFB2" s="8"/>
      <c r="SFC2" s="8"/>
      <c r="SFD2" s="8"/>
      <c r="SFE2" s="8"/>
      <c r="SFF2" s="8"/>
      <c r="SFG2" s="8"/>
      <c r="SFH2" s="8"/>
      <c r="SFI2" s="8"/>
      <c r="SFJ2" s="8"/>
      <c r="SFK2" s="8"/>
      <c r="SFL2" s="8"/>
      <c r="SFM2" s="8"/>
      <c r="SFN2" s="8"/>
      <c r="SFO2" s="8"/>
      <c r="SFP2" s="8"/>
      <c r="SFQ2" s="8"/>
      <c r="SFR2" s="8"/>
      <c r="SFS2" s="8"/>
      <c r="SFT2" s="8"/>
      <c r="SFU2" s="8"/>
      <c r="SFV2" s="8"/>
      <c r="SFW2" s="8"/>
      <c r="SFX2" s="8"/>
      <c r="SFY2" s="8"/>
      <c r="SFZ2" s="8"/>
      <c r="SGA2" s="8"/>
      <c r="SGB2" s="8"/>
      <c r="SGC2" s="8"/>
      <c r="SGD2" s="8"/>
      <c r="SGE2" s="8"/>
      <c r="SGF2" s="8"/>
      <c r="SGG2" s="8"/>
      <c r="SGH2" s="8"/>
      <c r="SGI2" s="8"/>
      <c r="SGJ2" s="8"/>
      <c r="SGK2" s="8"/>
      <c r="SGL2" s="8"/>
      <c r="SGM2" s="8"/>
      <c r="SGN2" s="8"/>
      <c r="SGO2" s="8"/>
      <c r="SGP2" s="8"/>
      <c r="SGQ2" s="8"/>
      <c r="SGR2" s="8"/>
      <c r="SGS2" s="8"/>
      <c r="SGT2" s="8"/>
      <c r="SGU2" s="8"/>
      <c r="SGV2" s="8"/>
      <c r="SGW2" s="8"/>
      <c r="SGX2" s="8"/>
      <c r="SGY2" s="8"/>
      <c r="SGZ2" s="8"/>
      <c r="SHA2" s="8"/>
      <c r="SHB2" s="8"/>
      <c r="SHC2" s="8"/>
      <c r="SHD2" s="8"/>
      <c r="SHE2" s="8"/>
      <c r="SHF2" s="8"/>
      <c r="SHG2" s="8"/>
      <c r="SHH2" s="8"/>
      <c r="SHI2" s="8"/>
      <c r="SHJ2" s="8"/>
      <c r="SHK2" s="8"/>
      <c r="SHL2" s="8"/>
      <c r="SHM2" s="8"/>
      <c r="SHN2" s="8"/>
      <c r="SHO2" s="8"/>
      <c r="SHP2" s="8"/>
      <c r="SHQ2" s="8"/>
      <c r="SHR2" s="8"/>
      <c r="SHS2" s="8"/>
      <c r="SHT2" s="8"/>
      <c r="SHU2" s="8"/>
      <c r="SHV2" s="8"/>
      <c r="SHW2" s="8"/>
      <c r="SHX2" s="8"/>
      <c r="SHY2" s="8"/>
      <c r="SHZ2" s="8"/>
      <c r="SIA2" s="8"/>
      <c r="SIB2" s="8"/>
      <c r="SIC2" s="8"/>
      <c r="SID2" s="8"/>
      <c r="SIE2" s="8"/>
      <c r="SIF2" s="8"/>
      <c r="SIG2" s="8"/>
      <c r="SIH2" s="8"/>
      <c r="SII2" s="8"/>
      <c r="SIJ2" s="8"/>
      <c r="SIK2" s="8"/>
      <c r="SIL2" s="8"/>
      <c r="SIM2" s="8"/>
      <c r="SIN2" s="8"/>
      <c r="SIO2" s="8"/>
      <c r="SIP2" s="8"/>
      <c r="SIQ2" s="8"/>
      <c r="SIR2" s="8"/>
      <c r="SIS2" s="8"/>
      <c r="SIT2" s="8"/>
      <c r="SIU2" s="8"/>
      <c r="SIV2" s="8"/>
      <c r="SIW2" s="8"/>
      <c r="SIX2" s="8"/>
      <c r="SIY2" s="8"/>
      <c r="SIZ2" s="8"/>
      <c r="SJA2" s="8"/>
      <c r="SJB2" s="8"/>
      <c r="SJC2" s="8"/>
      <c r="SJD2" s="8"/>
      <c r="SJE2" s="8"/>
      <c r="SJF2" s="8"/>
      <c r="SJG2" s="8"/>
      <c r="SJH2" s="8"/>
      <c r="SJI2" s="8"/>
      <c r="SJJ2" s="8"/>
      <c r="SJK2" s="8"/>
      <c r="SJL2" s="8"/>
      <c r="SJM2" s="8"/>
      <c r="SJN2" s="8"/>
      <c r="SJO2" s="8"/>
      <c r="SJP2" s="8"/>
      <c r="SJQ2" s="8"/>
      <c r="SJR2" s="8"/>
      <c r="SJS2" s="8"/>
      <c r="SJT2" s="8"/>
      <c r="SJU2" s="8"/>
      <c r="SJV2" s="8"/>
      <c r="SJW2" s="8"/>
      <c r="SJX2" s="8"/>
      <c r="SJY2" s="8"/>
      <c r="SJZ2" s="8"/>
      <c r="SKA2" s="8"/>
      <c r="SKB2" s="8"/>
      <c r="SKC2" s="8"/>
      <c r="SKD2" s="8"/>
      <c r="SKE2" s="8"/>
      <c r="SKF2" s="8"/>
      <c r="SKG2" s="8"/>
      <c r="SKH2" s="8"/>
      <c r="SKI2" s="8"/>
      <c r="SKJ2" s="8"/>
      <c r="SKK2" s="8"/>
      <c r="SKL2" s="8"/>
      <c r="SKM2" s="8"/>
      <c r="SKN2" s="8"/>
      <c r="SKO2" s="8"/>
      <c r="SKP2" s="8"/>
      <c r="SKQ2" s="8"/>
      <c r="SKR2" s="8"/>
      <c r="SKS2" s="8"/>
      <c r="SKT2" s="8"/>
      <c r="SKU2" s="8"/>
      <c r="SKV2" s="8"/>
      <c r="SKW2" s="8"/>
      <c r="SKX2" s="8"/>
      <c r="SKY2" s="8"/>
      <c r="SKZ2" s="8"/>
      <c r="SLA2" s="8"/>
      <c r="SLB2" s="8"/>
      <c r="SLC2" s="8"/>
      <c r="SLD2" s="8"/>
      <c r="SLE2" s="8"/>
      <c r="SLF2" s="8"/>
      <c r="SLG2" s="8"/>
      <c r="SLH2" s="8"/>
      <c r="SLI2" s="8"/>
      <c r="SLJ2" s="8"/>
      <c r="SLK2" s="8"/>
      <c r="SLL2" s="8"/>
      <c r="SLM2" s="8"/>
      <c r="SLN2" s="8"/>
      <c r="SLO2" s="8"/>
      <c r="SLP2" s="8"/>
      <c r="SLQ2" s="8"/>
      <c r="SLR2" s="8"/>
      <c r="SLS2" s="8"/>
      <c r="SLT2" s="8"/>
      <c r="SLU2" s="8"/>
      <c r="SLV2" s="8"/>
      <c r="SLW2" s="8"/>
      <c r="SLX2" s="8"/>
      <c r="SLY2" s="8"/>
      <c r="SLZ2" s="8"/>
      <c r="SMA2" s="8"/>
      <c r="SMB2" s="8"/>
      <c r="SMC2" s="8"/>
      <c r="SMD2" s="8"/>
      <c r="SME2" s="8"/>
      <c r="SMF2" s="8"/>
      <c r="SMG2" s="8"/>
      <c r="SMH2" s="8"/>
      <c r="SMI2" s="8"/>
      <c r="SMJ2" s="8"/>
      <c r="SMK2" s="8"/>
      <c r="SML2" s="8"/>
      <c r="SMM2" s="8"/>
      <c r="SMN2" s="8"/>
      <c r="SMO2" s="8"/>
      <c r="SMP2" s="8"/>
      <c r="SMQ2" s="8"/>
      <c r="SMR2" s="8"/>
      <c r="SMS2" s="8"/>
      <c r="SMT2" s="8"/>
      <c r="SMU2" s="8"/>
      <c r="SMV2" s="8"/>
      <c r="SMW2" s="8"/>
      <c r="SMX2" s="8"/>
      <c r="SMY2" s="8"/>
      <c r="SMZ2" s="8"/>
      <c r="SNA2" s="8"/>
      <c r="SNB2" s="8"/>
      <c r="SNC2" s="8"/>
      <c r="SND2" s="8"/>
      <c r="SNE2" s="8"/>
      <c r="SNF2" s="8"/>
      <c r="SNG2" s="8"/>
      <c r="SNH2" s="8"/>
      <c r="SNI2" s="8"/>
      <c r="SNJ2" s="8"/>
      <c r="SNK2" s="8"/>
      <c r="SNL2" s="8"/>
      <c r="SNM2" s="8"/>
      <c r="SNN2" s="8"/>
      <c r="SNO2" s="8"/>
      <c r="SNP2" s="8"/>
      <c r="SNQ2" s="8"/>
      <c r="SNR2" s="8"/>
      <c r="SNS2" s="8"/>
      <c r="SNT2" s="8"/>
      <c r="SNU2" s="8"/>
      <c r="SNV2" s="8"/>
      <c r="SNW2" s="8"/>
      <c r="SNX2" s="8"/>
      <c r="SNY2" s="8"/>
      <c r="SNZ2" s="8"/>
      <c r="SOA2" s="8"/>
      <c r="SOB2" s="8"/>
      <c r="SOC2" s="8"/>
      <c r="SOD2" s="8"/>
      <c r="SOE2" s="8"/>
      <c r="SOF2" s="8"/>
      <c r="SOG2" s="8"/>
      <c r="SOH2" s="8"/>
      <c r="SOI2" s="8"/>
      <c r="SOJ2" s="8"/>
      <c r="SOK2" s="8"/>
      <c r="SOL2" s="8"/>
      <c r="SOM2" s="8"/>
      <c r="SON2" s="8"/>
      <c r="SOO2" s="8"/>
      <c r="SOP2" s="8"/>
      <c r="SOQ2" s="8"/>
      <c r="SOR2" s="8"/>
      <c r="SOS2" s="8"/>
      <c r="SOT2" s="8"/>
      <c r="SOU2" s="8"/>
      <c r="SOV2" s="8"/>
      <c r="SOW2" s="8"/>
      <c r="SOX2" s="8"/>
      <c r="SOY2" s="8"/>
      <c r="SOZ2" s="8"/>
      <c r="SPA2" s="8"/>
      <c r="SPB2" s="8"/>
      <c r="SPC2" s="8"/>
      <c r="SPD2" s="8"/>
      <c r="SPE2" s="8"/>
      <c r="SPF2" s="8"/>
      <c r="SPG2" s="8"/>
      <c r="SPH2" s="8"/>
      <c r="SPI2" s="8"/>
      <c r="SPJ2" s="8"/>
      <c r="SPK2" s="8"/>
      <c r="SPL2" s="8"/>
      <c r="SPM2" s="8"/>
      <c r="SPN2" s="8"/>
      <c r="SPO2" s="8"/>
      <c r="SPP2" s="8"/>
      <c r="SPQ2" s="8"/>
      <c r="SPR2" s="8"/>
      <c r="SPS2" s="8"/>
      <c r="SPT2" s="8"/>
      <c r="SPU2" s="8"/>
      <c r="SPV2" s="8"/>
      <c r="SPW2" s="8"/>
      <c r="SPX2" s="8"/>
      <c r="SPY2" s="8"/>
      <c r="SPZ2" s="8"/>
      <c r="SQA2" s="8"/>
      <c r="SQB2" s="8"/>
      <c r="SQC2" s="8"/>
      <c r="SQD2" s="8"/>
      <c r="SQE2" s="8"/>
      <c r="SQF2" s="8"/>
      <c r="SQG2" s="8"/>
      <c r="SQH2" s="8"/>
      <c r="SQI2" s="8"/>
      <c r="SQJ2" s="8"/>
      <c r="SQK2" s="8"/>
      <c r="SQL2" s="8"/>
      <c r="SQM2" s="8"/>
      <c r="SQN2" s="8"/>
      <c r="SQO2" s="8"/>
      <c r="SQP2" s="8"/>
      <c r="SQQ2" s="8"/>
      <c r="SQR2" s="8"/>
      <c r="SQS2" s="8"/>
      <c r="SQT2" s="8"/>
      <c r="SQU2" s="8"/>
      <c r="SQV2" s="8"/>
      <c r="SQW2" s="8"/>
      <c r="SQX2" s="8"/>
      <c r="SQY2" s="8"/>
      <c r="SQZ2" s="8"/>
      <c r="SRA2" s="8"/>
      <c r="SRB2" s="8"/>
      <c r="SRC2" s="8"/>
      <c r="SRD2" s="8"/>
      <c r="SRE2" s="8"/>
      <c r="SRF2" s="8"/>
      <c r="SRG2" s="8"/>
      <c r="SRH2" s="8"/>
      <c r="SRI2" s="8"/>
      <c r="SRJ2" s="8"/>
      <c r="SRK2" s="8"/>
      <c r="SRL2" s="8"/>
      <c r="SRM2" s="8"/>
      <c r="SRN2" s="8"/>
      <c r="SRO2" s="8"/>
      <c r="SRP2" s="8"/>
      <c r="SRQ2" s="8"/>
      <c r="SRR2" s="8"/>
      <c r="SRS2" s="8"/>
      <c r="SRT2" s="8"/>
      <c r="SRU2" s="8"/>
      <c r="SRV2" s="8"/>
      <c r="SRW2" s="8"/>
      <c r="SRX2" s="8"/>
      <c r="SRY2" s="8"/>
      <c r="SRZ2" s="8"/>
      <c r="SSA2" s="8"/>
      <c r="SSB2" s="8"/>
      <c r="SSC2" s="8"/>
      <c r="SSD2" s="8"/>
      <c r="SSE2" s="8"/>
      <c r="SSF2" s="8"/>
      <c r="SSG2" s="8"/>
      <c r="SSH2" s="8"/>
      <c r="SSI2" s="8"/>
      <c r="SSJ2" s="8"/>
      <c r="SSK2" s="8"/>
      <c r="SSL2" s="8"/>
      <c r="SSM2" s="8"/>
      <c r="SSN2" s="8"/>
      <c r="SSO2" s="8"/>
      <c r="SSP2" s="8"/>
      <c r="SSQ2" s="8"/>
      <c r="SSR2" s="8"/>
      <c r="SSS2" s="8"/>
      <c r="SST2" s="8"/>
      <c r="SSU2" s="8"/>
      <c r="SSV2" s="8"/>
      <c r="SSW2" s="8"/>
      <c r="SSX2" s="8"/>
      <c r="SSY2" s="8"/>
      <c r="SSZ2" s="8"/>
      <c r="STA2" s="8"/>
      <c r="STB2" s="8"/>
      <c r="STC2" s="8"/>
      <c r="STD2" s="8"/>
      <c r="STE2" s="8"/>
      <c r="STF2" s="8"/>
      <c r="STG2" s="8"/>
      <c r="STH2" s="8"/>
      <c r="STI2" s="8"/>
      <c r="STJ2" s="8"/>
      <c r="STK2" s="8"/>
      <c r="STL2" s="8"/>
      <c r="STM2" s="8"/>
      <c r="STN2" s="8"/>
      <c r="STO2" s="8"/>
      <c r="STP2" s="8"/>
      <c r="STQ2" s="8"/>
      <c r="STR2" s="8"/>
      <c r="STS2" s="8"/>
      <c r="STT2" s="8"/>
      <c r="STU2" s="8"/>
      <c r="STV2" s="8"/>
      <c r="STW2" s="8"/>
      <c r="STX2" s="8"/>
      <c r="STY2" s="8"/>
      <c r="STZ2" s="8"/>
      <c r="SUA2" s="8"/>
      <c r="SUB2" s="8"/>
      <c r="SUC2" s="8"/>
      <c r="SUD2" s="8"/>
      <c r="SUE2" s="8"/>
      <c r="SUF2" s="8"/>
      <c r="SUG2" s="8"/>
      <c r="SUH2" s="8"/>
      <c r="SUI2" s="8"/>
      <c r="SUJ2" s="8"/>
      <c r="SUK2" s="8"/>
      <c r="SUL2" s="8"/>
      <c r="SUM2" s="8"/>
      <c r="SUN2" s="8"/>
      <c r="SUO2" s="8"/>
      <c r="SUP2" s="8"/>
      <c r="SUQ2" s="8"/>
      <c r="SUR2" s="8"/>
      <c r="SUS2" s="8"/>
      <c r="SUT2" s="8"/>
      <c r="SUU2" s="8"/>
      <c r="SUV2" s="8"/>
      <c r="SUW2" s="8"/>
      <c r="SUX2" s="8"/>
      <c r="SUY2" s="8"/>
      <c r="SUZ2" s="8"/>
      <c r="SVA2" s="8"/>
      <c r="SVB2" s="8"/>
      <c r="SVC2" s="8"/>
      <c r="SVD2" s="8"/>
      <c r="SVE2" s="8"/>
      <c r="SVF2" s="8"/>
      <c r="SVG2" s="8"/>
      <c r="SVH2" s="8"/>
      <c r="SVI2" s="8"/>
      <c r="SVJ2" s="8"/>
      <c r="SVK2" s="8"/>
      <c r="SVL2" s="8"/>
      <c r="SVM2" s="8"/>
      <c r="SVN2" s="8"/>
      <c r="SVO2" s="8"/>
      <c r="SVP2" s="8"/>
      <c r="SVQ2" s="8"/>
      <c r="SVR2" s="8"/>
      <c r="SVS2" s="8"/>
      <c r="SVT2" s="8"/>
      <c r="SVU2" s="8"/>
      <c r="SVV2" s="8"/>
      <c r="SVW2" s="8"/>
      <c r="SVX2" s="8"/>
      <c r="SVY2" s="8"/>
      <c r="SVZ2" s="8"/>
      <c r="SWA2" s="8"/>
      <c r="SWB2" s="8"/>
      <c r="SWC2" s="8"/>
      <c r="SWD2" s="8"/>
      <c r="SWE2" s="8"/>
      <c r="SWF2" s="8"/>
      <c r="SWG2" s="8"/>
      <c r="SWH2" s="8"/>
      <c r="SWI2" s="8"/>
      <c r="SWJ2" s="8"/>
      <c r="SWK2" s="8"/>
      <c r="SWL2" s="8"/>
      <c r="SWM2" s="8"/>
      <c r="SWN2" s="8"/>
      <c r="SWO2" s="8"/>
      <c r="SWP2" s="8"/>
      <c r="SWQ2" s="8"/>
      <c r="SWR2" s="8"/>
      <c r="SWS2" s="8"/>
      <c r="SWT2" s="8"/>
      <c r="SWU2" s="8"/>
      <c r="SWV2" s="8"/>
      <c r="SWW2" s="8"/>
      <c r="SWX2" s="8"/>
      <c r="SWY2" s="8"/>
      <c r="SWZ2" s="8"/>
      <c r="SXA2" s="8"/>
      <c r="SXB2" s="8"/>
      <c r="SXC2" s="8"/>
      <c r="SXD2" s="8"/>
      <c r="SXE2" s="8"/>
      <c r="SXF2" s="8"/>
      <c r="SXG2" s="8"/>
      <c r="SXH2" s="8"/>
      <c r="SXI2" s="8"/>
      <c r="SXJ2" s="8"/>
      <c r="SXK2" s="8"/>
      <c r="SXL2" s="8"/>
      <c r="SXM2" s="8"/>
      <c r="SXN2" s="8"/>
      <c r="SXO2" s="8"/>
      <c r="SXP2" s="8"/>
      <c r="SXQ2" s="8"/>
      <c r="SXR2" s="8"/>
      <c r="SXS2" s="8"/>
      <c r="SXT2" s="8"/>
      <c r="SXU2" s="8"/>
      <c r="SXV2" s="8"/>
      <c r="SXW2" s="8"/>
      <c r="SXX2" s="8"/>
      <c r="SXY2" s="8"/>
      <c r="SXZ2" s="8"/>
      <c r="SYA2" s="8"/>
      <c r="SYB2" s="8"/>
      <c r="SYC2" s="8"/>
      <c r="SYD2" s="8"/>
      <c r="SYE2" s="8"/>
      <c r="SYF2" s="8"/>
      <c r="SYG2" s="8"/>
      <c r="SYH2" s="8"/>
      <c r="SYI2" s="8"/>
      <c r="SYJ2" s="8"/>
      <c r="SYK2" s="8"/>
      <c r="SYL2" s="8"/>
      <c r="SYM2" s="8"/>
      <c r="SYN2" s="8"/>
      <c r="SYO2" s="8"/>
      <c r="SYP2" s="8"/>
      <c r="SYQ2" s="8"/>
      <c r="SYR2" s="8"/>
      <c r="SYS2" s="8"/>
      <c r="SYT2" s="8"/>
      <c r="SYU2" s="8"/>
      <c r="SYV2" s="8"/>
      <c r="SYW2" s="8"/>
      <c r="SYX2" s="8"/>
      <c r="SYY2" s="8"/>
      <c r="SYZ2" s="8"/>
      <c r="SZA2" s="8"/>
      <c r="SZB2" s="8"/>
      <c r="SZC2" s="8"/>
      <c r="SZD2" s="8"/>
      <c r="SZE2" s="8"/>
      <c r="SZF2" s="8"/>
      <c r="SZG2" s="8"/>
      <c r="SZH2" s="8"/>
      <c r="SZI2" s="8"/>
      <c r="SZJ2" s="8"/>
      <c r="SZK2" s="8"/>
      <c r="SZL2" s="8"/>
      <c r="SZM2" s="8"/>
      <c r="SZN2" s="8"/>
      <c r="SZO2" s="8"/>
      <c r="SZP2" s="8"/>
      <c r="SZQ2" s="8"/>
      <c r="SZR2" s="8"/>
      <c r="SZS2" s="8"/>
      <c r="SZT2" s="8"/>
      <c r="SZU2" s="8"/>
      <c r="SZV2" s="8"/>
      <c r="SZW2" s="8"/>
      <c r="SZX2" s="8"/>
      <c r="SZY2" s="8"/>
      <c r="SZZ2" s="8"/>
      <c r="TAA2" s="8"/>
      <c r="TAB2" s="8"/>
      <c r="TAC2" s="8"/>
      <c r="TAD2" s="8"/>
      <c r="TAE2" s="8"/>
      <c r="TAF2" s="8"/>
      <c r="TAG2" s="8"/>
      <c r="TAH2" s="8"/>
      <c r="TAI2" s="8"/>
      <c r="TAJ2" s="8"/>
      <c r="TAK2" s="8"/>
      <c r="TAL2" s="8"/>
      <c r="TAM2" s="8"/>
      <c r="TAN2" s="8"/>
      <c r="TAO2" s="8"/>
      <c r="TAP2" s="8"/>
      <c r="TAQ2" s="8"/>
      <c r="TAR2" s="8"/>
      <c r="TAS2" s="8"/>
      <c r="TAT2" s="8"/>
      <c r="TAU2" s="8"/>
      <c r="TAV2" s="8"/>
      <c r="TAW2" s="8"/>
      <c r="TAX2" s="8"/>
      <c r="TAY2" s="8"/>
      <c r="TAZ2" s="8"/>
      <c r="TBA2" s="8"/>
      <c r="TBB2" s="8"/>
      <c r="TBC2" s="8"/>
      <c r="TBD2" s="8"/>
      <c r="TBE2" s="8"/>
      <c r="TBF2" s="8"/>
      <c r="TBG2" s="8"/>
      <c r="TBH2" s="8"/>
      <c r="TBI2" s="8"/>
      <c r="TBJ2" s="8"/>
      <c r="TBK2" s="8"/>
      <c r="TBL2" s="8"/>
      <c r="TBM2" s="8"/>
      <c r="TBN2" s="8"/>
      <c r="TBO2" s="8"/>
      <c r="TBP2" s="8"/>
      <c r="TBQ2" s="8"/>
      <c r="TBR2" s="8"/>
      <c r="TBS2" s="8"/>
      <c r="TBT2" s="8"/>
      <c r="TBU2" s="8"/>
      <c r="TBV2" s="8"/>
      <c r="TBW2" s="8"/>
      <c r="TBX2" s="8"/>
      <c r="TBY2" s="8"/>
      <c r="TBZ2" s="8"/>
      <c r="TCA2" s="8"/>
      <c r="TCB2" s="8"/>
      <c r="TCC2" s="8"/>
      <c r="TCD2" s="8"/>
      <c r="TCE2" s="8"/>
      <c r="TCF2" s="8"/>
      <c r="TCG2" s="8"/>
      <c r="TCH2" s="8"/>
      <c r="TCI2" s="8"/>
      <c r="TCJ2" s="8"/>
      <c r="TCK2" s="8"/>
      <c r="TCL2" s="8"/>
      <c r="TCM2" s="8"/>
      <c r="TCN2" s="8"/>
      <c r="TCO2" s="8"/>
      <c r="TCP2" s="8"/>
      <c r="TCQ2" s="8"/>
      <c r="TCR2" s="8"/>
      <c r="TCS2" s="8"/>
      <c r="TCT2" s="8"/>
      <c r="TCU2" s="8"/>
      <c r="TCV2" s="8"/>
      <c r="TCW2" s="8"/>
      <c r="TCX2" s="8"/>
      <c r="TCY2" s="8"/>
      <c r="TCZ2" s="8"/>
      <c r="TDA2" s="8"/>
      <c r="TDB2" s="8"/>
      <c r="TDC2" s="8"/>
      <c r="TDD2" s="8"/>
      <c r="TDE2" s="8"/>
      <c r="TDF2" s="8"/>
      <c r="TDG2" s="8"/>
      <c r="TDH2" s="8"/>
      <c r="TDI2" s="8"/>
      <c r="TDJ2" s="8"/>
      <c r="TDK2" s="8"/>
      <c r="TDL2" s="8"/>
      <c r="TDM2" s="8"/>
      <c r="TDN2" s="8"/>
      <c r="TDO2" s="8"/>
      <c r="TDP2" s="8"/>
      <c r="TDQ2" s="8"/>
      <c r="TDR2" s="8"/>
      <c r="TDS2" s="8"/>
      <c r="TDT2" s="8"/>
      <c r="TDU2" s="8"/>
      <c r="TDV2" s="8"/>
      <c r="TDW2" s="8"/>
      <c r="TDX2" s="8"/>
      <c r="TDY2" s="8"/>
      <c r="TDZ2" s="8"/>
      <c r="TEA2" s="8"/>
      <c r="TEB2" s="8"/>
      <c r="TEC2" s="8"/>
      <c r="TED2" s="8"/>
      <c r="TEE2" s="8"/>
      <c r="TEF2" s="8"/>
      <c r="TEG2" s="8"/>
      <c r="TEH2" s="8"/>
      <c r="TEI2" s="8"/>
      <c r="TEJ2" s="8"/>
      <c r="TEK2" s="8"/>
      <c r="TEL2" s="8"/>
      <c r="TEM2" s="8"/>
      <c r="TEN2" s="8"/>
      <c r="TEO2" s="8"/>
      <c r="TEP2" s="8"/>
      <c r="TEQ2" s="8"/>
      <c r="TER2" s="8"/>
      <c r="TES2" s="8"/>
      <c r="TET2" s="8"/>
      <c r="TEU2" s="8"/>
      <c r="TEV2" s="8"/>
      <c r="TEW2" s="8"/>
      <c r="TEX2" s="8"/>
      <c r="TEY2" s="8"/>
      <c r="TEZ2" s="8"/>
      <c r="TFA2" s="8"/>
      <c r="TFB2" s="8"/>
      <c r="TFC2" s="8"/>
      <c r="TFD2" s="8"/>
      <c r="TFE2" s="8"/>
      <c r="TFF2" s="8"/>
      <c r="TFG2" s="8"/>
      <c r="TFH2" s="8"/>
      <c r="TFI2" s="8"/>
      <c r="TFJ2" s="8"/>
      <c r="TFK2" s="8"/>
      <c r="TFL2" s="8"/>
      <c r="TFM2" s="8"/>
      <c r="TFN2" s="8"/>
      <c r="TFO2" s="8"/>
      <c r="TFP2" s="8"/>
      <c r="TFQ2" s="8"/>
      <c r="TFR2" s="8"/>
      <c r="TFS2" s="8"/>
      <c r="TFT2" s="8"/>
      <c r="TFU2" s="8"/>
      <c r="TFV2" s="8"/>
      <c r="TFW2" s="8"/>
      <c r="TFX2" s="8"/>
      <c r="TFY2" s="8"/>
      <c r="TFZ2" s="8"/>
      <c r="TGA2" s="8"/>
      <c r="TGB2" s="8"/>
      <c r="TGC2" s="8"/>
      <c r="TGD2" s="8"/>
      <c r="TGE2" s="8"/>
      <c r="TGF2" s="8"/>
      <c r="TGG2" s="8"/>
      <c r="TGH2" s="8"/>
      <c r="TGI2" s="8"/>
      <c r="TGJ2" s="8"/>
      <c r="TGK2" s="8"/>
      <c r="TGL2" s="8"/>
      <c r="TGM2" s="8"/>
      <c r="TGN2" s="8"/>
      <c r="TGO2" s="8"/>
      <c r="TGP2" s="8"/>
      <c r="TGQ2" s="8"/>
      <c r="TGR2" s="8"/>
      <c r="TGS2" s="8"/>
      <c r="TGT2" s="8"/>
      <c r="TGU2" s="8"/>
      <c r="TGV2" s="8"/>
      <c r="TGW2" s="8"/>
      <c r="TGX2" s="8"/>
      <c r="TGY2" s="8"/>
      <c r="TGZ2" s="8"/>
      <c r="THA2" s="8"/>
      <c r="THB2" s="8"/>
      <c r="THC2" s="8"/>
      <c r="THD2" s="8"/>
      <c r="THE2" s="8"/>
      <c r="THF2" s="8"/>
      <c r="THG2" s="8"/>
      <c r="THH2" s="8"/>
      <c r="THI2" s="8"/>
      <c r="THJ2" s="8"/>
      <c r="THK2" s="8"/>
      <c r="THL2" s="8"/>
      <c r="THM2" s="8"/>
      <c r="THN2" s="8"/>
      <c r="THO2" s="8"/>
      <c r="THP2" s="8"/>
      <c r="THQ2" s="8"/>
      <c r="THR2" s="8"/>
      <c r="THS2" s="8"/>
      <c r="THT2" s="8"/>
      <c r="THU2" s="8"/>
      <c r="THV2" s="8"/>
      <c r="THW2" s="8"/>
      <c r="THX2" s="8"/>
      <c r="THY2" s="8"/>
      <c r="THZ2" s="8"/>
      <c r="TIA2" s="8"/>
      <c r="TIB2" s="8"/>
      <c r="TIC2" s="8"/>
      <c r="TID2" s="8"/>
      <c r="TIE2" s="8"/>
      <c r="TIF2" s="8"/>
      <c r="TIG2" s="8"/>
      <c r="TIH2" s="8"/>
      <c r="TII2" s="8"/>
      <c r="TIJ2" s="8"/>
      <c r="TIK2" s="8"/>
      <c r="TIL2" s="8"/>
      <c r="TIM2" s="8"/>
      <c r="TIN2" s="8"/>
      <c r="TIO2" s="8"/>
      <c r="TIP2" s="8"/>
      <c r="TIQ2" s="8"/>
      <c r="TIR2" s="8"/>
      <c r="TIS2" s="8"/>
      <c r="TIT2" s="8"/>
      <c r="TIU2" s="8"/>
      <c r="TIV2" s="8"/>
      <c r="TIW2" s="8"/>
      <c r="TIX2" s="8"/>
      <c r="TIY2" s="8"/>
      <c r="TIZ2" s="8"/>
      <c r="TJA2" s="8"/>
      <c r="TJB2" s="8"/>
      <c r="TJC2" s="8"/>
      <c r="TJD2" s="8"/>
      <c r="TJE2" s="8"/>
      <c r="TJF2" s="8"/>
      <c r="TJG2" s="8"/>
      <c r="TJH2" s="8"/>
      <c r="TJI2" s="8"/>
      <c r="TJJ2" s="8"/>
      <c r="TJK2" s="8"/>
      <c r="TJL2" s="8"/>
      <c r="TJM2" s="8"/>
      <c r="TJN2" s="8"/>
      <c r="TJO2" s="8"/>
      <c r="TJP2" s="8"/>
      <c r="TJQ2" s="8"/>
      <c r="TJR2" s="8"/>
      <c r="TJS2" s="8"/>
      <c r="TJT2" s="8"/>
      <c r="TJU2" s="8"/>
      <c r="TJV2" s="8"/>
      <c r="TJW2" s="8"/>
      <c r="TJX2" s="8"/>
      <c r="TJY2" s="8"/>
      <c r="TJZ2" s="8"/>
      <c r="TKA2" s="8"/>
      <c r="TKB2" s="8"/>
      <c r="TKC2" s="8"/>
      <c r="TKD2" s="8"/>
      <c r="TKE2" s="8"/>
      <c r="TKF2" s="8"/>
      <c r="TKG2" s="8"/>
      <c r="TKH2" s="8"/>
      <c r="TKI2" s="8"/>
      <c r="TKJ2" s="8"/>
      <c r="TKK2" s="8"/>
      <c r="TKL2" s="8"/>
      <c r="TKM2" s="8"/>
      <c r="TKN2" s="8"/>
      <c r="TKO2" s="8"/>
      <c r="TKP2" s="8"/>
      <c r="TKQ2" s="8"/>
      <c r="TKR2" s="8"/>
      <c r="TKS2" s="8"/>
      <c r="TKT2" s="8"/>
      <c r="TKU2" s="8"/>
      <c r="TKV2" s="8"/>
      <c r="TKW2" s="8"/>
      <c r="TKX2" s="8"/>
      <c r="TKY2" s="8"/>
      <c r="TKZ2" s="8"/>
      <c r="TLA2" s="8"/>
      <c r="TLB2" s="8"/>
      <c r="TLC2" s="8"/>
      <c r="TLD2" s="8"/>
      <c r="TLE2" s="8"/>
      <c r="TLF2" s="8"/>
      <c r="TLG2" s="8"/>
      <c r="TLH2" s="8"/>
      <c r="TLI2" s="8"/>
      <c r="TLJ2" s="8"/>
      <c r="TLK2" s="8"/>
      <c r="TLL2" s="8"/>
      <c r="TLM2" s="8"/>
      <c r="TLN2" s="8"/>
      <c r="TLO2" s="8"/>
      <c r="TLP2" s="8"/>
      <c r="TLQ2" s="8"/>
      <c r="TLR2" s="8"/>
      <c r="TLS2" s="8"/>
      <c r="TLT2" s="8"/>
      <c r="TLU2" s="8"/>
      <c r="TLV2" s="8"/>
      <c r="TLW2" s="8"/>
      <c r="TLX2" s="8"/>
      <c r="TLY2" s="8"/>
      <c r="TLZ2" s="8"/>
      <c r="TMA2" s="8"/>
      <c r="TMB2" s="8"/>
      <c r="TMC2" s="8"/>
      <c r="TMD2" s="8"/>
      <c r="TME2" s="8"/>
      <c r="TMF2" s="8"/>
      <c r="TMG2" s="8"/>
      <c r="TMH2" s="8"/>
      <c r="TMI2" s="8"/>
      <c r="TMJ2" s="8"/>
      <c r="TMK2" s="8"/>
      <c r="TML2" s="8"/>
      <c r="TMM2" s="8"/>
      <c r="TMN2" s="8"/>
      <c r="TMO2" s="8"/>
      <c r="TMP2" s="8"/>
      <c r="TMQ2" s="8"/>
      <c r="TMR2" s="8"/>
      <c r="TMS2" s="8"/>
      <c r="TMT2" s="8"/>
      <c r="TMU2" s="8"/>
      <c r="TMV2" s="8"/>
      <c r="TMW2" s="8"/>
      <c r="TMX2" s="8"/>
      <c r="TMY2" s="8"/>
      <c r="TMZ2" s="8"/>
      <c r="TNA2" s="8"/>
      <c r="TNB2" s="8"/>
      <c r="TNC2" s="8"/>
      <c r="TND2" s="8"/>
      <c r="TNE2" s="8"/>
      <c r="TNF2" s="8"/>
      <c r="TNG2" s="8"/>
      <c r="TNH2" s="8"/>
      <c r="TNI2" s="8"/>
      <c r="TNJ2" s="8"/>
      <c r="TNK2" s="8"/>
      <c r="TNL2" s="8"/>
      <c r="TNM2" s="8"/>
      <c r="TNN2" s="8"/>
      <c r="TNO2" s="8"/>
      <c r="TNP2" s="8"/>
      <c r="TNQ2" s="8"/>
      <c r="TNR2" s="8"/>
      <c r="TNS2" s="8"/>
      <c r="TNT2" s="8"/>
      <c r="TNU2" s="8"/>
      <c r="TNV2" s="8"/>
      <c r="TNW2" s="8"/>
      <c r="TNX2" s="8"/>
      <c r="TNY2" s="8"/>
      <c r="TNZ2" s="8"/>
      <c r="TOA2" s="8"/>
      <c r="TOB2" s="8"/>
      <c r="TOC2" s="8"/>
      <c r="TOD2" s="8"/>
      <c r="TOE2" s="8"/>
      <c r="TOF2" s="8"/>
      <c r="TOG2" s="8"/>
      <c r="TOH2" s="8"/>
      <c r="TOI2" s="8"/>
      <c r="TOJ2" s="8"/>
      <c r="TOK2" s="8"/>
      <c r="TOL2" s="8"/>
      <c r="TOM2" s="8"/>
      <c r="TON2" s="8"/>
      <c r="TOO2" s="8"/>
      <c r="TOP2" s="8"/>
      <c r="TOQ2" s="8"/>
      <c r="TOR2" s="8"/>
      <c r="TOS2" s="8"/>
      <c r="TOT2" s="8"/>
      <c r="TOU2" s="8"/>
      <c r="TOV2" s="8"/>
      <c r="TOW2" s="8"/>
      <c r="TOX2" s="8"/>
      <c r="TOY2" s="8"/>
      <c r="TOZ2" s="8"/>
      <c r="TPA2" s="8"/>
      <c r="TPB2" s="8"/>
      <c r="TPC2" s="8"/>
      <c r="TPD2" s="8"/>
      <c r="TPE2" s="8"/>
      <c r="TPF2" s="8"/>
      <c r="TPG2" s="8"/>
      <c r="TPH2" s="8"/>
      <c r="TPI2" s="8"/>
      <c r="TPJ2" s="8"/>
      <c r="TPK2" s="8"/>
      <c r="TPL2" s="8"/>
      <c r="TPM2" s="8"/>
      <c r="TPN2" s="8"/>
      <c r="TPO2" s="8"/>
      <c r="TPP2" s="8"/>
      <c r="TPQ2" s="8"/>
      <c r="TPR2" s="8"/>
      <c r="TPS2" s="8"/>
      <c r="TPT2" s="8"/>
      <c r="TPU2" s="8"/>
      <c r="TPV2" s="8"/>
      <c r="TPW2" s="8"/>
      <c r="TPX2" s="8"/>
      <c r="TPY2" s="8"/>
      <c r="TPZ2" s="8"/>
      <c r="TQA2" s="8"/>
      <c r="TQB2" s="8"/>
      <c r="TQC2" s="8"/>
      <c r="TQD2" s="8"/>
      <c r="TQE2" s="8"/>
      <c r="TQF2" s="8"/>
      <c r="TQG2" s="8"/>
      <c r="TQH2" s="8"/>
      <c r="TQI2" s="8"/>
      <c r="TQJ2" s="8"/>
      <c r="TQK2" s="8"/>
      <c r="TQL2" s="8"/>
      <c r="TQM2" s="8"/>
      <c r="TQN2" s="8"/>
      <c r="TQO2" s="8"/>
      <c r="TQP2" s="8"/>
      <c r="TQQ2" s="8"/>
      <c r="TQR2" s="8"/>
      <c r="TQS2" s="8"/>
      <c r="TQT2" s="8"/>
      <c r="TQU2" s="8"/>
      <c r="TQV2" s="8"/>
      <c r="TQW2" s="8"/>
      <c r="TQX2" s="8"/>
      <c r="TQY2" s="8"/>
      <c r="TQZ2" s="8"/>
      <c r="TRA2" s="8"/>
      <c r="TRB2" s="8"/>
      <c r="TRC2" s="8"/>
      <c r="TRD2" s="8"/>
      <c r="TRE2" s="8"/>
      <c r="TRF2" s="8"/>
      <c r="TRG2" s="8"/>
      <c r="TRH2" s="8"/>
      <c r="TRI2" s="8"/>
      <c r="TRJ2" s="8"/>
      <c r="TRK2" s="8"/>
      <c r="TRL2" s="8"/>
      <c r="TRM2" s="8"/>
      <c r="TRN2" s="8"/>
      <c r="TRO2" s="8"/>
      <c r="TRP2" s="8"/>
      <c r="TRQ2" s="8"/>
      <c r="TRR2" s="8"/>
      <c r="TRS2" s="8"/>
      <c r="TRT2" s="8"/>
      <c r="TRU2" s="8"/>
      <c r="TRV2" s="8"/>
      <c r="TRW2" s="8"/>
      <c r="TRX2" s="8"/>
      <c r="TRY2" s="8"/>
      <c r="TRZ2" s="8"/>
      <c r="TSA2" s="8"/>
      <c r="TSB2" s="8"/>
      <c r="TSC2" s="8"/>
      <c r="TSD2" s="8"/>
      <c r="TSE2" s="8"/>
      <c r="TSF2" s="8"/>
      <c r="TSG2" s="8"/>
      <c r="TSH2" s="8"/>
      <c r="TSI2" s="8"/>
      <c r="TSJ2" s="8"/>
      <c r="TSK2" s="8"/>
      <c r="TSL2" s="8"/>
      <c r="TSM2" s="8"/>
      <c r="TSN2" s="8"/>
      <c r="TSO2" s="8"/>
      <c r="TSP2" s="8"/>
      <c r="TSQ2" s="8"/>
      <c r="TSR2" s="8"/>
      <c r="TSS2" s="8"/>
      <c r="TST2" s="8"/>
      <c r="TSU2" s="8"/>
      <c r="TSV2" s="8"/>
      <c r="TSW2" s="8"/>
      <c r="TSX2" s="8"/>
      <c r="TSY2" s="8"/>
      <c r="TSZ2" s="8"/>
      <c r="TTA2" s="8"/>
      <c r="TTB2" s="8"/>
      <c r="TTC2" s="8"/>
      <c r="TTD2" s="8"/>
      <c r="TTE2" s="8"/>
      <c r="TTF2" s="8"/>
      <c r="TTG2" s="8"/>
      <c r="TTH2" s="8"/>
      <c r="TTI2" s="8"/>
      <c r="TTJ2" s="8"/>
      <c r="TTK2" s="8"/>
      <c r="TTL2" s="8"/>
      <c r="TTM2" s="8"/>
      <c r="TTN2" s="8"/>
      <c r="TTO2" s="8"/>
      <c r="TTP2" s="8"/>
      <c r="TTQ2" s="8"/>
      <c r="TTR2" s="8"/>
      <c r="TTS2" s="8"/>
      <c r="TTT2" s="8"/>
      <c r="TTU2" s="8"/>
      <c r="TTV2" s="8"/>
      <c r="TTW2" s="8"/>
      <c r="TTX2" s="8"/>
      <c r="TTY2" s="8"/>
      <c r="TTZ2" s="8"/>
      <c r="TUA2" s="8"/>
      <c r="TUB2" s="8"/>
      <c r="TUC2" s="8"/>
      <c r="TUD2" s="8"/>
      <c r="TUE2" s="8"/>
      <c r="TUF2" s="8"/>
      <c r="TUG2" s="8"/>
      <c r="TUH2" s="8"/>
      <c r="TUI2" s="8"/>
      <c r="TUJ2" s="8"/>
      <c r="TUK2" s="8"/>
      <c r="TUL2" s="8"/>
      <c r="TUM2" s="8"/>
      <c r="TUN2" s="8"/>
      <c r="TUO2" s="8"/>
      <c r="TUP2" s="8"/>
      <c r="TUQ2" s="8"/>
      <c r="TUR2" s="8"/>
      <c r="TUS2" s="8"/>
      <c r="TUT2" s="8"/>
      <c r="TUU2" s="8"/>
      <c r="TUV2" s="8"/>
      <c r="TUW2" s="8"/>
      <c r="TUX2" s="8"/>
      <c r="TUY2" s="8"/>
      <c r="TUZ2" s="8"/>
      <c r="TVA2" s="8"/>
      <c r="TVB2" s="8"/>
      <c r="TVC2" s="8"/>
      <c r="TVD2" s="8"/>
      <c r="TVE2" s="8"/>
      <c r="TVF2" s="8"/>
      <c r="TVG2" s="8"/>
      <c r="TVH2" s="8"/>
      <c r="TVI2" s="8"/>
      <c r="TVJ2" s="8"/>
      <c r="TVK2" s="8"/>
      <c r="TVL2" s="8"/>
      <c r="TVM2" s="8"/>
      <c r="TVN2" s="8"/>
      <c r="TVO2" s="8"/>
      <c r="TVP2" s="8"/>
      <c r="TVQ2" s="8"/>
      <c r="TVR2" s="8"/>
      <c r="TVS2" s="8"/>
      <c r="TVT2" s="8"/>
      <c r="TVU2" s="8"/>
      <c r="TVV2" s="8"/>
      <c r="TVW2" s="8"/>
      <c r="TVX2" s="8"/>
      <c r="TVY2" s="8"/>
      <c r="TVZ2" s="8"/>
      <c r="TWA2" s="8"/>
      <c r="TWB2" s="8"/>
      <c r="TWC2" s="8"/>
      <c r="TWD2" s="8"/>
      <c r="TWE2" s="8"/>
      <c r="TWF2" s="8"/>
      <c r="TWG2" s="8"/>
      <c r="TWH2" s="8"/>
      <c r="TWI2" s="8"/>
      <c r="TWJ2" s="8"/>
      <c r="TWK2" s="8"/>
      <c r="TWL2" s="8"/>
      <c r="TWM2" s="8"/>
      <c r="TWN2" s="8"/>
      <c r="TWO2" s="8"/>
      <c r="TWP2" s="8"/>
      <c r="TWQ2" s="8"/>
      <c r="TWR2" s="8"/>
      <c r="TWS2" s="8"/>
      <c r="TWT2" s="8"/>
      <c r="TWU2" s="8"/>
      <c r="TWV2" s="8"/>
      <c r="TWW2" s="8"/>
      <c r="TWX2" s="8"/>
      <c r="TWY2" s="8"/>
      <c r="TWZ2" s="8"/>
      <c r="TXA2" s="8"/>
      <c r="TXB2" s="8"/>
      <c r="TXC2" s="8"/>
      <c r="TXD2" s="8"/>
      <c r="TXE2" s="8"/>
      <c r="TXF2" s="8"/>
      <c r="TXG2" s="8"/>
      <c r="TXH2" s="8"/>
      <c r="TXI2" s="8"/>
      <c r="TXJ2" s="8"/>
      <c r="TXK2" s="8"/>
      <c r="TXL2" s="8"/>
      <c r="TXM2" s="8"/>
      <c r="TXN2" s="8"/>
      <c r="TXO2" s="8"/>
      <c r="TXP2" s="8"/>
      <c r="TXQ2" s="8"/>
      <c r="TXR2" s="8"/>
      <c r="TXS2" s="8"/>
      <c r="TXT2" s="8"/>
      <c r="TXU2" s="8"/>
      <c r="TXV2" s="8"/>
      <c r="TXW2" s="8"/>
      <c r="TXX2" s="8"/>
      <c r="TXY2" s="8"/>
      <c r="TXZ2" s="8"/>
      <c r="TYA2" s="8"/>
      <c r="TYB2" s="8"/>
      <c r="TYC2" s="8"/>
      <c r="TYD2" s="8"/>
      <c r="TYE2" s="8"/>
      <c r="TYF2" s="8"/>
      <c r="TYG2" s="8"/>
      <c r="TYH2" s="8"/>
      <c r="TYI2" s="8"/>
      <c r="TYJ2" s="8"/>
      <c r="TYK2" s="8"/>
      <c r="TYL2" s="8"/>
      <c r="TYM2" s="8"/>
      <c r="TYN2" s="8"/>
      <c r="TYO2" s="8"/>
      <c r="TYP2" s="8"/>
      <c r="TYQ2" s="8"/>
      <c r="TYR2" s="8"/>
      <c r="TYS2" s="8"/>
      <c r="TYT2" s="8"/>
      <c r="TYU2" s="8"/>
      <c r="TYV2" s="8"/>
      <c r="TYW2" s="8"/>
      <c r="TYX2" s="8"/>
      <c r="TYY2" s="8"/>
      <c r="TYZ2" s="8"/>
      <c r="TZA2" s="8"/>
      <c r="TZB2" s="8"/>
      <c r="TZC2" s="8"/>
      <c r="TZD2" s="8"/>
      <c r="TZE2" s="8"/>
      <c r="TZF2" s="8"/>
      <c r="TZG2" s="8"/>
      <c r="TZH2" s="8"/>
      <c r="TZI2" s="8"/>
      <c r="TZJ2" s="8"/>
      <c r="TZK2" s="8"/>
      <c r="TZL2" s="8"/>
      <c r="TZM2" s="8"/>
      <c r="TZN2" s="8"/>
      <c r="TZO2" s="8"/>
      <c r="TZP2" s="8"/>
      <c r="TZQ2" s="8"/>
      <c r="TZR2" s="8"/>
      <c r="TZS2" s="8"/>
      <c r="TZT2" s="8"/>
      <c r="TZU2" s="8"/>
      <c r="TZV2" s="8"/>
      <c r="TZW2" s="8"/>
      <c r="TZX2" s="8"/>
      <c r="TZY2" s="8"/>
      <c r="TZZ2" s="8"/>
      <c r="UAA2" s="8"/>
      <c r="UAB2" s="8"/>
      <c r="UAC2" s="8"/>
      <c r="UAD2" s="8"/>
      <c r="UAE2" s="8"/>
      <c r="UAF2" s="8"/>
      <c r="UAG2" s="8"/>
      <c r="UAH2" s="8"/>
      <c r="UAI2" s="8"/>
      <c r="UAJ2" s="8"/>
      <c r="UAK2" s="8"/>
      <c r="UAL2" s="8"/>
      <c r="UAM2" s="8"/>
      <c r="UAN2" s="8"/>
      <c r="UAO2" s="8"/>
      <c r="UAP2" s="8"/>
      <c r="UAQ2" s="8"/>
      <c r="UAR2" s="8"/>
      <c r="UAS2" s="8"/>
      <c r="UAT2" s="8"/>
      <c r="UAU2" s="8"/>
      <c r="UAV2" s="8"/>
      <c r="UAW2" s="8"/>
      <c r="UAX2" s="8"/>
      <c r="UAY2" s="8"/>
      <c r="UAZ2" s="8"/>
      <c r="UBA2" s="8"/>
      <c r="UBB2" s="8"/>
      <c r="UBC2" s="8"/>
      <c r="UBD2" s="8"/>
      <c r="UBE2" s="8"/>
      <c r="UBF2" s="8"/>
      <c r="UBG2" s="8"/>
      <c r="UBH2" s="8"/>
      <c r="UBI2" s="8"/>
      <c r="UBJ2" s="8"/>
      <c r="UBK2" s="8"/>
      <c r="UBL2" s="8"/>
      <c r="UBM2" s="8"/>
      <c r="UBN2" s="8"/>
      <c r="UBO2" s="8"/>
      <c r="UBP2" s="8"/>
      <c r="UBQ2" s="8"/>
      <c r="UBR2" s="8"/>
      <c r="UBS2" s="8"/>
      <c r="UBT2" s="8"/>
      <c r="UBU2" s="8"/>
      <c r="UBV2" s="8"/>
      <c r="UBW2" s="8"/>
      <c r="UBX2" s="8"/>
      <c r="UBY2" s="8"/>
      <c r="UBZ2" s="8"/>
      <c r="UCA2" s="8"/>
      <c r="UCB2" s="8"/>
      <c r="UCC2" s="8"/>
      <c r="UCD2" s="8"/>
      <c r="UCE2" s="8"/>
      <c r="UCF2" s="8"/>
      <c r="UCG2" s="8"/>
      <c r="UCH2" s="8"/>
      <c r="UCI2" s="8"/>
      <c r="UCJ2" s="8"/>
      <c r="UCK2" s="8"/>
      <c r="UCL2" s="8"/>
      <c r="UCM2" s="8"/>
      <c r="UCN2" s="8"/>
      <c r="UCO2" s="8"/>
      <c r="UCP2" s="8"/>
      <c r="UCQ2" s="8"/>
      <c r="UCR2" s="8"/>
      <c r="UCS2" s="8"/>
      <c r="UCT2" s="8"/>
      <c r="UCU2" s="8"/>
      <c r="UCV2" s="8"/>
      <c r="UCW2" s="8"/>
      <c r="UCX2" s="8"/>
      <c r="UCY2" s="8"/>
      <c r="UCZ2" s="8"/>
      <c r="UDA2" s="8"/>
      <c r="UDB2" s="8"/>
      <c r="UDC2" s="8"/>
      <c r="UDD2" s="8"/>
      <c r="UDE2" s="8"/>
      <c r="UDF2" s="8"/>
      <c r="UDG2" s="8"/>
      <c r="UDH2" s="8"/>
      <c r="UDI2" s="8"/>
      <c r="UDJ2" s="8"/>
      <c r="UDK2" s="8"/>
      <c r="UDL2" s="8"/>
      <c r="UDM2" s="8"/>
      <c r="UDN2" s="8"/>
      <c r="UDO2" s="8"/>
      <c r="UDP2" s="8"/>
      <c r="UDQ2" s="8"/>
      <c r="UDR2" s="8"/>
      <c r="UDS2" s="8"/>
      <c r="UDT2" s="8"/>
      <c r="UDU2" s="8"/>
      <c r="UDV2" s="8"/>
      <c r="UDW2" s="8"/>
      <c r="UDX2" s="8"/>
      <c r="UDY2" s="8"/>
      <c r="UDZ2" s="8"/>
      <c r="UEA2" s="8"/>
      <c r="UEB2" s="8"/>
      <c r="UEC2" s="8"/>
      <c r="UED2" s="8"/>
      <c r="UEE2" s="8"/>
      <c r="UEF2" s="8"/>
      <c r="UEG2" s="8"/>
      <c r="UEH2" s="8"/>
      <c r="UEI2" s="8"/>
      <c r="UEJ2" s="8"/>
      <c r="UEK2" s="8"/>
      <c r="UEL2" s="8"/>
      <c r="UEM2" s="8"/>
      <c r="UEN2" s="8"/>
      <c r="UEO2" s="8"/>
      <c r="UEP2" s="8"/>
      <c r="UEQ2" s="8"/>
      <c r="UER2" s="8"/>
      <c r="UES2" s="8"/>
      <c r="UET2" s="8"/>
      <c r="UEU2" s="8"/>
      <c r="UEV2" s="8"/>
      <c r="UEW2" s="8"/>
      <c r="UEX2" s="8"/>
      <c r="UEY2" s="8"/>
      <c r="UEZ2" s="8"/>
      <c r="UFA2" s="8"/>
      <c r="UFB2" s="8"/>
      <c r="UFC2" s="8"/>
      <c r="UFD2" s="8"/>
      <c r="UFE2" s="8"/>
      <c r="UFF2" s="8"/>
      <c r="UFG2" s="8"/>
      <c r="UFH2" s="8"/>
      <c r="UFI2" s="8"/>
      <c r="UFJ2" s="8"/>
      <c r="UFK2" s="8"/>
      <c r="UFL2" s="8"/>
      <c r="UFM2" s="8"/>
      <c r="UFN2" s="8"/>
      <c r="UFO2" s="8"/>
      <c r="UFP2" s="8"/>
      <c r="UFQ2" s="8"/>
      <c r="UFR2" s="8"/>
      <c r="UFS2" s="8"/>
      <c r="UFT2" s="8"/>
      <c r="UFU2" s="8"/>
      <c r="UFV2" s="8"/>
      <c r="UFW2" s="8"/>
      <c r="UFX2" s="8"/>
      <c r="UFY2" s="8"/>
      <c r="UFZ2" s="8"/>
      <c r="UGA2" s="8"/>
      <c r="UGB2" s="8"/>
      <c r="UGC2" s="8"/>
      <c r="UGD2" s="8"/>
      <c r="UGE2" s="8"/>
      <c r="UGF2" s="8"/>
      <c r="UGG2" s="8"/>
      <c r="UGH2" s="8"/>
      <c r="UGI2" s="8"/>
      <c r="UGJ2" s="8"/>
      <c r="UGK2" s="8"/>
      <c r="UGL2" s="8"/>
      <c r="UGM2" s="8"/>
      <c r="UGN2" s="8"/>
      <c r="UGO2" s="8"/>
      <c r="UGP2" s="8"/>
      <c r="UGQ2" s="8"/>
      <c r="UGR2" s="8"/>
      <c r="UGS2" s="8"/>
      <c r="UGT2" s="8"/>
      <c r="UGU2" s="8"/>
      <c r="UGV2" s="8"/>
      <c r="UGW2" s="8"/>
      <c r="UGX2" s="8"/>
      <c r="UGY2" s="8"/>
      <c r="UGZ2" s="8"/>
      <c r="UHA2" s="8"/>
      <c r="UHB2" s="8"/>
      <c r="UHC2" s="8"/>
      <c r="UHD2" s="8"/>
      <c r="UHE2" s="8"/>
      <c r="UHF2" s="8"/>
      <c r="UHG2" s="8"/>
      <c r="UHH2" s="8"/>
      <c r="UHI2" s="8"/>
      <c r="UHJ2" s="8"/>
      <c r="UHK2" s="8"/>
      <c r="UHL2" s="8"/>
      <c r="UHM2" s="8"/>
      <c r="UHN2" s="8"/>
      <c r="UHO2" s="8"/>
      <c r="UHP2" s="8"/>
      <c r="UHQ2" s="8"/>
      <c r="UHR2" s="8"/>
      <c r="UHS2" s="8"/>
      <c r="UHT2" s="8"/>
      <c r="UHU2" s="8"/>
      <c r="UHV2" s="8"/>
      <c r="UHW2" s="8"/>
      <c r="UHX2" s="8"/>
      <c r="UHY2" s="8"/>
      <c r="UHZ2" s="8"/>
      <c r="UIA2" s="8"/>
      <c r="UIB2" s="8"/>
      <c r="UIC2" s="8"/>
      <c r="UID2" s="8"/>
      <c r="UIE2" s="8"/>
      <c r="UIF2" s="8"/>
      <c r="UIG2" s="8"/>
      <c r="UIH2" s="8"/>
      <c r="UII2" s="8"/>
      <c r="UIJ2" s="8"/>
      <c r="UIK2" s="8"/>
      <c r="UIL2" s="8"/>
      <c r="UIM2" s="8"/>
      <c r="UIN2" s="8"/>
      <c r="UIO2" s="8"/>
      <c r="UIP2" s="8"/>
      <c r="UIQ2" s="8"/>
      <c r="UIR2" s="8"/>
      <c r="UIS2" s="8"/>
      <c r="UIT2" s="8"/>
      <c r="UIU2" s="8"/>
      <c r="UIV2" s="8"/>
      <c r="UIW2" s="8"/>
      <c r="UIX2" s="8"/>
      <c r="UIY2" s="8"/>
      <c r="UIZ2" s="8"/>
      <c r="UJA2" s="8"/>
      <c r="UJB2" s="8"/>
      <c r="UJC2" s="8"/>
      <c r="UJD2" s="8"/>
      <c r="UJE2" s="8"/>
      <c r="UJF2" s="8"/>
      <c r="UJG2" s="8"/>
      <c r="UJH2" s="8"/>
      <c r="UJI2" s="8"/>
      <c r="UJJ2" s="8"/>
      <c r="UJK2" s="8"/>
      <c r="UJL2" s="8"/>
      <c r="UJM2" s="8"/>
      <c r="UJN2" s="8"/>
      <c r="UJO2" s="8"/>
      <c r="UJP2" s="8"/>
      <c r="UJQ2" s="8"/>
      <c r="UJR2" s="8"/>
      <c r="UJS2" s="8"/>
      <c r="UJT2" s="8"/>
      <c r="UJU2" s="8"/>
      <c r="UJV2" s="8"/>
      <c r="UJW2" s="8"/>
      <c r="UJX2" s="8"/>
      <c r="UJY2" s="8"/>
      <c r="UJZ2" s="8"/>
      <c r="UKA2" s="8"/>
      <c r="UKB2" s="8"/>
      <c r="UKC2" s="8"/>
      <c r="UKD2" s="8"/>
      <c r="UKE2" s="8"/>
      <c r="UKF2" s="8"/>
      <c r="UKG2" s="8"/>
      <c r="UKH2" s="8"/>
      <c r="UKI2" s="8"/>
      <c r="UKJ2" s="8"/>
      <c r="UKK2" s="8"/>
      <c r="UKL2" s="8"/>
      <c r="UKM2" s="8"/>
      <c r="UKN2" s="8"/>
      <c r="UKO2" s="8"/>
      <c r="UKP2" s="8"/>
      <c r="UKQ2" s="8"/>
      <c r="UKR2" s="8"/>
      <c r="UKS2" s="8"/>
      <c r="UKT2" s="8"/>
      <c r="UKU2" s="8"/>
      <c r="UKV2" s="8"/>
      <c r="UKW2" s="8"/>
      <c r="UKX2" s="8"/>
      <c r="UKY2" s="8"/>
      <c r="UKZ2" s="8"/>
      <c r="ULA2" s="8"/>
      <c r="ULB2" s="8"/>
      <c r="ULC2" s="8"/>
      <c r="ULD2" s="8"/>
      <c r="ULE2" s="8"/>
      <c r="ULF2" s="8"/>
      <c r="ULG2" s="8"/>
      <c r="ULH2" s="8"/>
      <c r="ULI2" s="8"/>
      <c r="ULJ2" s="8"/>
      <c r="ULK2" s="8"/>
      <c r="ULL2" s="8"/>
      <c r="ULM2" s="8"/>
      <c r="ULN2" s="8"/>
      <c r="ULO2" s="8"/>
      <c r="ULP2" s="8"/>
      <c r="ULQ2" s="8"/>
      <c r="ULR2" s="8"/>
      <c r="ULS2" s="8"/>
      <c r="ULT2" s="8"/>
      <c r="ULU2" s="8"/>
      <c r="ULV2" s="8"/>
      <c r="ULW2" s="8"/>
      <c r="ULX2" s="8"/>
      <c r="ULY2" s="8"/>
      <c r="ULZ2" s="8"/>
      <c r="UMA2" s="8"/>
      <c r="UMB2" s="8"/>
      <c r="UMC2" s="8"/>
      <c r="UMD2" s="8"/>
      <c r="UME2" s="8"/>
      <c r="UMF2" s="8"/>
      <c r="UMG2" s="8"/>
      <c r="UMH2" s="8"/>
      <c r="UMI2" s="8"/>
      <c r="UMJ2" s="8"/>
      <c r="UMK2" s="8"/>
      <c r="UML2" s="8"/>
      <c r="UMM2" s="8"/>
      <c r="UMN2" s="8"/>
      <c r="UMO2" s="8"/>
      <c r="UMP2" s="8"/>
      <c r="UMQ2" s="8"/>
      <c r="UMR2" s="8"/>
      <c r="UMS2" s="8"/>
      <c r="UMT2" s="8"/>
      <c r="UMU2" s="8"/>
      <c r="UMV2" s="8"/>
      <c r="UMW2" s="8"/>
      <c r="UMX2" s="8"/>
      <c r="UMY2" s="8"/>
      <c r="UMZ2" s="8"/>
      <c r="UNA2" s="8"/>
      <c r="UNB2" s="8"/>
      <c r="UNC2" s="8"/>
      <c r="UND2" s="8"/>
      <c r="UNE2" s="8"/>
      <c r="UNF2" s="8"/>
      <c r="UNG2" s="8"/>
      <c r="UNH2" s="8"/>
      <c r="UNI2" s="8"/>
      <c r="UNJ2" s="8"/>
      <c r="UNK2" s="8"/>
      <c r="UNL2" s="8"/>
      <c r="UNM2" s="8"/>
      <c r="UNN2" s="8"/>
      <c r="UNO2" s="8"/>
      <c r="UNP2" s="8"/>
      <c r="UNQ2" s="8"/>
      <c r="UNR2" s="8"/>
      <c r="UNS2" s="8"/>
      <c r="UNT2" s="8"/>
      <c r="UNU2" s="8"/>
      <c r="UNV2" s="8"/>
      <c r="UNW2" s="8"/>
      <c r="UNX2" s="8"/>
      <c r="UNY2" s="8"/>
      <c r="UNZ2" s="8"/>
      <c r="UOA2" s="8"/>
      <c r="UOB2" s="8"/>
      <c r="UOC2" s="8"/>
      <c r="UOD2" s="8"/>
      <c r="UOE2" s="8"/>
      <c r="UOF2" s="8"/>
      <c r="UOG2" s="8"/>
      <c r="UOH2" s="8"/>
      <c r="UOI2" s="8"/>
      <c r="UOJ2" s="8"/>
      <c r="UOK2" s="8"/>
      <c r="UOL2" s="8"/>
      <c r="UOM2" s="8"/>
      <c r="UON2" s="8"/>
      <c r="UOO2" s="8"/>
      <c r="UOP2" s="8"/>
      <c r="UOQ2" s="8"/>
      <c r="UOR2" s="8"/>
      <c r="UOS2" s="8"/>
      <c r="UOT2" s="8"/>
      <c r="UOU2" s="8"/>
      <c r="UOV2" s="8"/>
      <c r="UOW2" s="8"/>
      <c r="UOX2" s="8"/>
      <c r="UOY2" s="8"/>
      <c r="UOZ2" s="8"/>
      <c r="UPA2" s="8"/>
      <c r="UPB2" s="8"/>
      <c r="UPC2" s="8"/>
      <c r="UPD2" s="8"/>
      <c r="UPE2" s="8"/>
      <c r="UPF2" s="8"/>
      <c r="UPG2" s="8"/>
      <c r="UPH2" s="8"/>
      <c r="UPI2" s="8"/>
      <c r="UPJ2" s="8"/>
      <c r="UPK2" s="8"/>
      <c r="UPL2" s="8"/>
      <c r="UPM2" s="8"/>
      <c r="UPN2" s="8"/>
      <c r="UPO2" s="8"/>
      <c r="UPP2" s="8"/>
      <c r="UPQ2" s="8"/>
      <c r="UPR2" s="8"/>
      <c r="UPS2" s="8"/>
      <c r="UPT2" s="8"/>
      <c r="UPU2" s="8"/>
      <c r="UPV2" s="8"/>
      <c r="UPW2" s="8"/>
      <c r="UPX2" s="8"/>
      <c r="UPY2" s="8"/>
      <c r="UPZ2" s="8"/>
      <c r="UQA2" s="8"/>
      <c r="UQB2" s="8"/>
      <c r="UQC2" s="8"/>
      <c r="UQD2" s="8"/>
      <c r="UQE2" s="8"/>
      <c r="UQF2" s="8"/>
      <c r="UQG2" s="8"/>
      <c r="UQH2" s="8"/>
      <c r="UQI2" s="8"/>
      <c r="UQJ2" s="8"/>
      <c r="UQK2" s="8"/>
      <c r="UQL2" s="8"/>
      <c r="UQM2" s="8"/>
      <c r="UQN2" s="8"/>
      <c r="UQO2" s="8"/>
      <c r="UQP2" s="8"/>
      <c r="UQQ2" s="8"/>
      <c r="UQR2" s="8"/>
      <c r="UQS2" s="8"/>
      <c r="UQT2" s="8"/>
      <c r="UQU2" s="8"/>
      <c r="UQV2" s="8"/>
      <c r="UQW2" s="8"/>
      <c r="UQX2" s="8"/>
      <c r="UQY2" s="8"/>
      <c r="UQZ2" s="8"/>
      <c r="URA2" s="8"/>
      <c r="URB2" s="8"/>
      <c r="URC2" s="8"/>
      <c r="URD2" s="8"/>
      <c r="URE2" s="8"/>
      <c r="URF2" s="8"/>
      <c r="URG2" s="8"/>
      <c r="URH2" s="8"/>
      <c r="URI2" s="8"/>
      <c r="URJ2" s="8"/>
      <c r="URK2" s="8"/>
      <c r="URL2" s="8"/>
      <c r="URM2" s="8"/>
      <c r="URN2" s="8"/>
      <c r="URO2" s="8"/>
      <c r="URP2" s="8"/>
      <c r="URQ2" s="8"/>
      <c r="URR2" s="8"/>
      <c r="URS2" s="8"/>
      <c r="URT2" s="8"/>
      <c r="URU2" s="8"/>
      <c r="URV2" s="8"/>
      <c r="URW2" s="8"/>
      <c r="URX2" s="8"/>
      <c r="URY2" s="8"/>
      <c r="URZ2" s="8"/>
      <c r="USA2" s="8"/>
      <c r="USB2" s="8"/>
      <c r="USC2" s="8"/>
      <c r="USD2" s="8"/>
      <c r="USE2" s="8"/>
      <c r="USF2" s="8"/>
      <c r="USG2" s="8"/>
      <c r="USH2" s="8"/>
      <c r="USI2" s="8"/>
      <c r="USJ2" s="8"/>
      <c r="USK2" s="8"/>
      <c r="USL2" s="8"/>
      <c r="USM2" s="8"/>
      <c r="USN2" s="8"/>
      <c r="USO2" s="8"/>
      <c r="USP2" s="8"/>
      <c r="USQ2" s="8"/>
      <c r="USR2" s="8"/>
      <c r="USS2" s="8"/>
      <c r="UST2" s="8"/>
      <c r="USU2" s="8"/>
      <c r="USV2" s="8"/>
      <c r="USW2" s="8"/>
      <c r="USX2" s="8"/>
      <c r="USY2" s="8"/>
      <c r="USZ2" s="8"/>
      <c r="UTA2" s="8"/>
      <c r="UTB2" s="8"/>
      <c r="UTC2" s="8"/>
      <c r="UTD2" s="8"/>
      <c r="UTE2" s="8"/>
      <c r="UTF2" s="8"/>
      <c r="UTG2" s="8"/>
      <c r="UTH2" s="8"/>
      <c r="UTI2" s="8"/>
      <c r="UTJ2" s="8"/>
      <c r="UTK2" s="8"/>
      <c r="UTL2" s="8"/>
      <c r="UTM2" s="8"/>
      <c r="UTN2" s="8"/>
      <c r="UTO2" s="8"/>
      <c r="UTP2" s="8"/>
      <c r="UTQ2" s="8"/>
      <c r="UTR2" s="8"/>
      <c r="UTS2" s="8"/>
      <c r="UTT2" s="8"/>
      <c r="UTU2" s="8"/>
      <c r="UTV2" s="8"/>
      <c r="UTW2" s="8"/>
      <c r="UTX2" s="8"/>
      <c r="UTY2" s="8"/>
      <c r="UTZ2" s="8"/>
      <c r="UUA2" s="8"/>
      <c r="UUB2" s="8"/>
      <c r="UUC2" s="8"/>
      <c r="UUD2" s="8"/>
      <c r="UUE2" s="8"/>
      <c r="UUF2" s="8"/>
      <c r="UUG2" s="8"/>
      <c r="UUH2" s="8"/>
      <c r="UUI2" s="8"/>
      <c r="UUJ2" s="8"/>
      <c r="UUK2" s="8"/>
      <c r="UUL2" s="8"/>
      <c r="UUM2" s="8"/>
      <c r="UUN2" s="8"/>
      <c r="UUO2" s="8"/>
      <c r="UUP2" s="8"/>
      <c r="UUQ2" s="8"/>
      <c r="UUR2" s="8"/>
      <c r="UUS2" s="8"/>
      <c r="UUT2" s="8"/>
      <c r="UUU2" s="8"/>
      <c r="UUV2" s="8"/>
      <c r="UUW2" s="8"/>
      <c r="UUX2" s="8"/>
      <c r="UUY2" s="8"/>
      <c r="UUZ2" s="8"/>
      <c r="UVA2" s="8"/>
      <c r="UVB2" s="8"/>
      <c r="UVC2" s="8"/>
      <c r="UVD2" s="8"/>
      <c r="UVE2" s="8"/>
      <c r="UVF2" s="8"/>
      <c r="UVG2" s="8"/>
      <c r="UVH2" s="8"/>
      <c r="UVI2" s="8"/>
      <c r="UVJ2" s="8"/>
      <c r="UVK2" s="8"/>
      <c r="UVL2" s="8"/>
      <c r="UVM2" s="8"/>
      <c r="UVN2" s="8"/>
      <c r="UVO2" s="8"/>
      <c r="UVP2" s="8"/>
      <c r="UVQ2" s="8"/>
      <c r="UVR2" s="8"/>
      <c r="UVS2" s="8"/>
      <c r="UVT2" s="8"/>
      <c r="UVU2" s="8"/>
      <c r="UVV2" s="8"/>
      <c r="UVW2" s="8"/>
      <c r="UVX2" s="8"/>
      <c r="UVY2" s="8"/>
      <c r="UVZ2" s="8"/>
      <c r="UWA2" s="8"/>
      <c r="UWB2" s="8"/>
      <c r="UWC2" s="8"/>
      <c r="UWD2" s="8"/>
      <c r="UWE2" s="8"/>
      <c r="UWF2" s="8"/>
      <c r="UWG2" s="8"/>
      <c r="UWH2" s="8"/>
      <c r="UWI2" s="8"/>
      <c r="UWJ2" s="8"/>
      <c r="UWK2" s="8"/>
      <c r="UWL2" s="8"/>
      <c r="UWM2" s="8"/>
      <c r="UWN2" s="8"/>
      <c r="UWO2" s="8"/>
      <c r="UWP2" s="8"/>
      <c r="UWQ2" s="8"/>
      <c r="UWR2" s="8"/>
      <c r="UWS2" s="8"/>
      <c r="UWT2" s="8"/>
      <c r="UWU2" s="8"/>
      <c r="UWV2" s="8"/>
      <c r="UWW2" s="8"/>
      <c r="UWX2" s="8"/>
      <c r="UWY2" s="8"/>
      <c r="UWZ2" s="8"/>
      <c r="UXA2" s="8"/>
      <c r="UXB2" s="8"/>
      <c r="UXC2" s="8"/>
      <c r="UXD2" s="8"/>
      <c r="UXE2" s="8"/>
      <c r="UXF2" s="8"/>
      <c r="UXG2" s="8"/>
      <c r="UXH2" s="8"/>
      <c r="UXI2" s="8"/>
      <c r="UXJ2" s="8"/>
      <c r="UXK2" s="8"/>
      <c r="UXL2" s="8"/>
      <c r="UXM2" s="8"/>
      <c r="UXN2" s="8"/>
      <c r="UXO2" s="8"/>
      <c r="UXP2" s="8"/>
      <c r="UXQ2" s="8"/>
      <c r="UXR2" s="8"/>
      <c r="UXS2" s="8"/>
      <c r="UXT2" s="8"/>
      <c r="UXU2" s="8"/>
      <c r="UXV2" s="8"/>
      <c r="UXW2" s="8"/>
      <c r="UXX2" s="8"/>
      <c r="UXY2" s="8"/>
      <c r="UXZ2" s="8"/>
      <c r="UYA2" s="8"/>
      <c r="UYB2" s="8"/>
      <c r="UYC2" s="8"/>
      <c r="UYD2" s="8"/>
      <c r="UYE2" s="8"/>
      <c r="UYF2" s="8"/>
      <c r="UYG2" s="8"/>
      <c r="UYH2" s="8"/>
      <c r="UYI2" s="8"/>
      <c r="UYJ2" s="8"/>
      <c r="UYK2" s="8"/>
      <c r="UYL2" s="8"/>
      <c r="UYM2" s="8"/>
      <c r="UYN2" s="8"/>
      <c r="UYO2" s="8"/>
      <c r="UYP2" s="8"/>
      <c r="UYQ2" s="8"/>
      <c r="UYR2" s="8"/>
      <c r="UYS2" s="8"/>
      <c r="UYT2" s="8"/>
      <c r="UYU2" s="8"/>
      <c r="UYV2" s="8"/>
      <c r="UYW2" s="8"/>
      <c r="UYX2" s="8"/>
      <c r="UYY2" s="8"/>
      <c r="UYZ2" s="8"/>
      <c r="UZA2" s="8"/>
      <c r="UZB2" s="8"/>
      <c r="UZC2" s="8"/>
      <c r="UZD2" s="8"/>
      <c r="UZE2" s="8"/>
      <c r="UZF2" s="8"/>
      <c r="UZG2" s="8"/>
      <c r="UZH2" s="8"/>
      <c r="UZI2" s="8"/>
      <c r="UZJ2" s="8"/>
      <c r="UZK2" s="8"/>
      <c r="UZL2" s="8"/>
      <c r="UZM2" s="8"/>
      <c r="UZN2" s="8"/>
      <c r="UZO2" s="8"/>
      <c r="UZP2" s="8"/>
      <c r="UZQ2" s="8"/>
      <c r="UZR2" s="8"/>
      <c r="UZS2" s="8"/>
      <c r="UZT2" s="8"/>
      <c r="UZU2" s="8"/>
      <c r="UZV2" s="8"/>
      <c r="UZW2" s="8"/>
      <c r="UZX2" s="8"/>
      <c r="UZY2" s="8"/>
      <c r="UZZ2" s="8"/>
      <c r="VAA2" s="8"/>
      <c r="VAB2" s="8"/>
      <c r="VAC2" s="8"/>
      <c r="VAD2" s="8"/>
      <c r="VAE2" s="8"/>
      <c r="VAF2" s="8"/>
      <c r="VAG2" s="8"/>
      <c r="VAH2" s="8"/>
      <c r="VAI2" s="8"/>
      <c r="VAJ2" s="8"/>
      <c r="VAK2" s="8"/>
      <c r="VAL2" s="8"/>
      <c r="VAM2" s="8"/>
      <c r="VAN2" s="8"/>
      <c r="VAO2" s="8"/>
      <c r="VAP2" s="8"/>
      <c r="VAQ2" s="8"/>
      <c r="VAR2" s="8"/>
      <c r="VAS2" s="8"/>
      <c r="VAT2" s="8"/>
      <c r="VAU2" s="8"/>
      <c r="VAV2" s="8"/>
      <c r="VAW2" s="8"/>
      <c r="VAX2" s="8"/>
      <c r="VAY2" s="8"/>
      <c r="VAZ2" s="8"/>
      <c r="VBA2" s="8"/>
      <c r="VBB2" s="8"/>
      <c r="VBC2" s="8"/>
      <c r="VBD2" s="8"/>
      <c r="VBE2" s="8"/>
      <c r="VBF2" s="8"/>
      <c r="VBG2" s="8"/>
      <c r="VBH2" s="8"/>
      <c r="VBI2" s="8"/>
      <c r="VBJ2" s="8"/>
      <c r="VBK2" s="8"/>
      <c r="VBL2" s="8"/>
      <c r="VBM2" s="8"/>
      <c r="VBN2" s="8"/>
      <c r="VBO2" s="8"/>
      <c r="VBP2" s="8"/>
      <c r="VBQ2" s="8"/>
      <c r="VBR2" s="8"/>
      <c r="VBS2" s="8"/>
      <c r="VBT2" s="8"/>
      <c r="VBU2" s="8"/>
      <c r="VBV2" s="8"/>
      <c r="VBW2" s="8"/>
      <c r="VBX2" s="8"/>
      <c r="VBY2" s="8"/>
      <c r="VBZ2" s="8"/>
      <c r="VCA2" s="8"/>
      <c r="VCB2" s="8"/>
      <c r="VCC2" s="8"/>
      <c r="VCD2" s="8"/>
      <c r="VCE2" s="8"/>
      <c r="VCF2" s="8"/>
      <c r="VCG2" s="8"/>
      <c r="VCH2" s="8"/>
      <c r="VCI2" s="8"/>
      <c r="VCJ2" s="8"/>
      <c r="VCK2" s="8"/>
      <c r="VCL2" s="8"/>
      <c r="VCM2" s="8"/>
      <c r="VCN2" s="8"/>
      <c r="VCO2" s="8"/>
      <c r="VCP2" s="8"/>
      <c r="VCQ2" s="8"/>
      <c r="VCR2" s="8"/>
      <c r="VCS2" s="8"/>
      <c r="VCT2" s="8"/>
      <c r="VCU2" s="8"/>
      <c r="VCV2" s="8"/>
      <c r="VCW2" s="8"/>
      <c r="VCX2" s="8"/>
      <c r="VCY2" s="8"/>
      <c r="VCZ2" s="8"/>
      <c r="VDA2" s="8"/>
      <c r="VDB2" s="8"/>
      <c r="VDC2" s="8"/>
      <c r="VDD2" s="8"/>
      <c r="VDE2" s="8"/>
      <c r="VDF2" s="8"/>
      <c r="VDG2" s="8"/>
      <c r="VDH2" s="8"/>
      <c r="VDI2" s="8"/>
      <c r="VDJ2" s="8"/>
      <c r="VDK2" s="8"/>
      <c r="VDL2" s="8"/>
      <c r="VDM2" s="8"/>
      <c r="VDN2" s="8"/>
      <c r="VDO2" s="8"/>
      <c r="VDP2" s="8"/>
      <c r="VDQ2" s="8"/>
      <c r="VDR2" s="8"/>
      <c r="VDS2" s="8"/>
      <c r="VDT2" s="8"/>
      <c r="VDU2" s="8"/>
      <c r="VDV2" s="8"/>
      <c r="VDW2" s="8"/>
      <c r="VDX2" s="8"/>
      <c r="VDY2" s="8"/>
      <c r="VDZ2" s="8"/>
      <c r="VEA2" s="8"/>
      <c r="VEB2" s="8"/>
      <c r="VEC2" s="8"/>
      <c r="VED2" s="8"/>
      <c r="VEE2" s="8"/>
      <c r="VEF2" s="8"/>
      <c r="VEG2" s="8"/>
      <c r="VEH2" s="8"/>
      <c r="VEI2" s="8"/>
      <c r="VEJ2" s="8"/>
      <c r="VEK2" s="8"/>
      <c r="VEL2" s="8"/>
      <c r="VEM2" s="8"/>
      <c r="VEN2" s="8"/>
      <c r="VEO2" s="8"/>
      <c r="VEP2" s="8"/>
      <c r="VEQ2" s="8"/>
      <c r="VER2" s="8"/>
      <c r="VES2" s="8"/>
      <c r="VET2" s="8"/>
      <c r="VEU2" s="8"/>
      <c r="VEV2" s="8"/>
      <c r="VEW2" s="8"/>
      <c r="VEX2" s="8"/>
      <c r="VEY2" s="8"/>
      <c r="VEZ2" s="8"/>
      <c r="VFA2" s="8"/>
      <c r="VFB2" s="8"/>
      <c r="VFC2" s="8"/>
      <c r="VFD2" s="8"/>
      <c r="VFE2" s="8"/>
      <c r="VFF2" s="8"/>
      <c r="VFG2" s="8"/>
      <c r="VFH2" s="8"/>
      <c r="VFI2" s="8"/>
      <c r="VFJ2" s="8"/>
      <c r="VFK2" s="8"/>
      <c r="VFL2" s="8"/>
      <c r="VFM2" s="8"/>
      <c r="VFN2" s="8"/>
      <c r="VFO2" s="8"/>
      <c r="VFP2" s="8"/>
      <c r="VFQ2" s="8"/>
      <c r="VFR2" s="8"/>
      <c r="VFS2" s="8"/>
      <c r="VFT2" s="8"/>
      <c r="VFU2" s="8"/>
      <c r="VFV2" s="8"/>
      <c r="VFW2" s="8"/>
      <c r="VFX2" s="8"/>
      <c r="VFY2" s="8"/>
      <c r="VFZ2" s="8"/>
      <c r="VGA2" s="8"/>
      <c r="VGB2" s="8"/>
      <c r="VGC2" s="8"/>
      <c r="VGD2" s="8"/>
      <c r="VGE2" s="8"/>
      <c r="VGF2" s="8"/>
      <c r="VGG2" s="8"/>
      <c r="VGH2" s="8"/>
      <c r="VGI2" s="8"/>
      <c r="VGJ2" s="8"/>
      <c r="VGK2" s="8"/>
      <c r="VGL2" s="8"/>
      <c r="VGM2" s="8"/>
      <c r="VGN2" s="8"/>
      <c r="VGO2" s="8"/>
      <c r="VGP2" s="8"/>
      <c r="VGQ2" s="8"/>
      <c r="VGR2" s="8"/>
      <c r="VGS2" s="8"/>
      <c r="VGT2" s="8"/>
      <c r="VGU2" s="8"/>
      <c r="VGV2" s="8"/>
      <c r="VGW2" s="8"/>
      <c r="VGX2" s="8"/>
      <c r="VGY2" s="8"/>
      <c r="VGZ2" s="8"/>
      <c r="VHA2" s="8"/>
      <c r="VHB2" s="8"/>
      <c r="VHC2" s="8"/>
      <c r="VHD2" s="8"/>
      <c r="VHE2" s="8"/>
      <c r="VHF2" s="8"/>
      <c r="VHG2" s="8"/>
      <c r="VHH2" s="8"/>
      <c r="VHI2" s="8"/>
      <c r="VHJ2" s="8"/>
      <c r="VHK2" s="8"/>
      <c r="VHL2" s="8"/>
      <c r="VHM2" s="8"/>
      <c r="VHN2" s="8"/>
      <c r="VHO2" s="8"/>
      <c r="VHP2" s="8"/>
      <c r="VHQ2" s="8"/>
      <c r="VHR2" s="8"/>
      <c r="VHS2" s="8"/>
      <c r="VHT2" s="8"/>
      <c r="VHU2" s="8"/>
      <c r="VHV2" s="8"/>
      <c r="VHW2" s="8"/>
      <c r="VHX2" s="8"/>
      <c r="VHY2" s="8"/>
      <c r="VHZ2" s="8"/>
      <c r="VIA2" s="8"/>
      <c r="VIB2" s="8"/>
      <c r="VIC2" s="8"/>
      <c r="VID2" s="8"/>
      <c r="VIE2" s="8"/>
      <c r="VIF2" s="8"/>
      <c r="VIG2" s="8"/>
      <c r="VIH2" s="8"/>
      <c r="VII2" s="8"/>
      <c r="VIJ2" s="8"/>
      <c r="VIK2" s="8"/>
      <c r="VIL2" s="8"/>
      <c r="VIM2" s="8"/>
      <c r="VIN2" s="8"/>
      <c r="VIO2" s="8"/>
      <c r="VIP2" s="8"/>
      <c r="VIQ2" s="8"/>
      <c r="VIR2" s="8"/>
      <c r="VIS2" s="8"/>
      <c r="VIT2" s="8"/>
      <c r="VIU2" s="8"/>
      <c r="VIV2" s="8"/>
      <c r="VIW2" s="8"/>
      <c r="VIX2" s="8"/>
      <c r="VIY2" s="8"/>
      <c r="VIZ2" s="8"/>
      <c r="VJA2" s="8"/>
      <c r="VJB2" s="8"/>
      <c r="VJC2" s="8"/>
      <c r="VJD2" s="8"/>
      <c r="VJE2" s="8"/>
      <c r="VJF2" s="8"/>
      <c r="VJG2" s="8"/>
      <c r="VJH2" s="8"/>
      <c r="VJI2" s="8"/>
      <c r="VJJ2" s="8"/>
      <c r="VJK2" s="8"/>
      <c r="VJL2" s="8"/>
      <c r="VJM2" s="8"/>
      <c r="VJN2" s="8"/>
      <c r="VJO2" s="8"/>
      <c r="VJP2" s="8"/>
      <c r="VJQ2" s="8"/>
      <c r="VJR2" s="8"/>
      <c r="VJS2" s="8"/>
      <c r="VJT2" s="8"/>
      <c r="VJU2" s="8"/>
      <c r="VJV2" s="8"/>
      <c r="VJW2" s="8"/>
      <c r="VJX2" s="8"/>
      <c r="VJY2" s="8"/>
      <c r="VJZ2" s="8"/>
      <c r="VKA2" s="8"/>
      <c r="VKB2" s="8"/>
      <c r="VKC2" s="8"/>
      <c r="VKD2" s="8"/>
      <c r="VKE2" s="8"/>
      <c r="VKF2" s="8"/>
      <c r="VKG2" s="8"/>
      <c r="VKH2" s="8"/>
      <c r="VKI2" s="8"/>
      <c r="VKJ2" s="8"/>
      <c r="VKK2" s="8"/>
      <c r="VKL2" s="8"/>
      <c r="VKM2" s="8"/>
      <c r="VKN2" s="8"/>
      <c r="VKO2" s="8"/>
      <c r="VKP2" s="8"/>
      <c r="VKQ2" s="8"/>
      <c r="VKR2" s="8"/>
      <c r="VKS2" s="8"/>
      <c r="VKT2" s="8"/>
      <c r="VKU2" s="8"/>
      <c r="VKV2" s="8"/>
      <c r="VKW2" s="8"/>
      <c r="VKX2" s="8"/>
      <c r="VKY2" s="8"/>
      <c r="VKZ2" s="8"/>
      <c r="VLA2" s="8"/>
      <c r="VLB2" s="8"/>
      <c r="VLC2" s="8"/>
      <c r="VLD2" s="8"/>
      <c r="VLE2" s="8"/>
      <c r="VLF2" s="8"/>
      <c r="VLG2" s="8"/>
      <c r="VLH2" s="8"/>
      <c r="VLI2" s="8"/>
      <c r="VLJ2" s="8"/>
      <c r="VLK2" s="8"/>
      <c r="VLL2" s="8"/>
      <c r="VLM2" s="8"/>
      <c r="VLN2" s="8"/>
      <c r="VLO2" s="8"/>
      <c r="VLP2" s="8"/>
      <c r="VLQ2" s="8"/>
      <c r="VLR2" s="8"/>
      <c r="VLS2" s="8"/>
      <c r="VLT2" s="8"/>
      <c r="VLU2" s="8"/>
      <c r="VLV2" s="8"/>
      <c r="VLW2" s="8"/>
      <c r="VLX2" s="8"/>
      <c r="VLY2" s="8"/>
      <c r="VLZ2" s="8"/>
      <c r="VMA2" s="8"/>
      <c r="VMB2" s="8"/>
      <c r="VMC2" s="8"/>
      <c r="VMD2" s="8"/>
      <c r="VME2" s="8"/>
      <c r="VMF2" s="8"/>
      <c r="VMG2" s="8"/>
      <c r="VMH2" s="8"/>
      <c r="VMI2" s="8"/>
      <c r="VMJ2" s="8"/>
      <c r="VMK2" s="8"/>
      <c r="VML2" s="8"/>
      <c r="VMM2" s="8"/>
      <c r="VMN2" s="8"/>
      <c r="VMO2" s="8"/>
      <c r="VMP2" s="8"/>
      <c r="VMQ2" s="8"/>
      <c r="VMR2" s="8"/>
      <c r="VMS2" s="8"/>
      <c r="VMT2" s="8"/>
      <c r="VMU2" s="8"/>
      <c r="VMV2" s="8"/>
      <c r="VMW2" s="8"/>
      <c r="VMX2" s="8"/>
      <c r="VMY2" s="8"/>
      <c r="VMZ2" s="8"/>
      <c r="VNA2" s="8"/>
      <c r="VNB2" s="8"/>
      <c r="VNC2" s="8"/>
      <c r="VND2" s="8"/>
      <c r="VNE2" s="8"/>
      <c r="VNF2" s="8"/>
      <c r="VNG2" s="8"/>
      <c r="VNH2" s="8"/>
      <c r="VNI2" s="8"/>
      <c r="VNJ2" s="8"/>
      <c r="VNK2" s="8"/>
      <c r="VNL2" s="8"/>
      <c r="VNM2" s="8"/>
      <c r="VNN2" s="8"/>
      <c r="VNO2" s="8"/>
      <c r="VNP2" s="8"/>
      <c r="VNQ2" s="8"/>
      <c r="VNR2" s="8"/>
      <c r="VNS2" s="8"/>
      <c r="VNT2" s="8"/>
      <c r="VNU2" s="8"/>
      <c r="VNV2" s="8"/>
      <c r="VNW2" s="8"/>
      <c r="VNX2" s="8"/>
      <c r="VNY2" s="8"/>
      <c r="VNZ2" s="8"/>
      <c r="VOA2" s="8"/>
      <c r="VOB2" s="8"/>
      <c r="VOC2" s="8"/>
      <c r="VOD2" s="8"/>
      <c r="VOE2" s="8"/>
      <c r="VOF2" s="8"/>
      <c r="VOG2" s="8"/>
      <c r="VOH2" s="8"/>
      <c r="VOI2" s="8"/>
      <c r="VOJ2" s="8"/>
      <c r="VOK2" s="8"/>
      <c r="VOL2" s="8"/>
      <c r="VOM2" s="8"/>
      <c r="VON2" s="8"/>
      <c r="VOO2" s="8"/>
      <c r="VOP2" s="8"/>
      <c r="VOQ2" s="8"/>
      <c r="VOR2" s="8"/>
      <c r="VOS2" s="8"/>
      <c r="VOT2" s="8"/>
      <c r="VOU2" s="8"/>
      <c r="VOV2" s="8"/>
      <c r="VOW2" s="8"/>
      <c r="VOX2" s="8"/>
      <c r="VOY2" s="8"/>
      <c r="VOZ2" s="8"/>
      <c r="VPA2" s="8"/>
      <c r="VPB2" s="8"/>
      <c r="VPC2" s="8"/>
      <c r="VPD2" s="8"/>
      <c r="VPE2" s="8"/>
      <c r="VPF2" s="8"/>
      <c r="VPG2" s="8"/>
      <c r="VPH2" s="8"/>
      <c r="VPI2" s="8"/>
      <c r="VPJ2" s="8"/>
      <c r="VPK2" s="8"/>
      <c r="VPL2" s="8"/>
      <c r="VPM2" s="8"/>
      <c r="VPN2" s="8"/>
      <c r="VPO2" s="8"/>
      <c r="VPP2" s="8"/>
      <c r="VPQ2" s="8"/>
      <c r="VPR2" s="8"/>
      <c r="VPS2" s="8"/>
      <c r="VPT2" s="8"/>
      <c r="VPU2" s="8"/>
      <c r="VPV2" s="8"/>
      <c r="VPW2" s="8"/>
      <c r="VPX2" s="8"/>
      <c r="VPY2" s="8"/>
      <c r="VPZ2" s="8"/>
      <c r="VQA2" s="8"/>
      <c r="VQB2" s="8"/>
      <c r="VQC2" s="8"/>
      <c r="VQD2" s="8"/>
      <c r="VQE2" s="8"/>
      <c r="VQF2" s="8"/>
      <c r="VQG2" s="8"/>
      <c r="VQH2" s="8"/>
      <c r="VQI2" s="8"/>
      <c r="VQJ2" s="8"/>
      <c r="VQK2" s="8"/>
      <c r="VQL2" s="8"/>
      <c r="VQM2" s="8"/>
      <c r="VQN2" s="8"/>
      <c r="VQO2" s="8"/>
      <c r="VQP2" s="8"/>
      <c r="VQQ2" s="8"/>
      <c r="VQR2" s="8"/>
      <c r="VQS2" s="8"/>
      <c r="VQT2" s="8"/>
      <c r="VQU2" s="8"/>
      <c r="VQV2" s="8"/>
      <c r="VQW2" s="8"/>
      <c r="VQX2" s="8"/>
      <c r="VQY2" s="8"/>
      <c r="VQZ2" s="8"/>
      <c r="VRA2" s="8"/>
      <c r="VRB2" s="8"/>
      <c r="VRC2" s="8"/>
      <c r="VRD2" s="8"/>
      <c r="VRE2" s="8"/>
      <c r="VRF2" s="8"/>
      <c r="VRG2" s="8"/>
      <c r="VRH2" s="8"/>
      <c r="VRI2" s="8"/>
      <c r="VRJ2" s="8"/>
      <c r="VRK2" s="8"/>
      <c r="VRL2" s="8"/>
      <c r="VRM2" s="8"/>
      <c r="VRN2" s="8"/>
      <c r="VRO2" s="8"/>
      <c r="VRP2" s="8"/>
      <c r="VRQ2" s="8"/>
      <c r="VRR2" s="8"/>
      <c r="VRS2" s="8"/>
      <c r="VRT2" s="8"/>
      <c r="VRU2" s="8"/>
      <c r="VRV2" s="8"/>
      <c r="VRW2" s="8"/>
      <c r="VRX2" s="8"/>
      <c r="VRY2" s="8"/>
      <c r="VRZ2" s="8"/>
      <c r="VSA2" s="8"/>
      <c r="VSB2" s="8"/>
      <c r="VSC2" s="8"/>
      <c r="VSD2" s="8"/>
      <c r="VSE2" s="8"/>
      <c r="VSF2" s="8"/>
      <c r="VSG2" s="8"/>
      <c r="VSH2" s="8"/>
      <c r="VSI2" s="8"/>
      <c r="VSJ2" s="8"/>
      <c r="VSK2" s="8"/>
      <c r="VSL2" s="8"/>
      <c r="VSM2" s="8"/>
      <c r="VSN2" s="8"/>
      <c r="VSO2" s="8"/>
      <c r="VSP2" s="8"/>
      <c r="VSQ2" s="8"/>
      <c r="VSR2" s="8"/>
      <c r="VSS2" s="8"/>
      <c r="VST2" s="8"/>
      <c r="VSU2" s="8"/>
      <c r="VSV2" s="8"/>
      <c r="VSW2" s="8"/>
      <c r="VSX2" s="8"/>
      <c r="VSY2" s="8"/>
      <c r="VSZ2" s="8"/>
      <c r="VTA2" s="8"/>
      <c r="VTB2" s="8"/>
      <c r="VTC2" s="8"/>
      <c r="VTD2" s="8"/>
      <c r="VTE2" s="8"/>
      <c r="VTF2" s="8"/>
      <c r="VTG2" s="8"/>
      <c r="VTH2" s="8"/>
      <c r="VTI2" s="8"/>
      <c r="VTJ2" s="8"/>
      <c r="VTK2" s="8"/>
      <c r="VTL2" s="8"/>
      <c r="VTM2" s="8"/>
      <c r="VTN2" s="8"/>
      <c r="VTO2" s="8"/>
      <c r="VTP2" s="8"/>
      <c r="VTQ2" s="8"/>
      <c r="VTR2" s="8"/>
      <c r="VTS2" s="8"/>
      <c r="VTT2" s="8"/>
      <c r="VTU2" s="8"/>
      <c r="VTV2" s="8"/>
      <c r="VTW2" s="8"/>
      <c r="VTX2" s="8"/>
      <c r="VTY2" s="8"/>
      <c r="VTZ2" s="8"/>
      <c r="VUA2" s="8"/>
      <c r="VUB2" s="8"/>
      <c r="VUC2" s="8"/>
      <c r="VUD2" s="8"/>
      <c r="VUE2" s="8"/>
      <c r="VUF2" s="8"/>
      <c r="VUG2" s="8"/>
      <c r="VUH2" s="8"/>
      <c r="VUI2" s="8"/>
      <c r="VUJ2" s="8"/>
      <c r="VUK2" s="8"/>
      <c r="VUL2" s="8"/>
      <c r="VUM2" s="8"/>
      <c r="VUN2" s="8"/>
      <c r="VUO2" s="8"/>
      <c r="VUP2" s="8"/>
      <c r="VUQ2" s="8"/>
      <c r="VUR2" s="8"/>
      <c r="VUS2" s="8"/>
      <c r="VUT2" s="8"/>
      <c r="VUU2" s="8"/>
      <c r="VUV2" s="8"/>
      <c r="VUW2" s="8"/>
      <c r="VUX2" s="8"/>
      <c r="VUY2" s="8"/>
      <c r="VUZ2" s="8"/>
      <c r="VVA2" s="8"/>
      <c r="VVB2" s="8"/>
      <c r="VVC2" s="8"/>
      <c r="VVD2" s="8"/>
      <c r="VVE2" s="8"/>
      <c r="VVF2" s="8"/>
      <c r="VVG2" s="8"/>
      <c r="VVH2" s="8"/>
      <c r="VVI2" s="8"/>
      <c r="VVJ2" s="8"/>
      <c r="VVK2" s="8"/>
      <c r="VVL2" s="8"/>
      <c r="VVM2" s="8"/>
      <c r="VVN2" s="8"/>
      <c r="VVO2" s="8"/>
      <c r="VVP2" s="8"/>
      <c r="VVQ2" s="8"/>
      <c r="VVR2" s="8"/>
      <c r="VVS2" s="8"/>
      <c r="VVT2" s="8"/>
      <c r="VVU2" s="8"/>
      <c r="VVV2" s="8"/>
      <c r="VVW2" s="8"/>
      <c r="VVX2" s="8"/>
      <c r="VVY2" s="8"/>
      <c r="VVZ2" s="8"/>
      <c r="VWA2" s="8"/>
      <c r="VWB2" s="8"/>
      <c r="VWC2" s="8"/>
      <c r="VWD2" s="8"/>
      <c r="VWE2" s="8"/>
      <c r="VWF2" s="8"/>
      <c r="VWG2" s="8"/>
      <c r="VWH2" s="8"/>
      <c r="VWI2" s="8"/>
      <c r="VWJ2" s="8"/>
      <c r="VWK2" s="8"/>
      <c r="VWL2" s="8"/>
      <c r="VWM2" s="8"/>
      <c r="VWN2" s="8"/>
      <c r="VWO2" s="8"/>
      <c r="VWP2" s="8"/>
      <c r="VWQ2" s="8"/>
      <c r="VWR2" s="8"/>
      <c r="VWS2" s="8"/>
      <c r="VWT2" s="8"/>
      <c r="VWU2" s="8"/>
      <c r="VWV2" s="8"/>
      <c r="VWW2" s="8"/>
      <c r="VWX2" s="8"/>
      <c r="VWY2" s="8"/>
      <c r="VWZ2" s="8"/>
      <c r="VXA2" s="8"/>
      <c r="VXB2" s="8"/>
      <c r="VXC2" s="8"/>
      <c r="VXD2" s="8"/>
      <c r="VXE2" s="8"/>
      <c r="VXF2" s="8"/>
      <c r="VXG2" s="8"/>
      <c r="VXH2" s="8"/>
      <c r="VXI2" s="8"/>
      <c r="VXJ2" s="8"/>
      <c r="VXK2" s="8"/>
      <c r="VXL2" s="8"/>
      <c r="VXM2" s="8"/>
      <c r="VXN2" s="8"/>
      <c r="VXO2" s="8"/>
      <c r="VXP2" s="8"/>
      <c r="VXQ2" s="8"/>
      <c r="VXR2" s="8"/>
      <c r="VXS2" s="8"/>
      <c r="VXT2" s="8"/>
      <c r="VXU2" s="8"/>
      <c r="VXV2" s="8"/>
      <c r="VXW2" s="8"/>
      <c r="VXX2" s="8"/>
      <c r="VXY2" s="8"/>
      <c r="VXZ2" s="8"/>
      <c r="VYA2" s="8"/>
      <c r="VYB2" s="8"/>
      <c r="VYC2" s="8"/>
      <c r="VYD2" s="8"/>
      <c r="VYE2" s="8"/>
      <c r="VYF2" s="8"/>
      <c r="VYG2" s="8"/>
      <c r="VYH2" s="8"/>
      <c r="VYI2" s="8"/>
      <c r="VYJ2" s="8"/>
      <c r="VYK2" s="8"/>
      <c r="VYL2" s="8"/>
      <c r="VYM2" s="8"/>
      <c r="VYN2" s="8"/>
      <c r="VYO2" s="8"/>
      <c r="VYP2" s="8"/>
      <c r="VYQ2" s="8"/>
      <c r="VYR2" s="8"/>
      <c r="VYS2" s="8"/>
      <c r="VYT2" s="8"/>
      <c r="VYU2" s="8"/>
      <c r="VYV2" s="8"/>
      <c r="VYW2" s="8"/>
      <c r="VYX2" s="8"/>
      <c r="VYY2" s="8"/>
      <c r="VYZ2" s="8"/>
      <c r="VZA2" s="8"/>
      <c r="VZB2" s="8"/>
      <c r="VZC2" s="8"/>
      <c r="VZD2" s="8"/>
      <c r="VZE2" s="8"/>
      <c r="VZF2" s="8"/>
      <c r="VZG2" s="8"/>
      <c r="VZH2" s="8"/>
      <c r="VZI2" s="8"/>
      <c r="VZJ2" s="8"/>
      <c r="VZK2" s="8"/>
      <c r="VZL2" s="8"/>
      <c r="VZM2" s="8"/>
      <c r="VZN2" s="8"/>
      <c r="VZO2" s="8"/>
      <c r="VZP2" s="8"/>
      <c r="VZQ2" s="8"/>
      <c r="VZR2" s="8"/>
      <c r="VZS2" s="8"/>
      <c r="VZT2" s="8"/>
      <c r="VZU2" s="8"/>
      <c r="VZV2" s="8"/>
      <c r="VZW2" s="8"/>
      <c r="VZX2" s="8"/>
      <c r="VZY2" s="8"/>
      <c r="VZZ2" s="8"/>
      <c r="WAA2" s="8"/>
      <c r="WAB2" s="8"/>
      <c r="WAC2" s="8"/>
      <c r="WAD2" s="8"/>
      <c r="WAE2" s="8"/>
      <c r="WAF2" s="8"/>
      <c r="WAG2" s="8"/>
      <c r="WAH2" s="8"/>
      <c r="WAI2" s="8"/>
      <c r="WAJ2" s="8"/>
      <c r="WAK2" s="8"/>
      <c r="WAL2" s="8"/>
      <c r="WAM2" s="8"/>
      <c r="WAN2" s="8"/>
      <c r="WAO2" s="8"/>
      <c r="WAP2" s="8"/>
      <c r="WAQ2" s="8"/>
      <c r="WAR2" s="8"/>
      <c r="WAS2" s="8"/>
      <c r="WAT2" s="8"/>
      <c r="WAU2" s="8"/>
      <c r="WAV2" s="8"/>
      <c r="WAW2" s="8"/>
      <c r="WAX2" s="8"/>
      <c r="WAY2" s="8"/>
      <c r="WAZ2" s="8"/>
      <c r="WBA2" s="8"/>
      <c r="WBB2" s="8"/>
      <c r="WBC2" s="8"/>
      <c r="WBD2" s="8"/>
      <c r="WBE2" s="8"/>
      <c r="WBF2" s="8"/>
      <c r="WBG2" s="8"/>
      <c r="WBH2" s="8"/>
      <c r="WBI2" s="8"/>
      <c r="WBJ2" s="8"/>
      <c r="WBK2" s="8"/>
      <c r="WBL2" s="8"/>
      <c r="WBM2" s="8"/>
      <c r="WBN2" s="8"/>
      <c r="WBO2" s="8"/>
      <c r="WBP2" s="8"/>
      <c r="WBQ2" s="8"/>
      <c r="WBR2" s="8"/>
      <c r="WBS2" s="8"/>
      <c r="WBT2" s="8"/>
      <c r="WBU2" s="8"/>
      <c r="WBV2" s="8"/>
      <c r="WBW2" s="8"/>
      <c r="WBX2" s="8"/>
      <c r="WBY2" s="8"/>
      <c r="WBZ2" s="8"/>
      <c r="WCA2" s="8"/>
      <c r="WCB2" s="8"/>
      <c r="WCC2" s="8"/>
      <c r="WCD2" s="8"/>
      <c r="WCE2" s="8"/>
      <c r="WCF2" s="8"/>
      <c r="WCG2" s="8"/>
      <c r="WCH2" s="8"/>
      <c r="WCI2" s="8"/>
      <c r="WCJ2" s="8"/>
      <c r="WCK2" s="8"/>
      <c r="WCL2" s="8"/>
      <c r="WCM2" s="8"/>
      <c r="WCN2" s="8"/>
      <c r="WCO2" s="8"/>
      <c r="WCP2" s="8"/>
      <c r="WCQ2" s="8"/>
      <c r="WCR2" s="8"/>
      <c r="WCS2" s="8"/>
      <c r="WCT2" s="8"/>
      <c r="WCU2" s="8"/>
      <c r="WCV2" s="8"/>
      <c r="WCW2" s="8"/>
      <c r="WCX2" s="8"/>
      <c r="WCY2" s="8"/>
      <c r="WCZ2" s="8"/>
      <c r="WDA2" s="8"/>
      <c r="WDB2" s="8"/>
      <c r="WDC2" s="8"/>
      <c r="WDD2" s="8"/>
      <c r="WDE2" s="8"/>
      <c r="WDF2" s="8"/>
      <c r="WDG2" s="8"/>
      <c r="WDH2" s="8"/>
      <c r="WDI2" s="8"/>
      <c r="WDJ2" s="8"/>
      <c r="WDK2" s="8"/>
      <c r="WDL2" s="8"/>
      <c r="WDM2" s="8"/>
      <c r="WDN2" s="8"/>
      <c r="WDO2" s="8"/>
      <c r="WDP2" s="8"/>
      <c r="WDQ2" s="8"/>
      <c r="WDR2" s="8"/>
      <c r="WDS2" s="8"/>
      <c r="WDT2" s="8"/>
      <c r="WDU2" s="8"/>
      <c r="WDV2" s="8"/>
      <c r="WDW2" s="8"/>
      <c r="WDX2" s="8"/>
      <c r="WDY2" s="8"/>
      <c r="WDZ2" s="8"/>
      <c r="WEA2" s="8"/>
      <c r="WEB2" s="8"/>
      <c r="WEC2" s="8"/>
      <c r="WED2" s="8"/>
      <c r="WEE2" s="8"/>
      <c r="WEF2" s="8"/>
      <c r="WEG2" s="8"/>
      <c r="WEH2" s="8"/>
      <c r="WEI2" s="8"/>
      <c r="WEJ2" s="8"/>
      <c r="WEK2" s="8"/>
      <c r="WEL2" s="8"/>
      <c r="WEM2" s="8"/>
      <c r="WEN2" s="8"/>
      <c r="WEO2" s="8"/>
      <c r="WEP2" s="8"/>
      <c r="WEQ2" s="8"/>
      <c r="WER2" s="8"/>
      <c r="WES2" s="8"/>
      <c r="WET2" s="8"/>
      <c r="WEU2" s="8"/>
      <c r="WEV2" s="8"/>
      <c r="WEW2" s="8"/>
      <c r="WEX2" s="8"/>
      <c r="WEY2" s="8"/>
      <c r="WEZ2" s="8"/>
      <c r="WFA2" s="8"/>
      <c r="WFB2" s="8"/>
      <c r="WFC2" s="8"/>
      <c r="WFD2" s="8"/>
      <c r="WFE2" s="8"/>
      <c r="WFF2" s="8"/>
      <c r="WFG2" s="8"/>
      <c r="WFH2" s="8"/>
      <c r="WFI2" s="8"/>
      <c r="WFJ2" s="8"/>
      <c r="WFK2" s="8"/>
      <c r="WFL2" s="8"/>
      <c r="WFM2" s="8"/>
      <c r="WFN2" s="8"/>
      <c r="WFO2" s="8"/>
      <c r="WFP2" s="8"/>
      <c r="WFQ2" s="8"/>
      <c r="WFR2" s="8"/>
      <c r="WFS2" s="8"/>
      <c r="WFT2" s="8"/>
      <c r="WFU2" s="8"/>
      <c r="WFV2" s="8"/>
      <c r="WFW2" s="8"/>
      <c r="WFX2" s="8"/>
      <c r="WFY2" s="8"/>
      <c r="WFZ2" s="8"/>
      <c r="WGA2" s="8"/>
      <c r="WGB2" s="8"/>
      <c r="WGC2" s="8"/>
      <c r="WGD2" s="8"/>
      <c r="WGE2" s="8"/>
      <c r="WGF2" s="8"/>
      <c r="WGG2" s="8"/>
      <c r="WGH2" s="8"/>
      <c r="WGI2" s="8"/>
      <c r="WGJ2" s="8"/>
      <c r="WGK2" s="8"/>
      <c r="WGL2" s="8"/>
      <c r="WGM2" s="8"/>
      <c r="WGN2" s="8"/>
      <c r="WGO2" s="8"/>
      <c r="WGP2" s="8"/>
      <c r="WGQ2" s="8"/>
      <c r="WGR2" s="8"/>
      <c r="WGS2" s="8"/>
      <c r="WGT2" s="8"/>
      <c r="WGU2" s="8"/>
      <c r="WGV2" s="8"/>
      <c r="WGW2" s="8"/>
      <c r="WGX2" s="8"/>
      <c r="WGY2" s="8"/>
      <c r="WGZ2" s="8"/>
      <c r="WHA2" s="8"/>
      <c r="WHB2" s="8"/>
      <c r="WHC2" s="8"/>
      <c r="WHD2" s="8"/>
      <c r="WHE2" s="8"/>
      <c r="WHF2" s="8"/>
      <c r="WHG2" s="8"/>
      <c r="WHH2" s="8"/>
      <c r="WHI2" s="8"/>
      <c r="WHJ2" s="8"/>
      <c r="WHK2" s="8"/>
      <c r="WHL2" s="8"/>
      <c r="WHM2" s="8"/>
      <c r="WHN2" s="8"/>
      <c r="WHO2" s="8"/>
      <c r="WHP2" s="8"/>
      <c r="WHQ2" s="8"/>
      <c r="WHR2" s="8"/>
      <c r="WHS2" s="8"/>
      <c r="WHT2" s="8"/>
      <c r="WHU2" s="8"/>
      <c r="WHV2" s="8"/>
      <c r="WHW2" s="8"/>
      <c r="WHX2" s="8"/>
      <c r="WHY2" s="8"/>
      <c r="WHZ2" s="8"/>
      <c r="WIA2" s="8"/>
      <c r="WIB2" s="8"/>
      <c r="WIC2" s="8"/>
      <c r="WID2" s="8"/>
      <c r="WIE2" s="8"/>
      <c r="WIF2" s="8"/>
      <c r="WIG2" s="8"/>
      <c r="WIH2" s="8"/>
      <c r="WII2" s="8"/>
      <c r="WIJ2" s="8"/>
      <c r="WIK2" s="8"/>
      <c r="WIL2" s="8"/>
      <c r="WIM2" s="8"/>
      <c r="WIN2" s="8"/>
      <c r="WIO2" s="8"/>
      <c r="WIP2" s="8"/>
      <c r="WIQ2" s="8"/>
      <c r="WIR2" s="8"/>
      <c r="WIS2" s="8"/>
      <c r="WIT2" s="8"/>
      <c r="WIU2" s="8"/>
      <c r="WIV2" s="8"/>
      <c r="WIW2" s="8"/>
      <c r="WIX2" s="8"/>
      <c r="WIY2" s="8"/>
      <c r="WIZ2" s="8"/>
      <c r="WJA2" s="8"/>
      <c r="WJB2" s="8"/>
      <c r="WJC2" s="8"/>
      <c r="WJD2" s="8"/>
      <c r="WJE2" s="8"/>
      <c r="WJF2" s="8"/>
      <c r="WJG2" s="8"/>
      <c r="WJH2" s="8"/>
      <c r="WJI2" s="8"/>
      <c r="WJJ2" s="8"/>
      <c r="WJK2" s="8"/>
      <c r="WJL2" s="8"/>
      <c r="WJM2" s="8"/>
      <c r="WJN2" s="8"/>
      <c r="WJO2" s="8"/>
      <c r="WJP2" s="8"/>
      <c r="WJQ2" s="8"/>
      <c r="WJR2" s="8"/>
      <c r="WJS2" s="8"/>
      <c r="WJT2" s="8"/>
      <c r="WJU2" s="8"/>
      <c r="WJV2" s="8"/>
      <c r="WJW2" s="8"/>
      <c r="WJX2" s="8"/>
      <c r="WJY2" s="8"/>
      <c r="WJZ2" s="8"/>
      <c r="WKA2" s="8"/>
      <c r="WKB2" s="8"/>
      <c r="WKC2" s="8"/>
      <c r="WKD2" s="8"/>
      <c r="WKE2" s="8"/>
      <c r="WKF2" s="8"/>
      <c r="WKG2" s="8"/>
      <c r="WKH2" s="8"/>
      <c r="WKI2" s="8"/>
      <c r="WKJ2" s="8"/>
      <c r="WKK2" s="8"/>
      <c r="WKL2" s="8"/>
      <c r="WKM2" s="8"/>
      <c r="WKN2" s="8"/>
      <c r="WKO2" s="8"/>
      <c r="WKP2" s="8"/>
      <c r="WKQ2" s="8"/>
      <c r="WKR2" s="8"/>
      <c r="WKS2" s="8"/>
      <c r="WKT2" s="8"/>
      <c r="WKU2" s="8"/>
      <c r="WKV2" s="8"/>
      <c r="WKW2" s="8"/>
      <c r="WKX2" s="8"/>
      <c r="WKY2" s="8"/>
      <c r="WKZ2" s="8"/>
      <c r="WLA2" s="8"/>
      <c r="WLB2" s="8"/>
      <c r="WLC2" s="8"/>
      <c r="WLD2" s="8"/>
      <c r="WLE2" s="8"/>
      <c r="WLF2" s="8"/>
      <c r="WLG2" s="8"/>
      <c r="WLH2" s="8"/>
      <c r="WLI2" s="8"/>
      <c r="WLJ2" s="8"/>
      <c r="WLK2" s="8"/>
      <c r="WLL2" s="8"/>
      <c r="WLM2" s="8"/>
      <c r="WLN2" s="8"/>
      <c r="WLO2" s="8"/>
      <c r="WLP2" s="8"/>
      <c r="WLQ2" s="8"/>
      <c r="WLR2" s="8"/>
      <c r="WLS2" s="8"/>
      <c r="WLT2" s="8"/>
      <c r="WLU2" s="8"/>
      <c r="WLV2" s="8"/>
      <c r="WLW2" s="8"/>
      <c r="WLX2" s="8"/>
      <c r="WLY2" s="8"/>
      <c r="WLZ2" s="8"/>
      <c r="WMA2" s="8"/>
      <c r="WMB2" s="8"/>
      <c r="WMC2" s="8"/>
      <c r="WMD2" s="8"/>
      <c r="WME2" s="8"/>
      <c r="WMF2" s="8"/>
      <c r="WMG2" s="8"/>
      <c r="WMH2" s="8"/>
      <c r="WMI2" s="8"/>
      <c r="WMJ2" s="8"/>
      <c r="WMK2" s="8"/>
      <c r="WML2" s="8"/>
      <c r="WMM2" s="8"/>
      <c r="WMN2" s="8"/>
      <c r="WMO2" s="8"/>
      <c r="WMP2" s="8"/>
      <c r="WMQ2" s="8"/>
      <c r="WMR2" s="8"/>
      <c r="WMS2" s="8"/>
      <c r="WMT2" s="8"/>
      <c r="WMU2" s="8"/>
      <c r="WMV2" s="8"/>
      <c r="WMW2" s="8"/>
      <c r="WMX2" s="8"/>
      <c r="WMY2" s="8"/>
      <c r="WMZ2" s="8"/>
      <c r="WNA2" s="8"/>
      <c r="WNB2" s="8"/>
      <c r="WNC2" s="8"/>
      <c r="WND2" s="8"/>
      <c r="WNE2" s="8"/>
      <c r="WNF2" s="8"/>
      <c r="WNG2" s="8"/>
      <c r="WNH2" s="8"/>
      <c r="WNI2" s="8"/>
      <c r="WNJ2" s="8"/>
      <c r="WNK2" s="8"/>
      <c r="WNL2" s="8"/>
      <c r="WNM2" s="8"/>
      <c r="WNN2" s="8"/>
      <c r="WNO2" s="8"/>
      <c r="WNP2" s="8"/>
      <c r="WNQ2" s="8"/>
      <c r="WNR2" s="8"/>
      <c r="WNS2" s="8"/>
      <c r="WNT2" s="8"/>
      <c r="WNU2" s="8"/>
      <c r="WNV2" s="8"/>
      <c r="WNW2" s="8"/>
      <c r="WNX2" s="8"/>
      <c r="WNY2" s="8"/>
      <c r="WNZ2" s="8"/>
      <c r="WOA2" s="8"/>
      <c r="WOB2" s="8"/>
      <c r="WOC2" s="8"/>
      <c r="WOD2" s="8"/>
      <c r="WOE2" s="8"/>
      <c r="WOF2" s="8"/>
      <c r="WOG2" s="8"/>
      <c r="WOH2" s="8"/>
      <c r="WOI2" s="8"/>
      <c r="WOJ2" s="8"/>
      <c r="WOK2" s="8"/>
      <c r="WOL2" s="8"/>
      <c r="WOM2" s="8"/>
      <c r="WON2" s="8"/>
      <c r="WOO2" s="8"/>
      <c r="WOP2" s="8"/>
      <c r="WOQ2" s="8"/>
      <c r="WOR2" s="8"/>
      <c r="WOS2" s="8"/>
      <c r="WOT2" s="8"/>
      <c r="WOU2" s="8"/>
      <c r="WOV2" s="8"/>
      <c r="WOW2" s="8"/>
      <c r="WOX2" s="8"/>
      <c r="WOY2" s="8"/>
      <c r="WOZ2" s="8"/>
      <c r="WPA2" s="8"/>
      <c r="WPB2" s="8"/>
      <c r="WPC2" s="8"/>
      <c r="WPD2" s="8"/>
      <c r="WPE2" s="8"/>
      <c r="WPF2" s="8"/>
      <c r="WPG2" s="8"/>
      <c r="WPH2" s="8"/>
      <c r="WPI2" s="8"/>
      <c r="WPJ2" s="8"/>
      <c r="WPK2" s="8"/>
      <c r="WPL2" s="8"/>
      <c r="WPM2" s="8"/>
      <c r="WPN2" s="8"/>
      <c r="WPO2" s="8"/>
      <c r="WPP2" s="8"/>
      <c r="WPQ2" s="8"/>
      <c r="WPR2" s="8"/>
      <c r="WPS2" s="8"/>
      <c r="WPT2" s="8"/>
      <c r="WPU2" s="8"/>
      <c r="WPV2" s="8"/>
      <c r="WPW2" s="8"/>
      <c r="WPX2" s="8"/>
      <c r="WPY2" s="8"/>
      <c r="WPZ2" s="8"/>
      <c r="WQA2" s="8"/>
      <c r="WQB2" s="8"/>
      <c r="WQC2" s="8"/>
      <c r="WQD2" s="8"/>
      <c r="WQE2" s="8"/>
      <c r="WQF2" s="8"/>
      <c r="WQG2" s="8"/>
      <c r="WQH2" s="8"/>
      <c r="WQI2" s="8"/>
      <c r="WQJ2" s="8"/>
      <c r="WQK2" s="8"/>
      <c r="WQL2" s="8"/>
      <c r="WQM2" s="8"/>
      <c r="WQN2" s="8"/>
      <c r="WQO2" s="8"/>
      <c r="WQP2" s="8"/>
      <c r="WQQ2" s="8"/>
      <c r="WQR2" s="8"/>
      <c r="WQS2" s="8"/>
      <c r="WQT2" s="8"/>
      <c r="WQU2" s="8"/>
      <c r="WQV2" s="8"/>
      <c r="WQW2" s="8"/>
      <c r="WQX2" s="8"/>
      <c r="WQY2" s="8"/>
      <c r="WQZ2" s="8"/>
      <c r="WRA2" s="8"/>
      <c r="WRB2" s="8"/>
      <c r="WRC2" s="8"/>
      <c r="WRD2" s="8"/>
      <c r="WRE2" s="8"/>
      <c r="WRF2" s="8"/>
      <c r="WRG2" s="8"/>
      <c r="WRH2" s="8"/>
      <c r="WRI2" s="8"/>
      <c r="WRJ2" s="8"/>
      <c r="WRK2" s="8"/>
      <c r="WRL2" s="8"/>
      <c r="WRM2" s="8"/>
      <c r="WRN2" s="8"/>
      <c r="WRO2" s="8"/>
      <c r="WRP2" s="8"/>
      <c r="WRQ2" s="8"/>
      <c r="WRR2" s="8"/>
      <c r="WRS2" s="8"/>
      <c r="WRT2" s="8"/>
      <c r="WRU2" s="8"/>
      <c r="WRV2" s="8"/>
      <c r="WRW2" s="8"/>
      <c r="WRX2" s="8"/>
      <c r="WRY2" s="8"/>
      <c r="WRZ2" s="8"/>
      <c r="WSA2" s="8"/>
      <c r="WSB2" s="8"/>
      <c r="WSC2" s="8"/>
      <c r="WSD2" s="8"/>
      <c r="WSE2" s="8"/>
      <c r="WSF2" s="8"/>
      <c r="WSG2" s="8"/>
      <c r="WSH2" s="8"/>
      <c r="WSI2" s="8"/>
      <c r="WSJ2" s="8"/>
      <c r="WSK2" s="8"/>
      <c r="WSL2" s="8"/>
      <c r="WSM2" s="8"/>
      <c r="WSN2" s="8"/>
      <c r="WSO2" s="8"/>
      <c r="WSP2" s="8"/>
      <c r="WSQ2" s="8"/>
      <c r="WSR2" s="8"/>
      <c r="WSS2" s="8"/>
      <c r="WST2" s="8"/>
      <c r="WSU2" s="8"/>
      <c r="WSV2" s="8"/>
      <c r="WSW2" s="8"/>
      <c r="WSX2" s="8"/>
      <c r="WSY2" s="8"/>
      <c r="WSZ2" s="8"/>
      <c r="WTA2" s="8"/>
      <c r="WTB2" s="8"/>
      <c r="WTC2" s="8"/>
      <c r="WTD2" s="8"/>
      <c r="WTE2" s="8"/>
      <c r="WTF2" s="8"/>
      <c r="WTG2" s="8"/>
      <c r="WTH2" s="8"/>
      <c r="WTI2" s="8"/>
      <c r="WTJ2" s="8"/>
      <c r="WTK2" s="8"/>
      <c r="WTL2" s="8"/>
      <c r="WTM2" s="8"/>
      <c r="WTN2" s="8"/>
      <c r="WTO2" s="8"/>
      <c r="WTP2" s="8"/>
      <c r="WTQ2" s="8"/>
      <c r="WTR2" s="8"/>
      <c r="WTS2" s="8"/>
      <c r="WTT2" s="8"/>
      <c r="WTU2" s="8"/>
      <c r="WTV2" s="8"/>
      <c r="WTW2" s="8"/>
      <c r="WTX2" s="8"/>
      <c r="WTY2" s="8"/>
      <c r="WTZ2" s="8"/>
      <c r="WUA2" s="8"/>
      <c r="WUB2" s="8"/>
      <c r="WUC2" s="8"/>
      <c r="WUD2" s="8"/>
      <c r="WUE2" s="8"/>
      <c r="WUF2" s="8"/>
      <c r="WUG2" s="8"/>
      <c r="WUH2" s="8"/>
      <c r="WUI2" s="8"/>
      <c r="WUJ2" s="8"/>
      <c r="WUK2" s="8"/>
      <c r="WUL2" s="8"/>
      <c r="WUM2" s="8"/>
      <c r="WUN2" s="8"/>
      <c r="WUO2" s="8"/>
      <c r="WUP2" s="8"/>
      <c r="WUQ2" s="8"/>
      <c r="WUR2" s="8"/>
      <c r="WUS2" s="8"/>
      <c r="WUT2" s="8"/>
      <c r="WUU2" s="8"/>
      <c r="WUV2" s="8"/>
      <c r="WUW2" s="8"/>
      <c r="WUX2" s="8"/>
      <c r="WUY2" s="8"/>
      <c r="WUZ2" s="8"/>
      <c r="WVA2" s="8"/>
      <c r="WVB2" s="8"/>
      <c r="WVC2" s="8"/>
      <c r="WVD2" s="8"/>
      <c r="WVE2" s="8"/>
      <c r="WVF2" s="8"/>
      <c r="WVG2" s="8"/>
      <c r="WVH2" s="8"/>
      <c r="WVI2" s="8"/>
      <c r="WVJ2" s="8"/>
      <c r="WVK2" s="8"/>
      <c r="WVL2" s="8"/>
      <c r="WVM2" s="8"/>
      <c r="WVN2" s="8"/>
      <c r="WVO2" s="8"/>
      <c r="WVP2" s="8"/>
      <c r="WVQ2" s="8"/>
      <c r="WVR2" s="8"/>
      <c r="WVS2" s="8"/>
      <c r="WVT2" s="8"/>
      <c r="WVU2" s="8"/>
      <c r="WVV2" s="8"/>
      <c r="WVW2" s="8"/>
      <c r="WVX2" s="8"/>
      <c r="WVY2" s="8"/>
      <c r="WVZ2" s="8"/>
      <c r="WWA2" s="8"/>
      <c r="WWB2" s="8"/>
      <c r="WWC2" s="8"/>
      <c r="WWD2" s="8"/>
      <c r="WWE2" s="8"/>
      <c r="WWF2" s="8"/>
      <c r="WWG2" s="8"/>
      <c r="WWH2" s="8"/>
      <c r="WWI2" s="8"/>
      <c r="WWJ2" s="8"/>
      <c r="WWK2" s="8"/>
      <c r="WWL2" s="8"/>
      <c r="WWM2" s="8"/>
      <c r="WWN2" s="8"/>
      <c r="WWO2" s="8"/>
      <c r="WWP2" s="8"/>
      <c r="WWQ2" s="8"/>
      <c r="WWR2" s="8"/>
      <c r="WWS2" s="8"/>
      <c r="WWT2" s="8"/>
      <c r="WWU2" s="8"/>
      <c r="WWV2" s="8"/>
      <c r="WWW2" s="8"/>
      <c r="WWX2" s="8"/>
      <c r="WWY2" s="8"/>
      <c r="WWZ2" s="8"/>
      <c r="WXA2" s="8"/>
      <c r="WXB2" s="8"/>
      <c r="WXC2" s="8"/>
      <c r="WXD2" s="8"/>
      <c r="WXE2" s="8"/>
      <c r="WXF2" s="8"/>
      <c r="WXG2" s="8"/>
      <c r="WXH2" s="8"/>
      <c r="WXI2" s="8"/>
      <c r="WXJ2" s="8"/>
      <c r="WXK2" s="8"/>
      <c r="WXL2" s="8"/>
      <c r="WXM2" s="8"/>
      <c r="WXN2" s="8"/>
      <c r="WXO2" s="8"/>
      <c r="WXP2" s="8"/>
      <c r="WXQ2" s="8"/>
      <c r="WXR2" s="8"/>
      <c r="WXS2" s="8"/>
      <c r="WXT2" s="8"/>
      <c r="WXU2" s="8"/>
      <c r="WXV2" s="8"/>
      <c r="WXW2" s="8"/>
      <c r="WXX2" s="8"/>
      <c r="WXY2" s="8"/>
      <c r="WXZ2" s="8"/>
      <c r="WYA2" s="8"/>
      <c r="WYB2" s="8"/>
      <c r="WYC2" s="8"/>
      <c r="WYD2" s="8"/>
      <c r="WYE2" s="8"/>
      <c r="WYF2" s="8"/>
      <c r="WYG2" s="8"/>
      <c r="WYH2" s="8"/>
      <c r="WYI2" s="8"/>
      <c r="WYJ2" s="8"/>
      <c r="WYK2" s="8"/>
      <c r="WYL2" s="8"/>
      <c r="WYM2" s="8"/>
      <c r="WYN2" s="8"/>
      <c r="WYO2" s="8"/>
      <c r="WYP2" s="8"/>
      <c r="WYQ2" s="8"/>
      <c r="WYR2" s="8"/>
      <c r="WYS2" s="8"/>
      <c r="WYT2" s="8"/>
      <c r="WYU2" s="8"/>
      <c r="WYV2" s="8"/>
      <c r="WYW2" s="8"/>
      <c r="WYX2" s="8"/>
      <c r="WYY2" s="8"/>
      <c r="WYZ2" s="8"/>
      <c r="WZA2" s="8"/>
      <c r="WZB2" s="8"/>
      <c r="WZC2" s="8"/>
      <c r="WZD2" s="8"/>
      <c r="WZE2" s="8"/>
      <c r="WZF2" s="8"/>
      <c r="WZG2" s="8"/>
      <c r="WZH2" s="8"/>
      <c r="WZI2" s="8"/>
      <c r="WZJ2" s="8"/>
      <c r="WZK2" s="8"/>
      <c r="WZL2" s="8"/>
      <c r="WZM2" s="8"/>
      <c r="WZN2" s="8"/>
      <c r="WZO2" s="8"/>
      <c r="WZP2" s="8"/>
      <c r="WZQ2" s="8"/>
      <c r="WZR2" s="8"/>
      <c r="WZS2" s="8"/>
      <c r="WZT2" s="8"/>
      <c r="WZU2" s="8"/>
      <c r="WZV2" s="8"/>
      <c r="WZW2" s="8"/>
      <c r="WZX2" s="8"/>
      <c r="WZY2" s="8"/>
      <c r="WZZ2" s="8"/>
      <c r="XAA2" s="8"/>
      <c r="XAB2" s="8"/>
      <c r="XAC2" s="8"/>
      <c r="XAD2" s="8"/>
      <c r="XAE2" s="8"/>
      <c r="XAF2" s="8"/>
      <c r="XAG2" s="8"/>
      <c r="XAH2" s="8"/>
      <c r="XAI2" s="8"/>
      <c r="XAJ2" s="8"/>
      <c r="XAK2" s="8"/>
      <c r="XAL2" s="8"/>
      <c r="XAM2" s="8"/>
      <c r="XAN2" s="8"/>
      <c r="XAO2" s="8"/>
      <c r="XAP2" s="8"/>
      <c r="XAQ2" s="8"/>
      <c r="XAR2" s="8"/>
      <c r="XAS2" s="8"/>
      <c r="XAT2" s="8"/>
      <c r="XAU2" s="8"/>
      <c r="XAV2" s="8"/>
      <c r="XAW2" s="8"/>
      <c r="XAX2" s="8"/>
      <c r="XAY2" s="8"/>
      <c r="XAZ2" s="8"/>
      <c r="XBA2" s="8"/>
      <c r="XBB2" s="8"/>
      <c r="XBC2" s="8"/>
      <c r="XBD2" s="8"/>
      <c r="XBE2" s="8"/>
      <c r="XBF2" s="8"/>
      <c r="XBG2" s="8"/>
      <c r="XBH2" s="8"/>
      <c r="XBI2" s="8"/>
      <c r="XBJ2" s="8"/>
      <c r="XBK2" s="8"/>
      <c r="XBL2" s="8"/>
      <c r="XBM2" s="8"/>
      <c r="XBN2" s="8"/>
      <c r="XBO2" s="8"/>
      <c r="XBP2" s="8"/>
      <c r="XBQ2" s="8"/>
      <c r="XBR2" s="8"/>
      <c r="XBS2" s="8"/>
      <c r="XBT2" s="8"/>
      <c r="XBU2" s="8"/>
      <c r="XBV2" s="8"/>
      <c r="XBW2" s="8"/>
      <c r="XBX2" s="8"/>
      <c r="XBY2" s="8"/>
      <c r="XBZ2" s="8"/>
      <c r="XCA2" s="8"/>
      <c r="XCB2" s="8"/>
      <c r="XCC2" s="8"/>
      <c r="XCD2" s="8"/>
      <c r="XCE2" s="8"/>
      <c r="XCF2" s="8"/>
      <c r="XCG2" s="8"/>
      <c r="XCH2" s="8"/>
      <c r="XCI2" s="8"/>
      <c r="XCJ2" s="8"/>
      <c r="XCK2" s="8"/>
      <c r="XCL2" s="8"/>
      <c r="XCM2" s="8"/>
      <c r="XCN2" s="8"/>
      <c r="XCO2" s="8"/>
      <c r="XCP2" s="8"/>
      <c r="XCQ2" s="8"/>
      <c r="XCR2" s="8"/>
      <c r="XCS2" s="8"/>
      <c r="XCT2" s="8"/>
      <c r="XCU2" s="8"/>
      <c r="XCV2" s="8"/>
      <c r="XCW2" s="8"/>
      <c r="XCX2" s="8"/>
      <c r="XCY2" s="8"/>
      <c r="XCZ2" s="8"/>
      <c r="XDA2" s="8"/>
      <c r="XDB2" s="8"/>
      <c r="XDC2" s="8"/>
      <c r="XDD2" s="8"/>
      <c r="XDE2" s="8"/>
      <c r="XDF2" s="8"/>
      <c r="XDG2" s="8"/>
      <c r="XDH2" s="8"/>
      <c r="XDI2" s="8"/>
      <c r="XDJ2" s="8"/>
      <c r="XDK2" s="8"/>
      <c r="XDL2" s="8"/>
      <c r="XDM2" s="8"/>
      <c r="XDN2" s="8"/>
      <c r="XDO2" s="8"/>
      <c r="XDP2" s="8"/>
      <c r="XDQ2" s="8"/>
      <c r="XDR2" s="8"/>
      <c r="XDS2" s="8"/>
      <c r="XDT2" s="8"/>
      <c r="XDU2" s="8"/>
      <c r="XDV2" s="8"/>
      <c r="XDW2" s="8"/>
      <c r="XDX2" s="8"/>
      <c r="XDY2" s="8"/>
      <c r="XDZ2" s="8"/>
      <c r="XEA2" s="8"/>
      <c r="XEB2" s="8"/>
      <c r="XEC2" s="8"/>
      <c r="XED2" s="8"/>
      <c r="XEE2" s="8"/>
      <c r="XEF2" s="8"/>
      <c r="XEG2" s="8"/>
      <c r="XEH2" s="8"/>
      <c r="XEI2" s="8"/>
      <c r="XEJ2" s="8"/>
      <c r="XEK2" s="8"/>
      <c r="XEL2" s="8"/>
      <c r="XEM2" s="8"/>
      <c r="XEN2" s="8"/>
      <c r="XEO2" s="8"/>
      <c r="XEP2" s="8"/>
      <c r="XEQ2" s="8"/>
      <c r="XER2" s="8"/>
      <c r="XES2" s="8"/>
      <c r="XET2" s="8"/>
      <c r="XEU2" s="8"/>
      <c r="XEV2" s="8"/>
      <c r="XEW2" s="8"/>
      <c r="XEX2" s="8"/>
      <c r="XEY2" s="8"/>
      <c r="XEZ2" s="8"/>
      <c r="XFA2" s="8"/>
      <c r="XFB2" s="8"/>
      <c r="XFC2" s="8"/>
    </row>
    <row r="3" spans="2:16383" ht="12.75" customHeight="1" x14ac:dyDescent="0.2"/>
    <row r="4" spans="2:16383" ht="12.75" customHeight="1" x14ac:dyDescent="0.2"/>
    <row r="5" spans="2:16383" ht="15" x14ac:dyDescent="0.25">
      <c r="B5" s="144" t="s">
        <v>70</v>
      </c>
    </row>
    <row r="6" spans="2:16383" ht="6.75" customHeight="1" x14ac:dyDescent="0.25">
      <c r="B6" s="144"/>
    </row>
    <row r="7" spans="2:16383" ht="18.75" customHeight="1" x14ac:dyDescent="0.2">
      <c r="B7" s="183" t="s">
        <v>39</v>
      </c>
      <c r="C7" s="184" t="s">
        <v>84</v>
      </c>
      <c r="D7" s="7"/>
      <c r="E7" s="7"/>
      <c r="F7" s="7"/>
      <c r="G7" s="7"/>
      <c r="H7" s="7"/>
      <c r="I7" s="7"/>
      <c r="J7" s="7"/>
      <c r="K7" s="7"/>
      <c r="L7" s="7"/>
      <c r="M7" s="7"/>
      <c r="N7" s="7"/>
      <c r="O7" s="7"/>
      <c r="P7" s="7"/>
    </row>
    <row r="8" spans="2:16383" ht="18.75" customHeight="1" x14ac:dyDescent="0.2">
      <c r="B8" s="183" t="s">
        <v>11</v>
      </c>
      <c r="C8" s="184" t="s">
        <v>81</v>
      </c>
      <c r="D8" s="7"/>
      <c r="E8" s="7"/>
      <c r="F8" s="7"/>
      <c r="G8" s="7"/>
      <c r="H8" s="7"/>
      <c r="I8" s="7"/>
      <c r="J8" s="7"/>
      <c r="K8" s="7"/>
      <c r="L8" s="7"/>
      <c r="M8" s="7"/>
      <c r="N8" s="7"/>
      <c r="O8" s="7"/>
      <c r="P8" s="7"/>
    </row>
    <row r="9" spans="2:16383" ht="18.75" customHeight="1" x14ac:dyDescent="0.2">
      <c r="B9" s="183" t="s">
        <v>76</v>
      </c>
      <c r="C9" s="184" t="s">
        <v>107</v>
      </c>
      <c r="D9" s="7"/>
      <c r="E9" s="7"/>
      <c r="F9" s="7"/>
      <c r="G9" s="7"/>
      <c r="H9" s="7"/>
      <c r="I9" s="7"/>
      <c r="J9" s="7"/>
      <c r="K9" s="7"/>
      <c r="L9" s="7"/>
      <c r="M9" s="7"/>
      <c r="N9" s="7"/>
      <c r="O9" s="7"/>
      <c r="P9" s="7"/>
    </row>
    <row r="10" spans="2:16383" ht="18.75" customHeight="1" x14ac:dyDescent="0.2">
      <c r="B10" s="183" t="s">
        <v>105</v>
      </c>
      <c r="C10" s="184" t="s">
        <v>108</v>
      </c>
      <c r="D10" s="7"/>
      <c r="E10" s="7"/>
      <c r="F10" s="7"/>
      <c r="G10" s="7"/>
      <c r="H10" s="7"/>
      <c r="I10" s="7"/>
      <c r="J10" s="7"/>
      <c r="K10" s="7"/>
      <c r="L10" s="7"/>
      <c r="M10" s="7"/>
      <c r="N10" s="7"/>
      <c r="O10" s="7"/>
      <c r="P10" s="7"/>
    </row>
    <row r="11" spans="2:16383" ht="18.75" customHeight="1" x14ac:dyDescent="0.2">
      <c r="B11" s="183" t="s">
        <v>3</v>
      </c>
      <c r="C11" s="184" t="s">
        <v>86</v>
      </c>
      <c r="D11" s="7"/>
      <c r="E11" s="7"/>
      <c r="F11" s="7"/>
      <c r="G11" s="7"/>
      <c r="H11" s="7"/>
      <c r="I11" s="7"/>
      <c r="J11" s="7"/>
      <c r="K11" s="7"/>
      <c r="L11" s="7"/>
      <c r="M11" s="7"/>
      <c r="N11" s="7"/>
      <c r="O11" s="7"/>
      <c r="P11" s="7"/>
    </row>
    <row r="12" spans="2:16383" ht="18.75" customHeight="1" x14ac:dyDescent="0.2">
      <c r="B12" s="183" t="s">
        <v>13</v>
      </c>
      <c r="C12" s="184" t="s">
        <v>83</v>
      </c>
      <c r="D12" s="7"/>
      <c r="E12" s="7"/>
      <c r="F12" s="7"/>
      <c r="G12" s="7"/>
      <c r="H12" s="7"/>
      <c r="I12" s="7"/>
      <c r="J12" s="7"/>
      <c r="K12" s="7"/>
      <c r="L12" s="7"/>
      <c r="M12" s="7"/>
      <c r="N12" s="7"/>
      <c r="O12" s="7"/>
      <c r="P12" s="7"/>
    </row>
    <row r="13" spans="2:16383" ht="18.75" customHeight="1" x14ac:dyDescent="0.2">
      <c r="B13" s="183" t="s">
        <v>4</v>
      </c>
      <c r="C13" s="184" t="s">
        <v>87</v>
      </c>
      <c r="D13" s="7"/>
      <c r="E13" s="7"/>
      <c r="F13" s="7"/>
      <c r="G13" s="7"/>
      <c r="H13" s="7"/>
      <c r="I13" s="7"/>
      <c r="J13" s="7"/>
      <c r="K13" s="7"/>
      <c r="L13" s="7"/>
      <c r="M13" s="7"/>
      <c r="N13" s="7"/>
      <c r="O13" s="7"/>
      <c r="P13" s="7"/>
    </row>
    <row r="14" spans="2:16383" ht="18.75" customHeight="1" x14ac:dyDescent="0.2">
      <c r="B14" s="183" t="s">
        <v>12</v>
      </c>
      <c r="C14" s="184" t="s">
        <v>82</v>
      </c>
      <c r="D14" s="7"/>
      <c r="E14" s="7"/>
      <c r="F14" s="7"/>
      <c r="G14" s="7"/>
      <c r="H14" s="7"/>
      <c r="I14" s="7"/>
      <c r="J14" s="7"/>
      <c r="K14" s="7"/>
      <c r="L14" s="7"/>
      <c r="M14" s="7"/>
      <c r="N14" s="7"/>
      <c r="O14" s="7"/>
      <c r="P14" s="7"/>
    </row>
    <row r="15" spans="2:16383" ht="18.75" customHeight="1" x14ac:dyDescent="0.2">
      <c r="B15" s="183" t="s">
        <v>2</v>
      </c>
      <c r="C15" s="184" t="s">
        <v>71</v>
      </c>
      <c r="D15" s="7"/>
      <c r="E15" s="7"/>
      <c r="F15" s="7"/>
      <c r="G15" s="7"/>
      <c r="H15" s="7"/>
      <c r="I15" s="7"/>
      <c r="J15" s="7"/>
      <c r="K15" s="7"/>
      <c r="L15" s="7"/>
      <c r="M15" s="7"/>
      <c r="N15" s="7"/>
      <c r="O15" s="7"/>
      <c r="P15" s="7"/>
    </row>
    <row r="16" spans="2:16383" ht="18.75" customHeight="1" x14ac:dyDescent="0.2">
      <c r="B16" s="183" t="s">
        <v>60</v>
      </c>
      <c r="C16" s="184" t="s">
        <v>75</v>
      </c>
      <c r="D16" s="7"/>
      <c r="E16" s="7"/>
      <c r="F16" s="7"/>
      <c r="G16" s="7"/>
      <c r="H16" s="7"/>
      <c r="I16" s="7"/>
      <c r="J16" s="7"/>
      <c r="K16" s="7"/>
      <c r="L16" s="7"/>
      <c r="M16" s="7"/>
      <c r="N16" s="7"/>
      <c r="O16" s="7"/>
      <c r="P16" s="7"/>
    </row>
    <row r="17" spans="2:16" ht="18.75" customHeight="1" x14ac:dyDescent="0.2">
      <c r="B17" s="183" t="s">
        <v>96</v>
      </c>
      <c r="C17" s="184" t="s">
        <v>106</v>
      </c>
      <c r="D17" s="7"/>
      <c r="E17" s="7"/>
      <c r="F17" s="7"/>
      <c r="G17" s="7"/>
      <c r="H17" s="7"/>
      <c r="I17" s="7"/>
      <c r="J17" s="7"/>
      <c r="K17" s="7"/>
      <c r="L17" s="7"/>
      <c r="M17" s="7"/>
      <c r="N17" s="7"/>
      <c r="O17" s="7"/>
      <c r="P17" s="7"/>
    </row>
    <row r="18" spans="2:16" ht="18.75" customHeight="1" x14ac:dyDescent="0.2">
      <c r="B18" s="183" t="s">
        <v>45</v>
      </c>
      <c r="C18" s="184" t="s">
        <v>79</v>
      </c>
      <c r="D18" s="7"/>
      <c r="E18" s="7"/>
      <c r="F18" s="7"/>
      <c r="G18" s="7"/>
      <c r="H18" s="7"/>
      <c r="I18" s="7"/>
      <c r="J18" s="7"/>
      <c r="K18" s="7"/>
      <c r="L18" s="7"/>
      <c r="M18" s="7"/>
      <c r="N18" s="7"/>
      <c r="O18" s="7"/>
      <c r="P18" s="7"/>
    </row>
    <row r="19" spans="2:16" ht="18.75" customHeight="1" x14ac:dyDescent="0.2">
      <c r="B19" s="183" t="s">
        <v>77</v>
      </c>
      <c r="C19" s="184" t="s">
        <v>80</v>
      </c>
      <c r="D19" s="7"/>
      <c r="E19" s="7"/>
      <c r="F19" s="7"/>
      <c r="G19" s="7"/>
      <c r="H19" s="7"/>
      <c r="I19" s="7"/>
      <c r="J19" s="7"/>
      <c r="K19" s="7"/>
      <c r="L19" s="7"/>
      <c r="M19" s="7"/>
      <c r="N19" s="7"/>
      <c r="O19" s="7"/>
      <c r="P19" s="7"/>
    </row>
    <row r="20" spans="2:16" ht="18.75" customHeight="1" x14ac:dyDescent="0.2">
      <c r="B20" s="183" t="s">
        <v>36</v>
      </c>
      <c r="C20" s="184" t="s">
        <v>78</v>
      </c>
      <c r="D20" s="7"/>
      <c r="E20" s="7"/>
      <c r="F20" s="7"/>
      <c r="G20" s="7"/>
      <c r="H20" s="7"/>
      <c r="I20" s="7"/>
      <c r="J20" s="7"/>
      <c r="K20" s="7"/>
      <c r="L20" s="7"/>
      <c r="M20" s="7"/>
      <c r="N20" s="7"/>
      <c r="O20" s="7"/>
      <c r="P20" s="7"/>
    </row>
    <row r="21" spans="2:16" ht="18.75" customHeight="1" x14ac:dyDescent="0.2">
      <c r="B21" s="183" t="s">
        <v>14</v>
      </c>
      <c r="C21" s="184" t="s">
        <v>85</v>
      </c>
      <c r="D21" s="7"/>
      <c r="E21" s="7"/>
      <c r="G21" s="7"/>
      <c r="H21" s="7"/>
      <c r="I21" s="7"/>
      <c r="J21" s="7"/>
      <c r="K21" s="7"/>
      <c r="L21" s="7"/>
      <c r="M21" s="7"/>
      <c r="N21" s="7"/>
      <c r="O21" s="7"/>
      <c r="P21" s="7"/>
    </row>
    <row r="22" spans="2:16" ht="18.75" customHeight="1" x14ac:dyDescent="0.2">
      <c r="B22" s="183" t="s">
        <v>5</v>
      </c>
      <c r="C22" s="184" t="s">
        <v>73</v>
      </c>
    </row>
    <row r="23" spans="2:16" ht="18.75" customHeight="1" x14ac:dyDescent="0.2">
      <c r="B23" s="183" t="s">
        <v>6</v>
      </c>
      <c r="C23" s="184" t="s">
        <v>74</v>
      </c>
    </row>
    <row r="24" spans="2:16" ht="18.75" customHeight="1" x14ac:dyDescent="0.2">
      <c r="B24" s="183" t="s">
        <v>47</v>
      </c>
      <c r="C24" s="184" t="s">
        <v>72</v>
      </c>
    </row>
    <row r="25" spans="2:16" x14ac:dyDescent="0.2">
      <c r="C25" s="9"/>
    </row>
    <row r="26" spans="2:16" ht="15" x14ac:dyDescent="0.25">
      <c r="B26" s="144" t="s">
        <v>88</v>
      </c>
      <c r="C26" s="9"/>
    </row>
    <row r="27" spans="2:16" ht="6.75" customHeight="1" x14ac:dyDescent="0.25">
      <c r="B27" s="144"/>
    </row>
    <row r="28" spans="2:16" ht="18.75" customHeight="1" x14ac:dyDescent="0.2">
      <c r="B28" s="183" t="s">
        <v>0</v>
      </c>
      <c r="C28" s="184" t="s">
        <v>91</v>
      </c>
      <c r="D28" s="7"/>
      <c r="E28" s="7"/>
      <c r="F28" s="7"/>
      <c r="G28" s="7"/>
      <c r="H28" s="7"/>
      <c r="I28" s="7"/>
      <c r="J28" s="7"/>
      <c r="K28" s="7"/>
      <c r="L28" s="7"/>
      <c r="M28" s="7"/>
      <c r="N28" s="7"/>
      <c r="O28" s="7"/>
      <c r="P28" s="7"/>
    </row>
    <row r="29" spans="2:16" ht="18.75" customHeight="1" x14ac:dyDescent="0.2">
      <c r="B29" s="183" t="s">
        <v>89</v>
      </c>
      <c r="C29" s="184" t="s">
        <v>93</v>
      </c>
      <c r="D29" s="7"/>
      <c r="E29" s="7"/>
      <c r="F29" s="7"/>
      <c r="G29" s="7"/>
      <c r="H29" s="7"/>
      <c r="I29" s="7"/>
      <c r="J29" s="7"/>
      <c r="K29" s="7"/>
      <c r="L29" s="7"/>
      <c r="M29" s="7"/>
      <c r="N29" s="7"/>
      <c r="O29" s="7"/>
      <c r="P29" s="7"/>
    </row>
    <row r="30" spans="2:16" ht="18.75" customHeight="1" x14ac:dyDescent="0.2">
      <c r="B30" s="183" t="s">
        <v>90</v>
      </c>
      <c r="C30" s="184" t="s">
        <v>92</v>
      </c>
      <c r="D30" s="7"/>
      <c r="E30" s="7"/>
      <c r="F30" s="7"/>
      <c r="G30" s="7"/>
      <c r="H30" s="7"/>
      <c r="I30" s="7"/>
      <c r="J30" s="7"/>
      <c r="K30" s="7"/>
      <c r="L30" s="7"/>
      <c r="M30" s="7"/>
      <c r="N30" s="7"/>
      <c r="O30" s="7"/>
      <c r="P30" s="7"/>
    </row>
    <row r="31" spans="2:16" ht="3" customHeight="1" x14ac:dyDescent="0.2"/>
  </sheetData>
  <hyperlinks>
    <hyperlink ref="E2" location="Menu!A1" display="Menu" xr:uid="{224BB6D1-0206-4947-AED4-FFF4F12DBEFF}"/>
  </hyperlinks>
  <pageMargins left="0.511811024" right="0.511811024" top="0.78740157499999996" bottom="0.78740157499999996" header="0.31496062000000002" footer="0.31496062000000002"/>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491C-E325-498D-BC0D-BB4235529E33}">
  <sheetPr codeName="Planilha5">
    <tabColor rgb="FF00447C"/>
    <pageSetUpPr fitToPage="1"/>
  </sheetPr>
  <dimension ref="A1:Q22"/>
  <sheetViews>
    <sheetView showGridLines="0" showRowColHeaders="0" zoomScaleNormal="100" workbookViewId="0">
      <selection activeCell="P2" sqref="P2"/>
    </sheetView>
  </sheetViews>
  <sheetFormatPr defaultColWidth="0" defaultRowHeight="14.25" zeroHeight="1" x14ac:dyDescent="0.2"/>
  <cols>
    <col min="1" max="1" width="0.5703125" style="20" customWidth="1"/>
    <col min="2" max="16" width="9.140625" style="20" customWidth="1"/>
    <col min="17" max="17" width="0.5703125" style="20" customWidth="1"/>
    <col min="18" max="16384" width="9.140625" style="20" hidden="1"/>
  </cols>
  <sheetData>
    <row r="1" spans="1:16" s="19" customFormat="1" ht="3" customHeight="1" thickBot="1" x14ac:dyDescent="0.25">
      <c r="A1" s="6"/>
    </row>
    <row r="2" spans="1:16" s="19" customFormat="1" ht="15" thickBot="1" x14ac:dyDescent="0.25">
      <c r="A2" s="6"/>
      <c r="P2" s="146" t="s">
        <v>57</v>
      </c>
    </row>
    <row r="3" spans="1:16" s="21" customFormat="1" x14ac:dyDescent="0.2">
      <c r="A3" s="20"/>
    </row>
    <row r="4" spans="1:16" s="21" customFormat="1" x14ac:dyDescent="0.2">
      <c r="A4" s="20"/>
    </row>
    <row r="5" spans="1:16" ht="15.75" x14ac:dyDescent="0.25">
      <c r="B5" s="185" t="s">
        <v>35</v>
      </c>
      <c r="C5" s="186"/>
      <c r="D5" s="186"/>
      <c r="E5" s="186"/>
      <c r="F5" s="186"/>
      <c r="G5" s="186"/>
      <c r="H5" s="186"/>
      <c r="I5" s="186"/>
      <c r="J5" s="186"/>
      <c r="K5" s="186"/>
      <c r="L5" s="186"/>
      <c r="M5" s="186"/>
      <c r="N5" s="186"/>
      <c r="O5" s="186"/>
      <c r="P5" s="186"/>
    </row>
    <row r="6" spans="1:16" x14ac:dyDescent="0.2"/>
    <row r="7" spans="1:16" ht="3" customHeight="1" x14ac:dyDescent="0.2">
      <c r="B7" s="276" t="s">
        <v>177</v>
      </c>
      <c r="C7" s="276"/>
      <c r="D7" s="276"/>
      <c r="E7" s="276"/>
      <c r="F7" s="276"/>
      <c r="G7" s="276"/>
      <c r="H7" s="276"/>
      <c r="I7" s="276"/>
      <c r="J7" s="276"/>
      <c r="K7" s="276"/>
      <c r="L7" s="276"/>
      <c r="M7" s="276"/>
      <c r="N7" s="276"/>
      <c r="O7" s="276"/>
      <c r="P7" s="276"/>
    </row>
    <row r="8" spans="1:16" ht="51" customHeight="1" x14ac:dyDescent="0.2">
      <c r="B8" s="276"/>
      <c r="C8" s="276"/>
      <c r="D8" s="276"/>
      <c r="E8" s="276"/>
      <c r="F8" s="276"/>
      <c r="G8" s="276"/>
      <c r="H8" s="276"/>
      <c r="I8" s="276"/>
      <c r="J8" s="276"/>
      <c r="K8" s="276"/>
      <c r="L8" s="276"/>
      <c r="M8" s="276"/>
      <c r="N8" s="276"/>
      <c r="O8" s="276"/>
      <c r="P8" s="276"/>
    </row>
    <row r="9" spans="1:16" ht="51" customHeight="1" x14ac:dyDescent="0.2">
      <c r="B9" s="276"/>
      <c r="C9" s="276"/>
      <c r="D9" s="276"/>
      <c r="E9" s="276"/>
      <c r="F9" s="276"/>
      <c r="G9" s="276"/>
      <c r="H9" s="276"/>
      <c r="I9" s="276"/>
      <c r="J9" s="276"/>
      <c r="K9" s="276"/>
      <c r="L9" s="276"/>
      <c r="M9" s="276"/>
      <c r="N9" s="276"/>
      <c r="O9" s="276"/>
      <c r="P9" s="276"/>
    </row>
    <row r="10" spans="1:16" ht="51" customHeight="1" x14ac:dyDescent="0.2">
      <c r="B10" s="276"/>
      <c r="C10" s="276"/>
      <c r="D10" s="276"/>
      <c r="E10" s="276"/>
      <c r="F10" s="276"/>
      <c r="G10" s="276"/>
      <c r="H10" s="276"/>
      <c r="I10" s="276"/>
      <c r="J10" s="276"/>
      <c r="K10" s="276"/>
      <c r="L10" s="276"/>
      <c r="M10" s="276"/>
      <c r="N10" s="276"/>
      <c r="O10" s="276"/>
      <c r="P10" s="276"/>
    </row>
    <row r="11" spans="1:16" ht="51" customHeight="1" x14ac:dyDescent="0.2">
      <c r="B11" s="276"/>
      <c r="C11" s="276"/>
      <c r="D11" s="276"/>
      <c r="E11" s="276"/>
      <c r="F11" s="276"/>
      <c r="G11" s="276"/>
      <c r="H11" s="276"/>
      <c r="I11" s="276"/>
      <c r="J11" s="276"/>
      <c r="K11" s="276"/>
      <c r="L11" s="276"/>
      <c r="M11" s="276"/>
      <c r="N11" s="276"/>
      <c r="O11" s="276"/>
      <c r="P11" s="276"/>
    </row>
    <row r="12" spans="1:16" ht="51" customHeight="1" x14ac:dyDescent="0.2">
      <c r="B12" s="276"/>
      <c r="C12" s="276"/>
      <c r="D12" s="276"/>
      <c r="E12" s="276"/>
      <c r="F12" s="276"/>
      <c r="G12" s="276"/>
      <c r="H12" s="276"/>
      <c r="I12" s="276"/>
      <c r="J12" s="276"/>
      <c r="K12" s="276"/>
      <c r="L12" s="276"/>
      <c r="M12" s="276"/>
      <c r="N12" s="276"/>
      <c r="O12" s="276"/>
      <c r="P12" s="276"/>
    </row>
    <row r="13" spans="1:16" ht="138.75" customHeight="1" x14ac:dyDescent="0.2">
      <c r="B13" s="276"/>
      <c r="C13" s="276"/>
      <c r="D13" s="276"/>
      <c r="E13" s="276"/>
      <c r="F13" s="276"/>
      <c r="G13" s="276"/>
      <c r="H13" s="276"/>
      <c r="I13" s="276"/>
      <c r="J13" s="276"/>
      <c r="K13" s="276"/>
      <c r="L13" s="276"/>
      <c r="M13" s="276"/>
      <c r="N13" s="276"/>
      <c r="O13" s="276"/>
      <c r="P13" s="276"/>
    </row>
    <row r="14" spans="1:16" ht="141.75" customHeight="1" x14ac:dyDescent="0.2">
      <c r="B14" s="276"/>
      <c r="C14" s="276"/>
      <c r="D14" s="276"/>
      <c r="E14" s="276"/>
      <c r="F14" s="276"/>
      <c r="G14" s="276"/>
      <c r="H14" s="276"/>
      <c r="I14" s="276"/>
      <c r="J14" s="276"/>
      <c r="K14" s="276"/>
      <c r="L14" s="276"/>
      <c r="M14" s="276"/>
      <c r="N14" s="276"/>
      <c r="O14" s="276"/>
      <c r="P14" s="276"/>
    </row>
    <row r="15" spans="1:16" ht="90.75" customHeight="1" x14ac:dyDescent="0.2">
      <c r="B15" s="276"/>
      <c r="C15" s="276"/>
      <c r="D15" s="276"/>
      <c r="E15" s="276"/>
      <c r="F15" s="276"/>
      <c r="G15" s="276"/>
      <c r="H15" s="276"/>
      <c r="I15" s="276"/>
      <c r="J15" s="276"/>
      <c r="K15" s="276"/>
      <c r="L15" s="276"/>
      <c r="M15" s="276"/>
      <c r="N15" s="276"/>
      <c r="O15" s="276"/>
      <c r="P15" s="276"/>
    </row>
    <row r="16" spans="1:16" ht="95.25" customHeight="1" x14ac:dyDescent="0.2">
      <c r="B16" s="276"/>
      <c r="C16" s="276"/>
      <c r="D16" s="276"/>
      <c r="E16" s="276"/>
      <c r="F16" s="276"/>
      <c r="G16" s="276"/>
      <c r="H16" s="276"/>
      <c r="I16" s="276"/>
      <c r="J16" s="276"/>
      <c r="K16" s="276"/>
      <c r="L16" s="276"/>
      <c r="M16" s="276"/>
      <c r="N16" s="276"/>
      <c r="O16" s="276"/>
      <c r="P16" s="276"/>
    </row>
    <row r="17" spans="2:16" ht="6.75" customHeight="1" x14ac:dyDescent="0.2">
      <c r="B17" s="276"/>
      <c r="C17" s="276"/>
      <c r="D17" s="276"/>
      <c r="E17" s="276"/>
      <c r="F17" s="276"/>
      <c r="G17" s="276"/>
      <c r="H17" s="276"/>
      <c r="I17" s="276"/>
      <c r="J17" s="276"/>
      <c r="K17" s="276"/>
      <c r="L17" s="276"/>
      <c r="M17" s="276"/>
      <c r="N17" s="276"/>
      <c r="O17" s="276"/>
      <c r="P17" s="276"/>
    </row>
    <row r="18" spans="2:16" ht="1.5" customHeight="1" x14ac:dyDescent="0.2">
      <c r="B18" s="276"/>
      <c r="C18" s="276"/>
      <c r="D18" s="276"/>
      <c r="E18" s="276"/>
      <c r="F18" s="276"/>
      <c r="G18" s="276"/>
      <c r="H18" s="276"/>
      <c r="I18" s="276"/>
      <c r="J18" s="276"/>
      <c r="K18" s="276"/>
      <c r="L18" s="276"/>
      <c r="M18" s="276"/>
      <c r="N18" s="276"/>
      <c r="O18" s="276"/>
      <c r="P18" s="276"/>
    </row>
    <row r="19" spans="2:16" ht="6" customHeight="1" x14ac:dyDescent="0.2">
      <c r="B19" s="276"/>
      <c r="C19" s="276"/>
      <c r="D19" s="276"/>
      <c r="E19" s="276"/>
      <c r="F19" s="276"/>
      <c r="G19" s="276"/>
      <c r="H19" s="276"/>
      <c r="I19" s="276"/>
      <c r="J19" s="276"/>
      <c r="K19" s="276"/>
      <c r="L19" s="276"/>
      <c r="M19" s="276"/>
      <c r="N19" s="276"/>
      <c r="O19" s="276"/>
      <c r="P19" s="276"/>
    </row>
    <row r="20" spans="2:16" ht="5.25" customHeight="1" x14ac:dyDescent="0.2">
      <c r="B20" s="276"/>
      <c r="C20" s="276"/>
      <c r="D20" s="276"/>
      <c r="E20" s="276"/>
      <c r="F20" s="276"/>
      <c r="G20" s="276"/>
      <c r="H20" s="276"/>
      <c r="I20" s="276"/>
      <c r="J20" s="276"/>
      <c r="K20" s="276"/>
      <c r="L20" s="276"/>
      <c r="M20" s="276"/>
      <c r="N20" s="276"/>
      <c r="O20" s="276"/>
      <c r="P20" s="276"/>
    </row>
    <row r="21" spans="2:16" ht="3.75" customHeight="1" x14ac:dyDescent="0.2">
      <c r="B21" s="276"/>
      <c r="C21" s="276"/>
      <c r="D21" s="276"/>
      <c r="E21" s="276"/>
      <c r="F21" s="276"/>
      <c r="G21" s="276"/>
      <c r="H21" s="276"/>
      <c r="I21" s="276"/>
      <c r="J21" s="276"/>
      <c r="K21" s="276"/>
      <c r="L21" s="276"/>
      <c r="M21" s="276"/>
      <c r="N21" s="276"/>
      <c r="O21" s="276"/>
      <c r="P21" s="276"/>
    </row>
    <row r="22" spans="2:16" ht="3" customHeight="1" x14ac:dyDescent="0.2"/>
  </sheetData>
  <mergeCells count="1">
    <mergeCell ref="B7:P21"/>
  </mergeCells>
  <hyperlinks>
    <hyperlink ref="P2" location="Menu!A1" display="Menu" xr:uid="{F81CF8DD-AF62-40C5-A2A0-1B43EF89BC40}"/>
  </hyperlinks>
  <pageMargins left="0.7" right="0.7" top="0.75" bottom="0.75" header="0.3" footer="0.3"/>
  <pageSetup fitToWidth="9"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41C5D35759BD045AE047E2FCB339A3E" ma:contentTypeVersion="12" ma:contentTypeDescription="Crie um novo documento." ma:contentTypeScope="" ma:versionID="2e682155d7291ccd6f1b546d40af2ce7">
  <xsd:schema xmlns:xsd="http://www.w3.org/2001/XMLSchema" xmlns:xs="http://www.w3.org/2001/XMLSchema" xmlns:p="http://schemas.microsoft.com/office/2006/metadata/properties" xmlns:ns1="http://schemas.microsoft.com/sharepoint/v3" xmlns:ns3="0273bd37-ba62-421c-9484-3b79e40ae9dd" xmlns:ns4="d044223c-0364-4dc6-8a66-72d8a0ffb09a" targetNamespace="http://schemas.microsoft.com/office/2006/metadata/properties" ma:root="true" ma:fieldsID="0a80d1bc664064da18fa3720444ff1b8" ns1:_="" ns3:_="" ns4:_="">
    <xsd:import namespace="http://schemas.microsoft.com/sharepoint/v3"/>
    <xsd:import namespace="0273bd37-ba62-421c-9484-3b79e40ae9dd"/>
    <xsd:import namespace="d044223c-0364-4dc6-8a66-72d8a0ffb09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73bd37-ba62-421c-9484-3b79e40ae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44223c-0364-4dc6-8a66-72d8a0ffb09a"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SharingHintHash" ma:index="17"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21B7A28-8C29-46BD-B3F2-B85C246DD728}">
  <ds:schemaRefs>
    <ds:schemaRef ds:uri="http://schemas.microsoft.com/sharepoint/v3/contenttype/forms"/>
  </ds:schemaRefs>
</ds:datastoreItem>
</file>

<file path=customXml/itemProps2.xml><?xml version="1.0" encoding="utf-8"?>
<ds:datastoreItem xmlns:ds="http://schemas.openxmlformats.org/officeDocument/2006/customXml" ds:itemID="{99325D31-63BD-4D5C-98FC-ACCD60504A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273bd37-ba62-421c-9484-3b79e40ae9dd"/>
    <ds:schemaRef ds:uri="d044223c-0364-4dc6-8a66-72d8a0ffb0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67066C-ED48-4BE0-8C47-9C52BAB985F9}">
  <ds:schemaRefs>
    <ds:schemaRef ds:uri="http://schemas.microsoft.com/office/infopath/2007/PartnerControls"/>
    <ds:schemaRef ds:uri="d044223c-0364-4dc6-8a66-72d8a0ffb09a"/>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0273bd37-ba62-421c-9484-3b79e40ae9d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26</vt:i4>
      </vt:variant>
      <vt:variant>
        <vt:lpstr>Intervalos Nomeados</vt:lpstr>
      </vt:variant>
      <vt:variant>
        <vt:i4>46</vt:i4>
      </vt:variant>
    </vt:vector>
  </HeadingPairs>
  <TitlesOfParts>
    <vt:vector size="72" baseType="lpstr">
      <vt:lpstr>Menu</vt:lpstr>
      <vt:lpstr>Stock Guide</vt:lpstr>
      <vt:lpstr>FIAgro</vt:lpstr>
      <vt:lpstr>FI-Infra</vt:lpstr>
      <vt:lpstr>Segmentos</vt:lpstr>
      <vt:lpstr>Simulador de Carteiras (%)</vt:lpstr>
      <vt:lpstr>Simulador de Carteiras (R$)</vt:lpstr>
      <vt:lpstr>Simulador de Aportes (R$)</vt:lpstr>
      <vt:lpstr>Recebível (CRI)</vt:lpstr>
      <vt:lpstr>Laje Corporativa</vt:lpstr>
      <vt:lpstr>Galpão Logístico</vt:lpstr>
      <vt:lpstr>Shopping Center</vt:lpstr>
      <vt:lpstr>Híbrido</vt:lpstr>
      <vt:lpstr>Fundo de Fundos</vt:lpstr>
      <vt:lpstr>Hedge Funds</vt:lpstr>
      <vt:lpstr>Agência Bancária</vt:lpstr>
      <vt:lpstr>Renda Urbana</vt:lpstr>
      <vt:lpstr>Educacional</vt:lpstr>
      <vt:lpstr>Desenvolvimento</vt:lpstr>
      <vt:lpstr>Hospital</vt:lpstr>
      <vt:lpstr>Hotel</vt:lpstr>
      <vt:lpstr>Residencial</vt:lpstr>
      <vt:lpstr>Agro</vt:lpstr>
      <vt:lpstr>Outros</vt:lpstr>
      <vt:lpstr>Glossário e Fórmulas</vt:lpstr>
      <vt:lpstr>Disclaimer</vt:lpstr>
      <vt:lpstr>Agro</vt:lpstr>
      <vt:lpstr>'Agência Bancária'!Area_de_extracao</vt:lpstr>
      <vt:lpstr>Agro!Area_de_extracao</vt:lpstr>
      <vt:lpstr>Desenvolvimento!Area_de_extracao</vt:lpstr>
      <vt:lpstr>Educacional!Area_de_extracao</vt:lpstr>
      <vt:lpstr>'Fundo de Fundos'!Area_de_extracao</vt:lpstr>
      <vt:lpstr>'Galpão Logístico'!Area_de_extracao</vt:lpstr>
      <vt:lpstr>'Hedge Funds'!Area_de_extracao</vt:lpstr>
      <vt:lpstr>Híbrido!Area_de_extracao</vt:lpstr>
      <vt:lpstr>Hospital!Area_de_extracao</vt:lpstr>
      <vt:lpstr>Hotel!Area_de_extracao</vt:lpstr>
      <vt:lpstr>'Laje Corporativa'!Area_de_extracao</vt:lpstr>
      <vt:lpstr>Menu!Area_de_extracao</vt:lpstr>
      <vt:lpstr>Outros!Area_de_extracao</vt:lpstr>
      <vt:lpstr>'Recebível (CRI)'!Area_de_extracao</vt:lpstr>
      <vt:lpstr>'Renda Urbana'!Area_de_extracao</vt:lpstr>
      <vt:lpstr>Residencial!Area_de_extracao</vt:lpstr>
      <vt:lpstr>'Shopping Center'!Area_de_extracao</vt:lpstr>
      <vt:lpstr>'Simulador de Aportes (R$)'!Area_de_impressao</vt:lpstr>
      <vt:lpstr>'Simulador de Carteiras (%)'!Area_de_impressao</vt:lpstr>
      <vt:lpstr>'Simulador de Carteiras (R$)'!Area_de_impressao</vt:lpstr>
      <vt:lpstr>'Agência Bancária'!Criterios</vt:lpstr>
      <vt:lpstr>Agro!Criterios</vt:lpstr>
      <vt:lpstr>Desenvolvimento!Criterios</vt:lpstr>
      <vt:lpstr>Educacional!Criterios</vt:lpstr>
      <vt:lpstr>'Fundo de Fundos'!Criterios</vt:lpstr>
      <vt:lpstr>'Galpão Logístico'!Criterios</vt:lpstr>
      <vt:lpstr>'Hedge Funds'!Criterios</vt:lpstr>
      <vt:lpstr>Híbrido!Criterios</vt:lpstr>
      <vt:lpstr>Hospital!Criterios</vt:lpstr>
      <vt:lpstr>Hotel!Criterios</vt:lpstr>
      <vt:lpstr>'Laje Corporativa'!Criterios</vt:lpstr>
      <vt:lpstr>Menu!Criterios</vt:lpstr>
      <vt:lpstr>Outros!Criterios</vt:lpstr>
      <vt:lpstr>'Recebível (CRI)'!Criterios</vt:lpstr>
      <vt:lpstr>'Renda Urbana'!Criterios</vt:lpstr>
      <vt:lpstr>Residencial!Criterios</vt:lpstr>
      <vt:lpstr>'Shopping Center'!Criterios</vt:lpstr>
      <vt:lpstr>'Stock Guide'!Criterios</vt:lpstr>
      <vt:lpstr>'Simulador de Aportes (R$)'!Simulação_deCarteiras</vt:lpstr>
      <vt:lpstr>'Simulador de Carteiras (R$)'!Simulação_deCarteiras</vt:lpstr>
      <vt:lpstr>Simulação_deCarteiras</vt:lpstr>
      <vt:lpstr>SimulaçãoFin</vt:lpstr>
      <vt:lpstr>'Simulador de Aportes (R$)'!Titulos_de_impressao</vt:lpstr>
      <vt:lpstr>'Simulador de Carteiras (%)'!Titulos_de_impressao</vt:lpstr>
      <vt:lpstr>'Simulador de Carteiras (R$)'!Titulos_de_impressao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marineda</dc:creator>
  <cp:lastModifiedBy>Marinelli, Daniel</cp:lastModifiedBy>
  <cp:lastPrinted>2024-10-14T17:27:31Z</cp:lastPrinted>
  <dcterms:created xsi:type="dcterms:W3CDTF">2020-03-18T11:49:11Z</dcterms:created>
  <dcterms:modified xsi:type="dcterms:W3CDTF">2026-08-24T12:08:02Z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coUpdateId">
    <vt:lpwstr>1467805842</vt:lpwstr>
  </property>
  <property fmtid="{D5CDD505-2E9C-101B-9397-08002B2CF9AE}" pid="3" name="EcoUpdateMessage">
    <vt:lpwstr>2026/07/06-11:50:42</vt:lpwstr>
  </property>
  <property fmtid="{D5CDD505-2E9C-101B-9397-08002B2CF9AE}" pid="4" name="EcoUpdateStatus">
    <vt:lpwstr>2026-07-03=BRA:St,ME,TP;USA:ME;ARG:St,ME,Fd,TP;MEX:St,ME,Fd,TP;CHL:St,ME,Fd;PER:St,ME,Fd|2026-07-05=BRA:Fd;USA:TP|2026-07-02=USA:St;COL:St,ME|2021-11-17=CHL:TP|2014-02-26=VEN:St|2002-11-08=JPN:St|2026-06-29=GBR:St,ME|2016-08-18=NNN:St|2026-04-07=COL:Fd|2026-04-15=PER:TP|2007-01-31=ESP:St|2003-01-29=CHN:St|2003-01-28=TWN:St|2003-01-30=HKG:St;KOR:St|2023-01-19=OTH:St|2025-06-24=PAN:St|2026-07-01=SAU:St|2024-06-24=SAU:ME</vt:lpwstr>
  </property>
  <property fmtid="{D5CDD505-2E9C-101B-9397-08002B2CF9AE}" pid="5" name="ContentTypeId">
    <vt:lpwstr>0x010100E41C5D35759BD045AE047E2FCB339A3E</vt:lpwstr>
  </property>
  <property fmtid="{D5CDD505-2E9C-101B-9397-08002B2CF9AE}" pid="6" name="MSIP_Label_b710bd7e-5127-4e54-969c-4515b2527c83_Enabled">
    <vt:lpwstr>true</vt:lpwstr>
  </property>
  <property fmtid="{D5CDD505-2E9C-101B-9397-08002B2CF9AE}" pid="7" name="MSIP_Label_b710bd7e-5127-4e54-969c-4515b2527c83_SetDate">
    <vt:lpwstr>2023-02-06T12:43:36Z</vt:lpwstr>
  </property>
  <property fmtid="{D5CDD505-2E9C-101B-9397-08002B2CF9AE}" pid="8" name="MSIP_Label_b710bd7e-5127-4e54-969c-4515b2527c83_Method">
    <vt:lpwstr>Privileged</vt:lpwstr>
  </property>
  <property fmtid="{D5CDD505-2E9C-101B-9397-08002B2CF9AE}" pid="9" name="MSIP_Label_b710bd7e-5127-4e54-969c-4515b2527c83_Name">
    <vt:lpwstr>b710bd7e-5127-4e54-969c-4515b2527c83</vt:lpwstr>
  </property>
  <property fmtid="{D5CDD505-2E9C-101B-9397-08002B2CF9AE}" pid="10" name="MSIP_Label_b710bd7e-5127-4e54-969c-4515b2527c83_SiteId">
    <vt:lpwstr>16e7cf3f-6af4-4e76-941e-aecafb9704e9</vt:lpwstr>
  </property>
  <property fmtid="{D5CDD505-2E9C-101B-9397-08002B2CF9AE}" pid="11" name="MSIP_Label_b710bd7e-5127-4e54-969c-4515b2527c83_ActionId">
    <vt:lpwstr>4e22b152-5ee6-4cb3-a16e-38d947fb3724</vt:lpwstr>
  </property>
  <property fmtid="{D5CDD505-2E9C-101B-9397-08002B2CF9AE}" pid="12" name="MSIP_Label_b710bd7e-5127-4e54-969c-4515b2527c83_ContentBits">
    <vt:lpwstr>0</vt:lpwstr>
  </property>
</Properties>
</file>